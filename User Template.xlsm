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1\Documents\Project Scheduling\Files\"/>
    </mc:Choice>
  </mc:AlternateContent>
  <xr:revisionPtr revIDLastSave="0" documentId="13_ncr:1_{3AB7C275-35CC-4626-A2CB-B7DFE4783806}" xr6:coauthVersionLast="45" xr6:coauthVersionMax="45" xr10:uidLastSave="{00000000-0000-0000-0000-000000000000}"/>
  <bookViews>
    <workbookView xWindow="-120" yWindow="-120" windowWidth="29040" windowHeight="15840" activeTab="1" xr2:uid="{6F1431FD-D30E-4EB5-A954-EACA5E459F96}"/>
  </bookViews>
  <sheets>
    <sheet name="Data Viewer1" sheetId="4" r:id="rId1"/>
    <sheet name="Data Viewer" sheetId="5" r:id="rId2"/>
    <sheet name="Filter Criteria" sheetId="2" r:id="rId3"/>
    <sheet name="Lookup Tables" sheetId="3" r:id="rId4"/>
  </sheets>
  <functionGroups builtInGroupCount="19"/>
  <definedNames>
    <definedName name="AssemblerList">'Lookup Tables'!$Y$2:$Y$18</definedName>
    <definedName name="BenchtopSupplierList">'Lookup Tables'!$U$2:$U$9</definedName>
    <definedName name="dataBasePath">'Lookup Tables'!$AD$2</definedName>
    <definedName name="employeeList">'Lookup Tables'!$K$3:$K$16</definedName>
    <definedName name="_xlnm.Extract" localSheetId="1">'Data Viewer'!$A$1:$AG$1</definedName>
    <definedName name="_xlnm.Extract" localSheetId="0">'Data Viewer1'!$A$1:$AG$1</definedName>
    <definedName name="FreightList">'Lookup Tables'!$W$2:$W$29</definedName>
    <definedName name="InstallerList">'Lookup Tables'!$AA$2:$AA$4</definedName>
    <definedName name="LeadTimes">'Lookup Tables'!$A$2:$A$6</definedName>
    <definedName name="LookupTableLeadTimes">'Lookup Tables'!$A$2:$D$6</definedName>
    <definedName name="LookupTableUserSettings">'Lookup Tables'!$K$3:$Q$16</definedName>
    <definedName name="MainContractorList">'Lookup Tables'!$S$2:$S$12</definedName>
    <definedName name="ProjectStatus">'Lookup Tables'!$I$2:$I$8</definedName>
    <definedName name="purchaseOrderPath">'Lookup Tables'!$AD$3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C2" i="2" a="1"/>
  <c r="AE2" i="2" a="1"/>
  <c r="AE2" i="2" l="1"/>
  <c r="C2" i="2"/>
  <c r="B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<sst xmlns="http://schemas.openxmlformats.org/spreadsheetml/2006/main" count="13826" uniqueCount="3056">
  <si>
    <t>Week</t>
  </si>
  <si>
    <t>Dispatch date</t>
  </si>
  <si>
    <t>Benchtop ordered by</t>
  </si>
  <si>
    <t>Day</t>
  </si>
  <si>
    <t>Job No</t>
  </si>
  <si>
    <t>Prod Input</t>
  </si>
  <si>
    <t>Materials ordered</t>
  </si>
  <si>
    <t>Released to factory</t>
  </si>
  <si>
    <t>Main contractor</t>
  </si>
  <si>
    <t>Client name</t>
  </si>
  <si>
    <t>Project colour</t>
  </si>
  <si>
    <t>Qty</t>
  </si>
  <si>
    <t>Flatbed</t>
  </si>
  <si>
    <t>Edgebander</t>
  </si>
  <si>
    <t>Assembly</t>
  </si>
  <si>
    <t>Installed Y/N</t>
  </si>
  <si>
    <t>Freight</t>
  </si>
  <si>
    <t>B Top supplier</t>
  </si>
  <si>
    <t>B Top Colour</t>
  </si>
  <si>
    <t>Installer</t>
  </si>
  <si>
    <t>Comment</t>
  </si>
  <si>
    <t>Delivery address</t>
  </si>
  <si>
    <t>Builder</t>
  </si>
  <si>
    <t>Builder phone</t>
  </si>
  <si>
    <t>M3</t>
  </si>
  <si>
    <t>Order number</t>
  </si>
  <si>
    <t>Date ordered</t>
  </si>
  <si>
    <t>Lead time</t>
  </si>
  <si>
    <t>Amount</t>
  </si>
  <si>
    <t>Project state</t>
  </si>
  <si>
    <t>Two</t>
  </si>
  <si>
    <t>Factory</t>
  </si>
  <si>
    <t>One</t>
  </si>
  <si>
    <t>Four</t>
  </si>
  <si>
    <t>Dispatch</t>
  </si>
  <si>
    <t>Design</t>
  </si>
  <si>
    <t>Invoiced</t>
  </si>
  <si>
    <t>Detail</t>
  </si>
  <si>
    <t>Production</t>
  </si>
  <si>
    <t>Three</t>
  </si>
  <si>
    <t>DP</t>
  </si>
  <si>
    <t>BC</t>
  </si>
  <si>
    <t>Paul</t>
  </si>
  <si>
    <t>CP</t>
  </si>
  <si>
    <t>RH</t>
  </si>
  <si>
    <t>Lead Times</t>
  </si>
  <si>
    <t>Number of days</t>
  </si>
  <si>
    <t>Holiday</t>
  </si>
  <si>
    <t>Project status</t>
  </si>
  <si>
    <t>User settings</t>
  </si>
  <si>
    <t>New Years Day</t>
  </si>
  <si>
    <t>Filter from</t>
  </si>
  <si>
    <t>Filter to</t>
  </si>
  <si>
    <t>Day After New Years Day</t>
  </si>
  <si>
    <t>Amie Smith</t>
  </si>
  <si>
    <t>Waitangi Day</t>
  </si>
  <si>
    <t>Bruno</t>
  </si>
  <si>
    <t>Good Friday</t>
  </si>
  <si>
    <t>Caiã</t>
  </si>
  <si>
    <t>Five</t>
  </si>
  <si>
    <t>Easter Monday</t>
  </si>
  <si>
    <t>Daniel</t>
  </si>
  <si>
    <t>Anzac Day</t>
  </si>
  <si>
    <t>Dwayne Keast</t>
  </si>
  <si>
    <t>Labour Day</t>
  </si>
  <si>
    <t>Emma Johnson</t>
  </si>
  <si>
    <t>Queens Birthday</t>
  </si>
  <si>
    <t>Glenn</t>
  </si>
  <si>
    <t>Chrismas Day</t>
  </si>
  <si>
    <t>Inwards Goods</t>
  </si>
  <si>
    <t>Boxing Day</t>
  </si>
  <si>
    <t>Jordyn Collins</t>
  </si>
  <si>
    <t>Lee Birch</t>
  </si>
  <si>
    <t>Mikayla Raye</t>
  </si>
  <si>
    <t>Richard</t>
  </si>
  <si>
    <t>Sophie Hill</t>
  </si>
  <si>
    <t>\\jssvr2\Office\Project Scheduling\Database.xlsx</t>
  </si>
  <si>
    <t>AS</t>
  </si>
  <si>
    <t>DK</t>
  </si>
  <si>
    <t>EJ</t>
  </si>
  <si>
    <t>IG</t>
  </si>
  <si>
    <t>JC</t>
  </si>
  <si>
    <t>LB</t>
  </si>
  <si>
    <t>MR</t>
  </si>
  <si>
    <t>SH</t>
  </si>
  <si>
    <t>GP</t>
  </si>
  <si>
    <t>PC</t>
  </si>
  <si>
    <t xml:space="preserve"> Path</t>
  </si>
  <si>
    <t>Database</t>
  </si>
  <si>
    <t>Prchase Orders</t>
  </si>
  <si>
    <t>X:\Purchase Orders\Files\Purchase order.xlsm</t>
  </si>
  <si>
    <t>✓</t>
  </si>
  <si>
    <t>REL</t>
  </si>
  <si>
    <t>Ezy Chch</t>
  </si>
  <si>
    <t>McEntee</t>
  </si>
  <si>
    <t>Prime White Emb</t>
  </si>
  <si>
    <t>n</t>
  </si>
  <si>
    <t>L9:30 H</t>
  </si>
  <si>
    <t>✓ - 3x parts</t>
  </si>
  <si>
    <t>plans and handles</t>
  </si>
  <si>
    <t>622 Worcester St,Linwood,CHCH</t>
  </si>
  <si>
    <t>Mike 0211759698</t>
  </si>
  <si>
    <t>INV5219</t>
  </si>
  <si>
    <t>Hanger Extra2</t>
  </si>
  <si>
    <t>Spice tray</t>
  </si>
  <si>
    <t>N</t>
  </si>
  <si>
    <t>pick up</t>
  </si>
  <si>
    <t>Pick up</t>
  </si>
  <si>
    <t>INV5215</t>
  </si>
  <si>
    <t>Ezy Hok</t>
  </si>
  <si>
    <t>Versatile Hauraki REWORK</t>
  </si>
  <si>
    <t>Arctic Grey Emb</t>
  </si>
  <si>
    <t>S</t>
  </si>
  <si>
    <t>1 x panel</t>
  </si>
  <si>
    <t>5A Pine tree RD,Kaniere</t>
  </si>
  <si>
    <t>no charge</t>
  </si>
  <si>
    <t>Rooke</t>
  </si>
  <si>
    <t>Quarter Fossill</t>
  </si>
  <si>
    <t>Missing 4/baskets for the pantry. And 1two five bin</t>
  </si>
  <si>
    <t>Craigs RD,Ruatapu,Hokitika.</t>
  </si>
  <si>
    <t>INV5212</t>
  </si>
  <si>
    <t>Manera panel</t>
  </si>
  <si>
    <t>Prime Snow Velvet</t>
  </si>
  <si>
    <t>s</t>
  </si>
  <si>
    <t>63 Kumara Junction Highway,Hokitika.</t>
  </si>
  <si>
    <t>E15627</t>
  </si>
  <si>
    <t>INV5199</t>
  </si>
  <si>
    <t>Hofman REWORK</t>
  </si>
  <si>
    <t>Seafog Velvet/Ironsand Emb</t>
  </si>
  <si>
    <t>115 Water Walk RD,Greymouth</t>
  </si>
  <si>
    <t>FOLLOW UP BIN</t>
  </si>
  <si>
    <t>Ezy Inv</t>
  </si>
  <si>
    <t>Oaks L1 R101 2B</t>
  </si>
  <si>
    <t>Melteca Aged Ash PG/Anthracite Velvet/Seal Grey Nat</t>
  </si>
  <si>
    <t>327-343 Frankton Rd,Queenstown</t>
  </si>
  <si>
    <t>INV5234</t>
  </si>
  <si>
    <t>Oaks L1 R102 2B</t>
  </si>
  <si>
    <t>Melteca Aged Ash PG,Seal Grey/Anthracite Velvet</t>
  </si>
  <si>
    <t>327 343 Frankton Rd,Queenstown</t>
  </si>
  <si>
    <t>INV5237</t>
  </si>
  <si>
    <t>Oaks L1 R103 2</t>
  </si>
  <si>
    <t>Meltwca Aged ash PG/Seal Grey/Anthracite Velvet</t>
  </si>
  <si>
    <t>327 343 Frankton Rd,Queenstown.</t>
  </si>
  <si>
    <t>INV5235</t>
  </si>
  <si>
    <t>Oaks L1 R104 2B</t>
  </si>
  <si>
    <t>Melteca Aged Ash PG/Seal Grey/Anthracite Velvet</t>
  </si>
  <si>
    <t>INV5236</t>
  </si>
  <si>
    <t>J Scene</t>
  </si>
  <si>
    <t>Eveline TV</t>
  </si>
  <si>
    <t>Bestwood Arctic Ice Gloss</t>
  </si>
  <si>
    <t>PAID</t>
  </si>
  <si>
    <t>Hood St</t>
  </si>
  <si>
    <t>16mm White</t>
  </si>
  <si>
    <t>Y</t>
  </si>
  <si>
    <t xml:space="preserve">VAN - 7:30 </t>
  </si>
  <si>
    <t>NA</t>
  </si>
  <si>
    <t>2/43 Hood st New Brighton</t>
  </si>
  <si>
    <t>Murray Brownie 0211219909</t>
  </si>
  <si>
    <t>INV5181</t>
  </si>
  <si>
    <t>Juralco</t>
  </si>
  <si>
    <t>Euro Towers 15 MADE</t>
  </si>
  <si>
    <t>cardboard box</t>
  </si>
  <si>
    <t>INV5210</t>
  </si>
  <si>
    <t>MF</t>
  </si>
  <si>
    <t>Crate</t>
  </si>
  <si>
    <t>Homeplus Wellington,60A Victoria St,Alicetown,Wellington.</t>
  </si>
  <si>
    <t>INV5224</t>
  </si>
  <si>
    <t>crate</t>
  </si>
  <si>
    <t>Homeplus wanganui,178 Glsgow St,Wanganui</t>
  </si>
  <si>
    <t>INV5229</t>
  </si>
  <si>
    <t>Ezy Alex</t>
  </si>
  <si>
    <t>McConnell Extra</t>
  </si>
  <si>
    <t>Melteca Bullet Pearl</t>
  </si>
  <si>
    <t>51C Russell St,Alexandra.</t>
  </si>
  <si>
    <t>NC</t>
  </si>
  <si>
    <t>Kaye</t>
  </si>
  <si>
    <t>bestwood Perfect White velvet</t>
  </si>
  <si>
    <t>please ring to organise delivery</t>
  </si>
  <si>
    <t>26 Wilkin RD Wanaka</t>
  </si>
  <si>
    <t>Debbie 02102332926</t>
  </si>
  <si>
    <t>INV5214</t>
  </si>
  <si>
    <t>Hamilton</t>
  </si>
  <si>
    <t>DEZIGNATEK NEW BLACK TEXTURE/Prime White</t>
  </si>
  <si>
    <t>40 Leet St,Invercargill.</t>
  </si>
  <si>
    <t>INV5228</t>
  </si>
  <si>
    <t>Stuck Extra</t>
  </si>
  <si>
    <t>40 Leet St,invercargill.</t>
  </si>
  <si>
    <t>INV5227</t>
  </si>
  <si>
    <t>Cullen L REWORK</t>
  </si>
  <si>
    <t>bestwood Pavement Emb</t>
  </si>
  <si>
    <t>1 x scriber</t>
  </si>
  <si>
    <t>Ezy Nel</t>
  </si>
  <si>
    <t>Cossey</t>
  </si>
  <si>
    <t>Prime White Emb 16MM</t>
  </si>
  <si>
    <t>Star</t>
  </si>
  <si>
    <t>4 Kotua Place.Stoke,nelson</t>
  </si>
  <si>
    <t>INV5213</t>
  </si>
  <si>
    <t>Lelo REWORK</t>
  </si>
  <si>
    <t>Prime Tusk Emb</t>
  </si>
  <si>
    <t>4 Kotua Place.stoke,nelson.</t>
  </si>
  <si>
    <t>Jason Skene</t>
  </si>
  <si>
    <t>Acrylic Black Matt</t>
  </si>
  <si>
    <t>INV5233</t>
  </si>
  <si>
    <t>Homeplus Southland,44 Leet St,Invercargill.</t>
  </si>
  <si>
    <t>INV5238</t>
  </si>
  <si>
    <t>Church E</t>
  </si>
  <si>
    <t>Dezigna White Emb</t>
  </si>
  <si>
    <t>scriber</t>
  </si>
  <si>
    <t>10172E</t>
  </si>
  <si>
    <t>INV5222</t>
  </si>
  <si>
    <t>Martin</t>
  </si>
  <si>
    <t>White Pointer Velvet</t>
  </si>
  <si>
    <t>63 Kumara Junction Highway.7882</t>
  </si>
  <si>
    <t>INV5226</t>
  </si>
  <si>
    <t>Ezy Tim</t>
  </si>
  <si>
    <t>Murphy</t>
  </si>
  <si>
    <t>Prime Transformer Emb</t>
  </si>
  <si>
    <t>Mcmillan</t>
  </si>
  <si>
    <t>224 Nixons RD,Fairlie</t>
  </si>
  <si>
    <t>E67749</t>
  </si>
  <si>
    <t>INV5225</t>
  </si>
  <si>
    <t>Jackson Panel</t>
  </si>
  <si>
    <t>Melteca Possum Pearl</t>
  </si>
  <si>
    <t>McMillan</t>
  </si>
  <si>
    <t>204 Hilton Highway,Timaru</t>
  </si>
  <si>
    <t>E67778</t>
  </si>
  <si>
    <t>INV5230</t>
  </si>
  <si>
    <t xml:space="preserve">Dewar </t>
  </si>
  <si>
    <t>FOLLOW UP D/TEK DOORS</t>
  </si>
  <si>
    <t xml:space="preserve">McMillan </t>
  </si>
  <si>
    <t>E67458</t>
  </si>
  <si>
    <t>A1 Crom</t>
  </si>
  <si>
    <t>Johstone O LED lighting</t>
  </si>
  <si>
    <t>LED Lighting</t>
  </si>
  <si>
    <t>Cnr Barry Ave and McNulty RD,Cromwell</t>
  </si>
  <si>
    <t>John 0212473505</t>
  </si>
  <si>
    <t>Benjamin REWORK</t>
  </si>
  <si>
    <t xml:space="preserve">Prime Hwite EMB L/E / White pointer velvet </t>
  </si>
  <si>
    <t xml:space="preserve">Laminex Concrete Formwood natural with euro edge </t>
  </si>
  <si>
    <t xml:space="preserve">56 Little Maude Drive, Timsfield Lake Hawea </t>
  </si>
  <si>
    <t>Tom Anderson 021 255 1296</t>
  </si>
  <si>
    <t>INV</t>
  </si>
  <si>
    <t xml:space="preserve"> Knights</t>
  </si>
  <si>
    <t>Melteca Snowdrift Naturale/Black Wilderness</t>
  </si>
  <si>
    <t>✓ - 1x parts</t>
  </si>
  <si>
    <t>Snowdrift Velour</t>
  </si>
  <si>
    <t>24 Woodpecker St,Lake Hawea</t>
  </si>
  <si>
    <t>OS955</t>
  </si>
  <si>
    <t>INV5247</t>
  </si>
  <si>
    <t>Dickson</t>
  </si>
  <si>
    <t>Prime Anthracite Velvet</t>
  </si>
  <si>
    <t>Mark 0211147447</t>
  </si>
  <si>
    <t>EKALX-M-173</t>
  </si>
  <si>
    <t>INV5241</t>
  </si>
  <si>
    <t>Breen</t>
  </si>
  <si>
    <t>Melteca Fog Nat</t>
  </si>
  <si>
    <t>51C Russell St,alexandra</t>
  </si>
  <si>
    <t>INV5242</t>
  </si>
  <si>
    <t>Clark Extra</t>
  </si>
  <si>
    <t>51c Russell St,Alexandra</t>
  </si>
  <si>
    <t>EK-ALX-L-104</t>
  </si>
  <si>
    <t>INV5244</t>
  </si>
  <si>
    <t>Gibbs</t>
  </si>
  <si>
    <t>Prime Half Truffle Velvet</t>
  </si>
  <si>
    <t>L 7:30 H</t>
  </si>
  <si>
    <t>✓ - 2x parts</t>
  </si>
  <si>
    <t>APPLIANCES</t>
  </si>
  <si>
    <t>70 trevor St,Hornby</t>
  </si>
  <si>
    <t>Trevor 039428569</t>
  </si>
  <si>
    <t>INV5231</t>
  </si>
  <si>
    <t>Hunt Extra</t>
  </si>
  <si>
    <t>Charred Oak WG</t>
  </si>
  <si>
    <t>POWER PACK</t>
  </si>
  <si>
    <t>10122E</t>
  </si>
  <si>
    <t>INV5218</t>
  </si>
  <si>
    <t>Ezy Dun</t>
  </si>
  <si>
    <t>Robertson</t>
  </si>
  <si>
    <t>Bestwood limestone Velvet</t>
  </si>
  <si>
    <t>ezy Kitchens Storage,25 Cumberland St,dunedin.</t>
  </si>
  <si>
    <t>INV5243</t>
  </si>
  <si>
    <t>Frame extra</t>
  </si>
  <si>
    <t>Prime New Half Spanish White</t>
  </si>
  <si>
    <t>Ezy Kitchens Storage,25 Cumberland St,Dunedin.</t>
  </si>
  <si>
    <t>INV5245</t>
  </si>
  <si>
    <t>Kay REWORK</t>
  </si>
  <si>
    <t>QRT Thorndon Cream</t>
  </si>
  <si>
    <t>4 Kotua Place,stoke ,Nelson</t>
  </si>
  <si>
    <t>k Valley Stands</t>
  </si>
  <si>
    <t>Southern Oak W Prime Black</t>
  </si>
  <si>
    <t>by client</t>
  </si>
  <si>
    <t>STAGE 1</t>
  </si>
  <si>
    <t>560 Kaikorai valley RD,Dunedin</t>
  </si>
  <si>
    <t xml:space="preserve">Stage 1 </t>
  </si>
  <si>
    <t>Andy Bay Stands</t>
  </si>
  <si>
    <t>Southern Oak W/Prime black Emb</t>
  </si>
  <si>
    <t>By client</t>
  </si>
  <si>
    <t>TBC</t>
  </si>
  <si>
    <t>Homeplus Wellington,60A Victoria St,Alicetown,Wellington</t>
  </si>
  <si>
    <t>INV5250</t>
  </si>
  <si>
    <t>Beard E</t>
  </si>
  <si>
    <t>Snowdrift Pearl</t>
  </si>
  <si>
    <t>1 x door</t>
  </si>
  <si>
    <t>Central Otago District Council Building Department 1 Dunorling St,Alexandra.</t>
  </si>
  <si>
    <t>OS948</t>
  </si>
  <si>
    <t>INV5186</t>
  </si>
  <si>
    <t>Church</t>
  </si>
  <si>
    <t>Prime Dezigna White Emb</t>
  </si>
  <si>
    <t>send eurotech 60</t>
  </si>
  <si>
    <t>54 Winters RD,Redwood,CHCH</t>
  </si>
  <si>
    <t>Nikki 0274158462</t>
  </si>
  <si>
    <t>INV5177</t>
  </si>
  <si>
    <t>Triin</t>
  </si>
  <si>
    <t>Bestwood carbon Velvet/Prime tawa WF</t>
  </si>
  <si>
    <t>L11:30 H</t>
  </si>
  <si>
    <t>43C Seddon St,Spreydon</t>
  </si>
  <si>
    <t>Triin 0211884055</t>
  </si>
  <si>
    <t>INV5174</t>
  </si>
  <si>
    <t>Chittock</t>
  </si>
  <si>
    <t>Ezy Kitchens dunedin Storage,25 Cumberland St,Dunedin</t>
  </si>
  <si>
    <t>INV5206</t>
  </si>
  <si>
    <t>Scott</t>
  </si>
  <si>
    <t>Prime Black Emb</t>
  </si>
  <si>
    <t>15 Plunket St,Runanga</t>
  </si>
  <si>
    <t>INV5197</t>
  </si>
  <si>
    <t>Whitcombe</t>
  </si>
  <si>
    <t>PANTRY HARDWARE FOLLOW UP</t>
  </si>
  <si>
    <t>State highway 6,Seaveiw,Hokitika.</t>
  </si>
  <si>
    <t>Matiaha Extra 2</t>
  </si>
  <si>
    <t>DEZIGNATEK SERIES ONE LYON</t>
  </si>
  <si>
    <t>40 Leet St.Invercargill.</t>
  </si>
  <si>
    <t>INV5093</t>
  </si>
  <si>
    <t>Eddie Smith L</t>
  </si>
  <si>
    <t>Bestwood Mist Emb</t>
  </si>
  <si>
    <t>INV5187</t>
  </si>
  <si>
    <t>Shaw</t>
  </si>
  <si>
    <t>Prime white emb/Prime Brushed Pewter Velvet</t>
  </si>
  <si>
    <t>Cromwell</t>
  </si>
  <si>
    <t>INV5188</t>
  </si>
  <si>
    <t>Tomlins REWORK</t>
  </si>
  <si>
    <t>Prime Frost Grey</t>
  </si>
  <si>
    <t>2 x Doors</t>
  </si>
  <si>
    <t>Ezy Invercargill</t>
  </si>
  <si>
    <t>5 x sheets 16mm White Emb</t>
  </si>
  <si>
    <t>INV5192</t>
  </si>
  <si>
    <t>Fry</t>
  </si>
  <si>
    <t>Prime Urban Velvet</t>
  </si>
  <si>
    <t>REFACE</t>
  </si>
  <si>
    <t>4 Kotua Place,Stoke,Nelson.</t>
  </si>
  <si>
    <t>INV5194</t>
  </si>
  <si>
    <t>johnson</t>
  </si>
  <si>
    <t>Melteca Caribbean Nat</t>
  </si>
  <si>
    <t>12 Moore St,Timaru</t>
  </si>
  <si>
    <t>Jo 0212965147</t>
  </si>
  <si>
    <t>E63889</t>
  </si>
  <si>
    <t>INV5201</t>
  </si>
  <si>
    <t>GH Williams And Taylor</t>
  </si>
  <si>
    <t>Prime White Pointer Velvet</t>
  </si>
  <si>
    <t>E63893</t>
  </si>
  <si>
    <t>INV5200</t>
  </si>
  <si>
    <t>McKenzie</t>
  </si>
  <si>
    <t>24 Grange Close,mountain Veiw,Timaru</t>
  </si>
  <si>
    <t>E67732</t>
  </si>
  <si>
    <t>INV5202</t>
  </si>
  <si>
    <t>Thomas</t>
  </si>
  <si>
    <t>Bestwood Perfect white Velvet/Bestwood Carbon Emb</t>
  </si>
  <si>
    <t>74 Dobson St,Timaru</t>
  </si>
  <si>
    <t>E67495</t>
  </si>
  <si>
    <t>INV5184</t>
  </si>
  <si>
    <t>Beswick</t>
  </si>
  <si>
    <t>E67480</t>
  </si>
  <si>
    <t>Weastell</t>
  </si>
  <si>
    <t>E67492</t>
  </si>
  <si>
    <t>A1 Chch</t>
  </si>
  <si>
    <t>Kruszewski</t>
  </si>
  <si>
    <t>MDF STAIR</t>
  </si>
  <si>
    <t>6 Alymer Place,Franz Joeseph,7886</t>
  </si>
  <si>
    <t>CH961</t>
  </si>
  <si>
    <t>INV5185</t>
  </si>
  <si>
    <t>Loretz REWORK</t>
  </si>
  <si>
    <t>DEZIGNATEK WOLFMAN GREY RHONDA</t>
  </si>
  <si>
    <t xml:space="preserve">Pick up </t>
  </si>
  <si>
    <t>wait on a scribers D/TEK and back panel</t>
  </si>
  <si>
    <t>54 Terrace RD,Leithfeild</t>
  </si>
  <si>
    <t>Rebecca 0226321971</t>
  </si>
  <si>
    <t>Kay</t>
  </si>
  <si>
    <t>INV5193</t>
  </si>
  <si>
    <t>Walker B</t>
  </si>
  <si>
    <t>Replacement Bowl</t>
  </si>
  <si>
    <t>BOWL ONLY</t>
  </si>
  <si>
    <t>32 Harrowdale St,Avonhead</t>
  </si>
  <si>
    <t>INV5123</t>
  </si>
  <si>
    <t>Rabbette</t>
  </si>
  <si>
    <t>Melteca Snowdrift Nat</t>
  </si>
  <si>
    <t>EKALX-M-199</t>
  </si>
  <si>
    <t>INV5204</t>
  </si>
  <si>
    <t>Thatcher</t>
  </si>
  <si>
    <t>Prime White emb/Prime Hickory Walnut TBL</t>
  </si>
  <si>
    <t xml:space="preserve">Landau pick up </t>
  </si>
  <si>
    <t>8 Anne Ward Lane,Burwood,CHCH</t>
  </si>
  <si>
    <t>Kim 0279420046</t>
  </si>
  <si>
    <t>INv5221</t>
  </si>
  <si>
    <t>Richardson</t>
  </si>
  <si>
    <t>Prime Dezigna White</t>
  </si>
  <si>
    <t>Brendon 021518350</t>
  </si>
  <si>
    <t>INV5178</t>
  </si>
  <si>
    <t>Hunter</t>
  </si>
  <si>
    <t>INV5217</t>
  </si>
  <si>
    <t>Hanger E</t>
  </si>
  <si>
    <t xml:space="preserve">White </t>
  </si>
  <si>
    <t xml:space="preserve">Cutting down two drawers </t>
  </si>
  <si>
    <t>INV5135</t>
  </si>
  <si>
    <t>Murray Extra</t>
  </si>
  <si>
    <t>DESIGNATEK ALBA FEATHER WHITE</t>
  </si>
  <si>
    <t>Ezy Kitchens Dunedin Storage,25 Cumberland St,Dunedin</t>
  </si>
  <si>
    <t>INV5205</t>
  </si>
  <si>
    <t>Stevenson</t>
  </si>
  <si>
    <t>Ezy Kitchens Storage,25 Cumberland St,Dunedin</t>
  </si>
  <si>
    <t>INV5207</t>
  </si>
  <si>
    <t>Marshall Extra</t>
  </si>
  <si>
    <t>DEZIGNATEK SERIES THREE OSLO TAUPE MATT</t>
  </si>
  <si>
    <t>INV5240</t>
  </si>
  <si>
    <t>Darindale trust</t>
  </si>
  <si>
    <t>Bestwood Urban Velvet</t>
  </si>
  <si>
    <t>40 Leet St. Invercargill.</t>
  </si>
  <si>
    <t>INV5191</t>
  </si>
  <si>
    <t>Cullen Laundry</t>
  </si>
  <si>
    <t>INV5189</t>
  </si>
  <si>
    <t>Smith and Sons</t>
  </si>
  <si>
    <t xml:space="preserve"> </t>
  </si>
  <si>
    <t>40 Leet st,Invercargill.</t>
  </si>
  <si>
    <t>INV5190</t>
  </si>
  <si>
    <t>Shanks</t>
  </si>
  <si>
    <t>145 Keane RD,Levels Valley</t>
  </si>
  <si>
    <t>E67723</t>
  </si>
  <si>
    <t>INV5203</t>
  </si>
  <si>
    <t>Ruby Extra</t>
  </si>
  <si>
    <t>Sea fog velvet /French Oak</t>
  </si>
  <si>
    <t>10170E</t>
  </si>
  <si>
    <t>IJNV5216</t>
  </si>
  <si>
    <t>Thatcher E</t>
  </si>
  <si>
    <t>drop off</t>
  </si>
  <si>
    <t>Thu</t>
  </si>
  <si>
    <t>Fri</t>
  </si>
  <si>
    <t>Tue</t>
  </si>
  <si>
    <t>Duckworth</t>
  </si>
  <si>
    <t>4 x Hettich Hinges PC ordered</t>
  </si>
  <si>
    <t>hardware only</t>
  </si>
  <si>
    <t xml:space="preserve">PC </t>
  </si>
  <si>
    <t>Hofman</t>
  </si>
  <si>
    <t>INV5149</t>
  </si>
  <si>
    <t>Diver</t>
  </si>
  <si>
    <t xml:space="preserve">Snow Velvet </t>
  </si>
  <si>
    <t>NO</t>
  </si>
  <si>
    <t>Wilsonart Calcutta Marble</t>
  </si>
  <si>
    <t>38 Lamorna RD,Parklands.</t>
  </si>
  <si>
    <t>INV5160</t>
  </si>
  <si>
    <t>251 Silverstream</t>
  </si>
  <si>
    <t>Black Wilderness/Black Gloss Plus</t>
  </si>
  <si>
    <t>L 11:30 H</t>
  </si>
  <si>
    <t>John 0226017045</t>
  </si>
  <si>
    <t>INV5158</t>
  </si>
  <si>
    <t>Homeplus Wellington,60A Victoria Street,Alicetown,Wellington</t>
  </si>
  <si>
    <t>INV5154</t>
  </si>
  <si>
    <t>Benjamin</t>
  </si>
  <si>
    <t>INV518/2</t>
  </si>
  <si>
    <t>McConnell</t>
  </si>
  <si>
    <t>EK-ALX-L-075</t>
  </si>
  <si>
    <t>INV5140</t>
  </si>
  <si>
    <t>De Luc Rework</t>
  </si>
  <si>
    <t xml:space="preserve">Prime Mel Half Truffle Velvet </t>
  </si>
  <si>
    <t>new pantry</t>
  </si>
  <si>
    <t xml:space="preserve">51c Russell Street, Alexandra </t>
  </si>
  <si>
    <t>EKALX- M -189</t>
  </si>
  <si>
    <t>De Luc Extra2</t>
  </si>
  <si>
    <t>Half Truffle Velvet</t>
  </si>
  <si>
    <t>51C Russell St ,Alexandra</t>
  </si>
  <si>
    <t xml:space="preserve">NOT IN MM </t>
  </si>
  <si>
    <t xml:space="preserve">Cronan </t>
  </si>
  <si>
    <t xml:space="preserve">Dezignatek Designer white satin ronda/ prime dezigna white emb </t>
  </si>
  <si>
    <t xml:space="preserve">** APPLIANCES </t>
  </si>
  <si>
    <t xml:space="preserve">22 Celia Street, Redcliffs , Christchurch </t>
  </si>
  <si>
    <t>INV5133</t>
  </si>
  <si>
    <t>Horridge Extra</t>
  </si>
  <si>
    <t>Arctic Ice Gloss</t>
  </si>
  <si>
    <t>63 State Highway 6,Seaveiw,Hokitika</t>
  </si>
  <si>
    <t>P7375</t>
  </si>
  <si>
    <t>INV5148</t>
  </si>
  <si>
    <t>Baptie</t>
  </si>
  <si>
    <t>63 Kumara Junction highway,Hokitika.</t>
  </si>
  <si>
    <t>INV5147</t>
  </si>
  <si>
    <t>Warren</t>
  </si>
  <si>
    <t>brushed Pewter Velvet</t>
  </si>
  <si>
    <t>217 Revell St,Hokitika.</t>
  </si>
  <si>
    <t>INV5146</t>
  </si>
  <si>
    <t>Beal REWORK</t>
  </si>
  <si>
    <t>Bin and doors</t>
  </si>
  <si>
    <t>182 Rolleston St,Hokitika.</t>
  </si>
  <si>
    <t>Stuck</t>
  </si>
  <si>
    <t>Bestwood Arctic Ice Gloss Plus</t>
  </si>
  <si>
    <t>40 Leet St Invercargill.</t>
  </si>
  <si>
    <t>INV5145</t>
  </si>
  <si>
    <t>Douglas</t>
  </si>
  <si>
    <t>40 Leet St ,Invercargill.</t>
  </si>
  <si>
    <t>INV5144</t>
  </si>
  <si>
    <t>Talia Matiaha</t>
  </si>
  <si>
    <t>Prime white Emb REWORK</t>
  </si>
  <si>
    <t>Brown e</t>
  </si>
  <si>
    <t>INV5143</t>
  </si>
  <si>
    <t>MRV Doors</t>
  </si>
  <si>
    <t>White Velvet</t>
  </si>
  <si>
    <t>Drop off</t>
  </si>
  <si>
    <t>Homeplus Gisbourne,390 Gladstone RD,Gisbourne</t>
  </si>
  <si>
    <t>INV5157</t>
  </si>
  <si>
    <t>Hunt</t>
  </si>
  <si>
    <t>Bestwood Arctic White Emb/Bestwood Charred Oak WG</t>
  </si>
  <si>
    <t>L 10:30 H</t>
  </si>
  <si>
    <t>Marbello</t>
  </si>
  <si>
    <t>677 Bangor RD,RD1,Darfeild</t>
  </si>
  <si>
    <t>Phil 0274520121</t>
  </si>
  <si>
    <t>INV5176</t>
  </si>
  <si>
    <t>Marquet Extra</t>
  </si>
  <si>
    <t>10158E</t>
  </si>
  <si>
    <t>INV5173</t>
  </si>
  <si>
    <t>Rowland</t>
  </si>
  <si>
    <t>Fumed Oak Velvet/Sea Fog</t>
  </si>
  <si>
    <t>22 Karoro Place,Greymouth</t>
  </si>
  <si>
    <t>INV5198</t>
  </si>
  <si>
    <t>Marlies</t>
  </si>
  <si>
    <t>Prime White EMB / Snowdrift satin/ planked urban oak puregrain</t>
  </si>
  <si>
    <t>L7:30 H</t>
  </si>
  <si>
    <t xml:space="preserve">Laminex Planked Urban Oak euro edge </t>
  </si>
  <si>
    <t>249 Fifield Terrace, Opawa</t>
  </si>
  <si>
    <t>Marlies 0273513013</t>
  </si>
  <si>
    <t>INV5183</t>
  </si>
  <si>
    <t>Scott 2</t>
  </si>
  <si>
    <t>Ironsand Velvet / Southern Oak</t>
  </si>
  <si>
    <t>63 Kumara Junction Highway</t>
  </si>
  <si>
    <t>INV5195</t>
  </si>
  <si>
    <t>INV509</t>
  </si>
  <si>
    <t>Name abbreviation</t>
  </si>
  <si>
    <t>Sort on column</t>
  </si>
  <si>
    <t/>
  </si>
  <si>
    <t>Birchfield</t>
  </si>
  <si>
    <t>Carbon emb / Southern Oak</t>
  </si>
  <si>
    <t>-</t>
  </si>
  <si>
    <t>Southways</t>
  </si>
  <si>
    <t>42 Brickfield Rd, Hokitika</t>
  </si>
  <si>
    <t>GJ Allen</t>
  </si>
  <si>
    <t>Artic grey emb / Etched graphite velvet</t>
  </si>
  <si>
    <t>344 Arapito Rd, Karamea 7893</t>
  </si>
  <si>
    <t>Glacier Joinery</t>
  </si>
  <si>
    <t>Powder coated handles</t>
  </si>
  <si>
    <t>State highway 6, Seaview, Hokitika</t>
  </si>
  <si>
    <t>P7311</t>
  </si>
  <si>
    <t>Birchfield Laundry</t>
  </si>
  <si>
    <t>Carbon</t>
  </si>
  <si>
    <t>42 Brickfield Rd, Hokotika</t>
  </si>
  <si>
    <t>Mainfreight</t>
  </si>
  <si>
    <t>Homeplus Gisbourne, 390 Gladstone Rd, Gisbourne</t>
  </si>
  <si>
    <t>No</t>
  </si>
  <si>
    <t>Landau 9:30</t>
  </si>
  <si>
    <t>Earland</t>
  </si>
  <si>
    <t>Primewhite emb</t>
  </si>
  <si>
    <t>51c Russell st, Alexandra</t>
  </si>
  <si>
    <t>EKALEX-M-193</t>
  </si>
  <si>
    <t>EK Christchurch</t>
  </si>
  <si>
    <t>Gilchrist</t>
  </si>
  <si>
    <t>Prime dezigna White Emb/Bestwood Perfect Oak WG</t>
  </si>
  <si>
    <t>Landau 2:30</t>
  </si>
  <si>
    <t>95 Mersey St,St Albans,CHCH</t>
  </si>
  <si>
    <t>Taimalie</t>
  </si>
  <si>
    <t>Melteca Snowdrift Pearl/Prime White Emb</t>
  </si>
  <si>
    <t>Prices,61 North Taieri RD,Abbotsford,Dunedin.</t>
  </si>
  <si>
    <t>40 Leet Sty,Invercargill.</t>
  </si>
  <si>
    <t>Crighton</t>
  </si>
  <si>
    <t>Prime Chalk Emb</t>
  </si>
  <si>
    <t>Smith E</t>
  </si>
  <si>
    <t>16MM White</t>
  </si>
  <si>
    <t>Bestwood Subtle Grey Velvet</t>
  </si>
  <si>
    <t>Bestwood fiordland Elm W/Prime Honed Silica velvet</t>
  </si>
  <si>
    <t>4 Kotua Place,stoke,Nelson.</t>
  </si>
  <si>
    <t xml:space="preserve">Toa </t>
  </si>
  <si>
    <t>DEZIGNATEK CLASSIC WHITE SATIN RHONDA</t>
  </si>
  <si>
    <t>4 Kotua Place,Stoke Nelson</t>
  </si>
  <si>
    <t>Stands Langdons RD</t>
  </si>
  <si>
    <t>Southern Oak</t>
  </si>
  <si>
    <t>84 Langdons RD</t>
  </si>
  <si>
    <t>Hooper</t>
  </si>
  <si>
    <t>Pick up handles from POWDER COATER</t>
  </si>
  <si>
    <t>Powder Coater</t>
  </si>
  <si>
    <t>Hayward</t>
  </si>
  <si>
    <t>Prime Acrylic Black Matt/Bestwood black Wilderness.</t>
  </si>
  <si>
    <t>161 divan RD,Timaru.</t>
  </si>
  <si>
    <t>E65799</t>
  </si>
  <si>
    <t>Brill Extra</t>
  </si>
  <si>
    <t>Melteca Bullet wilderness</t>
  </si>
  <si>
    <t>Landau 10:00</t>
  </si>
  <si>
    <t>7 Francis James Lane,Redcliffes</t>
  </si>
  <si>
    <t>Irsigler</t>
  </si>
  <si>
    <t xml:space="preserve"> prime  black Emb</t>
  </si>
  <si>
    <t>Landau 7:30</t>
  </si>
  <si>
    <t>5693 West Coast RD,Springfeild.</t>
  </si>
  <si>
    <t>Farringdon South W5</t>
  </si>
  <si>
    <t>Prime Sea Fog Velvet/Prime Baroque Timberland</t>
  </si>
  <si>
    <t>46 Wallingford Cres</t>
  </si>
  <si>
    <t>Johnston K</t>
  </si>
  <si>
    <t>Bestwood Simply White</t>
  </si>
  <si>
    <t>4 Stables Place, Authers Point,Queenstown.</t>
  </si>
  <si>
    <t>OS926</t>
  </si>
  <si>
    <t>Mulholand</t>
  </si>
  <si>
    <t>Melteca Charred Oak PG</t>
  </si>
  <si>
    <t>16 knox St,Ranfurly</t>
  </si>
  <si>
    <t>OS936</t>
  </si>
  <si>
    <t>McCrostie</t>
  </si>
  <si>
    <t>Prime snow Velvet</t>
  </si>
  <si>
    <t>51C Russell St,alexandra.</t>
  </si>
  <si>
    <t>EK-ALX-L-062</t>
  </si>
  <si>
    <t>Tangimetua</t>
  </si>
  <si>
    <t xml:space="preserve">QRT Thorndon cream Velvet/Fumed </t>
  </si>
  <si>
    <t>Lot 12 Terrace Veiw,Hokitika.</t>
  </si>
  <si>
    <t>Knox extra</t>
  </si>
  <si>
    <t>DEZIGNATEK MALAGA QTR THONDON CREAM</t>
  </si>
  <si>
    <t>GH Wallace</t>
  </si>
  <si>
    <t>Bestwood Perfect White velvet</t>
  </si>
  <si>
    <t>204 Hilton Highway,Timaru.</t>
  </si>
  <si>
    <t>E66188</t>
  </si>
  <si>
    <t>Prices K</t>
  </si>
  <si>
    <t>Melteca Malibu Nat/Burnishedwood PG</t>
  </si>
  <si>
    <t>11 Challis Place, Mount Pleasant.</t>
  </si>
  <si>
    <t>Prices L</t>
  </si>
  <si>
    <t>11 Challis Place,Mount Pleasant</t>
  </si>
  <si>
    <t>EURO TOWERS 16MM WHITE</t>
  </si>
  <si>
    <t>Kerr</t>
  </si>
  <si>
    <t>DEZIGNATEK CLASSIC WHITE SATIN MILAN</t>
  </si>
  <si>
    <t>84 Nayland St , Sumner</t>
  </si>
  <si>
    <t>smith</t>
  </si>
  <si>
    <t>bestwood southern oak/prime White velvet</t>
  </si>
  <si>
    <t>14 Kelburn place,Ashburton</t>
  </si>
  <si>
    <t>CH978</t>
  </si>
  <si>
    <t>Sargent</t>
  </si>
  <si>
    <t>Bestwood Mist Grey Emb</t>
  </si>
  <si>
    <t>EKALX-M-201</t>
  </si>
  <si>
    <t>Cocrane</t>
  </si>
  <si>
    <t>Mortimer</t>
  </si>
  <si>
    <t xml:space="preserve">Lynch </t>
  </si>
  <si>
    <t>Melteca Snowdrift Naturale</t>
  </si>
  <si>
    <t>41 Ann St,Roslyn,Dunedin.</t>
  </si>
  <si>
    <t>Morton Extra</t>
  </si>
  <si>
    <t>DESIGNA TEK TUSK SATIN CAPRI</t>
  </si>
  <si>
    <t>10069E</t>
  </si>
  <si>
    <t>Farringdon South W4</t>
  </si>
  <si>
    <t>Landau 12:30</t>
  </si>
  <si>
    <t>Costas P</t>
  </si>
  <si>
    <t>MDF Laquered DULUX OKARITO SATIN FIN</t>
  </si>
  <si>
    <t>DROP OFF</t>
  </si>
  <si>
    <t>165 raddens RD,Ohoka.</t>
  </si>
  <si>
    <t>Tom Dagg</t>
  </si>
  <si>
    <t>Bestwood carbon emb</t>
  </si>
  <si>
    <t>29 Bannister St, Hanleys Farm,Queesntown.</t>
  </si>
  <si>
    <t>Swanson</t>
  </si>
  <si>
    <t>Melteca NZ Tawa WG</t>
  </si>
  <si>
    <t>Bulovic</t>
  </si>
  <si>
    <t>Bestwood Mist grey Emb</t>
  </si>
  <si>
    <t>573 hororata RD,Coalgate 7572</t>
  </si>
  <si>
    <t>PB957</t>
  </si>
  <si>
    <t>Bulovic WS</t>
  </si>
  <si>
    <t>573 Hororata RD,Coalgate,7572</t>
  </si>
  <si>
    <t>White Pointer</t>
  </si>
  <si>
    <t>AGB</t>
  </si>
  <si>
    <t>47 camp Town RD,Arnold Valley,Ngahere,7872</t>
  </si>
  <si>
    <t>Davis</t>
  </si>
  <si>
    <t>DEZIGNATEK QRT THORNDON CREAM RHONDA</t>
  </si>
  <si>
    <t>4 Kotua Place,Stoke,Nelson</t>
  </si>
  <si>
    <t>Prime Acrylic Arctic Gloss/Melteca Snowdrift High Gloss</t>
  </si>
  <si>
    <t>286 Trices RD,Preebleton</t>
  </si>
  <si>
    <t>Mita</t>
  </si>
  <si>
    <t>DEZIGNATEK HALF SPANISH WHITE TEXT MILAN</t>
  </si>
  <si>
    <t>2</t>
  </si>
  <si>
    <t>Pick Up</t>
  </si>
  <si>
    <t>10104</t>
  </si>
  <si>
    <t>$206.72</t>
  </si>
  <si>
    <t>Farringdon South W3</t>
  </si>
  <si>
    <t>Prime Sea Fog/Prime Baroque Timberland</t>
  </si>
  <si>
    <t>46 Wallingford cres</t>
  </si>
  <si>
    <t>Pod Cocept K</t>
  </si>
  <si>
    <t>Prime Qrt Napa Emb</t>
  </si>
  <si>
    <t>Landau 1:00</t>
  </si>
  <si>
    <t>smiths Crane Hire,484 Johns RD,Harewood.</t>
  </si>
  <si>
    <t>Knucky K</t>
  </si>
  <si>
    <t>11</t>
  </si>
  <si>
    <t>247 Creyke RD,Darfeild</t>
  </si>
  <si>
    <t>CH974</t>
  </si>
  <si>
    <t>$15,770.28</t>
  </si>
  <si>
    <t>Knucky Hall</t>
  </si>
  <si>
    <t>1</t>
  </si>
  <si>
    <t>$141.83</t>
  </si>
  <si>
    <t>Knuckey W</t>
  </si>
  <si>
    <t>247 Creyke Rd,Darfeild.</t>
  </si>
  <si>
    <t>Pod concepts B</t>
  </si>
  <si>
    <t>6</t>
  </si>
  <si>
    <t>Smiths crane Hire,484 Johns RD,Harewood.</t>
  </si>
  <si>
    <t>$4,223.21</t>
  </si>
  <si>
    <t>Farringdon South K3</t>
  </si>
  <si>
    <t>Prime Snow Velvet/Prime Nordic ash WG</t>
  </si>
  <si>
    <t>16</t>
  </si>
  <si>
    <t xml:space="preserve">32 Kemble Drive </t>
  </si>
  <si>
    <t>Farringdon South W2</t>
  </si>
  <si>
    <t>Prime Sea Fog/Prime baroque Timberland</t>
  </si>
  <si>
    <t>46 wallingford Cres</t>
  </si>
  <si>
    <t>Farringdon South W1</t>
  </si>
  <si>
    <t>Prime Sea Fog/prime baroque Timberland</t>
  </si>
  <si>
    <t>Farringdon South K2</t>
  </si>
  <si>
    <t>32 kemble Drive</t>
  </si>
  <si>
    <t>Garth</t>
  </si>
  <si>
    <t>INV4835</t>
  </si>
  <si>
    <t>INV4701</t>
  </si>
  <si>
    <t>Lynch Rework</t>
  </si>
  <si>
    <t>Melteca Dark Oak Puregrain</t>
  </si>
  <si>
    <t xml:space="preserve">Doors ** Extra hinge </t>
  </si>
  <si>
    <t>Jacob</t>
  </si>
  <si>
    <t>021 727 833</t>
  </si>
  <si>
    <t>Sweetman</t>
  </si>
  <si>
    <t>Bestwood Limestone Velvet</t>
  </si>
  <si>
    <t>State Highway 6,Seaveiw,Hokitika.</t>
  </si>
  <si>
    <t>INV4704</t>
  </si>
  <si>
    <t>Morrison</t>
  </si>
  <si>
    <t>Bestwood Limestone VelvetBestwood Indian Ink EMB</t>
  </si>
  <si>
    <t>INV4703</t>
  </si>
  <si>
    <t xml:space="preserve">Lines E </t>
  </si>
  <si>
    <t xml:space="preserve">Prime Ironsand Emb </t>
  </si>
  <si>
    <t>40 Leet street invercargill</t>
  </si>
  <si>
    <t>INV4672</t>
  </si>
  <si>
    <t xml:space="preserve">Leith </t>
  </si>
  <si>
    <t xml:space="preserve">Prime Quarter Napa Velvet </t>
  </si>
  <si>
    <t xml:space="preserve">S </t>
  </si>
  <si>
    <t xml:space="preserve">40 Leet street Street Invercargill </t>
  </si>
  <si>
    <t>INV4702</t>
  </si>
  <si>
    <t>Bunn</t>
  </si>
  <si>
    <t>QRT Thorndon Cream Velvet/Frost Grey Emb</t>
  </si>
  <si>
    <t>4 kotua Place,Stoke,Nelson.</t>
  </si>
  <si>
    <t>INV4844</t>
  </si>
  <si>
    <t>Yes</t>
  </si>
  <si>
    <t>Landau 12:30am</t>
  </si>
  <si>
    <t>INv4693</t>
  </si>
  <si>
    <t>Harley Davidson - Stage 2</t>
  </si>
  <si>
    <t xml:space="preserve">18mm White - Painted </t>
  </si>
  <si>
    <t xml:space="preserve">Y </t>
  </si>
  <si>
    <t>Van</t>
  </si>
  <si>
    <t xml:space="preserve">NA </t>
  </si>
  <si>
    <t xml:space="preserve">Jesse </t>
  </si>
  <si>
    <t xml:space="preserve">85 Moorhouse Ave </t>
  </si>
  <si>
    <t>Mr Hill</t>
  </si>
  <si>
    <t>021 623446</t>
  </si>
  <si>
    <t>INV4780</t>
  </si>
  <si>
    <t>Bunn Rework</t>
  </si>
  <si>
    <t>QRT Thorndon Cream Embossed</t>
  </si>
  <si>
    <t xml:space="preserve">Drop off to star </t>
  </si>
  <si>
    <t>2 Panels missed by us - Large to fit on Nesting</t>
  </si>
  <si>
    <t>Shona Thomas</t>
  </si>
  <si>
    <t xml:space="preserve">Prime White Embossed / Sovereign Oak </t>
  </si>
  <si>
    <t>Landau 1:00am</t>
  </si>
  <si>
    <t>25mm and 12mm packers</t>
  </si>
  <si>
    <t>new colours</t>
  </si>
  <si>
    <t>13 Farthing Drive,Prebbleton.</t>
  </si>
  <si>
    <t>Shona</t>
  </si>
  <si>
    <t>INv4694</t>
  </si>
  <si>
    <t>Homeplus Otago ,45 Otaki ST,Dunedin</t>
  </si>
  <si>
    <t>INv4706</t>
  </si>
  <si>
    <t>INV4707</t>
  </si>
  <si>
    <t>16mm DARK OAK</t>
  </si>
  <si>
    <t>Homeplus Whakatane,34 Gateway Drive,Whakatane</t>
  </si>
  <si>
    <t>INV4708</t>
  </si>
  <si>
    <t>Homeplus Otago,45 Otaki St,Dunedin</t>
  </si>
  <si>
    <t>INV4705</t>
  </si>
  <si>
    <t>Allred</t>
  </si>
  <si>
    <t>Prime Feather White</t>
  </si>
  <si>
    <t>Landau 9:30am</t>
  </si>
  <si>
    <t>Prime Aspen stone matt</t>
  </si>
  <si>
    <t>77 Forest drive, Methven</t>
  </si>
  <si>
    <t>Busty</t>
  </si>
  <si>
    <t>INV4727</t>
  </si>
  <si>
    <t xml:space="preserve">Ewen Handles </t>
  </si>
  <si>
    <t xml:space="preserve">Power coated </t>
  </si>
  <si>
    <t xml:space="preserve">63 Statste highway 6 seaview hokitika </t>
  </si>
  <si>
    <t>INV4848</t>
  </si>
  <si>
    <t>Moore</t>
  </si>
  <si>
    <t>Prime QRT Napa</t>
  </si>
  <si>
    <t>INV4756</t>
  </si>
  <si>
    <t>Cook Garage</t>
  </si>
  <si>
    <t>Prime New half Spanish White Velvet</t>
  </si>
  <si>
    <t>INV4723</t>
  </si>
  <si>
    <t xml:space="preserve">McMillan E </t>
  </si>
  <si>
    <t xml:space="preserve">Prime Half Pravada EMB </t>
  </si>
  <si>
    <t xml:space="preserve">2 doors 4 edge </t>
  </si>
  <si>
    <t xml:space="preserve">40 Leet street invercargill </t>
  </si>
  <si>
    <t>INV4770</t>
  </si>
  <si>
    <t>Crighton E2</t>
  </si>
  <si>
    <t>INV4771</t>
  </si>
  <si>
    <t>McKenzie E2</t>
  </si>
  <si>
    <t>Prime Baroque Velvet</t>
  </si>
  <si>
    <t>INV4768</t>
  </si>
  <si>
    <t>Daly E2</t>
  </si>
  <si>
    <t>Bestwood Arctic white Emb</t>
  </si>
  <si>
    <t>INV4725</t>
  </si>
  <si>
    <t xml:space="preserve">Smoothy E </t>
  </si>
  <si>
    <t xml:space="preserve">Prime White </t>
  </si>
  <si>
    <t xml:space="preserve">2 Doors </t>
  </si>
  <si>
    <t>INV4772</t>
  </si>
  <si>
    <t xml:space="preserve">Stock INV </t>
  </si>
  <si>
    <t xml:space="preserve">Black PVC 1mm PG </t>
  </si>
  <si>
    <t xml:space="preserve">Courier </t>
  </si>
  <si>
    <t>INV4849</t>
  </si>
  <si>
    <t>Smith Perriam</t>
  </si>
  <si>
    <t>Prime Dezigna White Emb/Prime QRT Thorndon Cream Velvet/Prime Soveriegn Oak WF</t>
  </si>
  <si>
    <t>INV4721</t>
  </si>
  <si>
    <t>GH New Zermatt</t>
  </si>
  <si>
    <t>Bestwood Simply White Emb</t>
  </si>
  <si>
    <t>INV4724</t>
  </si>
  <si>
    <t>INV4733</t>
  </si>
  <si>
    <t>Scoles</t>
  </si>
  <si>
    <t>Bestwood arctic white Emb</t>
  </si>
  <si>
    <t>X = POWDER COAT HANDLE</t>
  </si>
  <si>
    <t>59 Larch St,Alexandra.</t>
  </si>
  <si>
    <t>Matt</t>
  </si>
  <si>
    <t>EKALX-M-186</t>
  </si>
  <si>
    <t>INV4788</t>
  </si>
  <si>
    <t>Julius</t>
  </si>
  <si>
    <t>Prime White Pointer velvet</t>
  </si>
  <si>
    <t>4 Birdh Hill drive,Four Lakes,Northwest Arch,Twizel.</t>
  </si>
  <si>
    <t>INV4722</t>
  </si>
  <si>
    <t>melteca bayleaf naturale</t>
  </si>
  <si>
    <t>panels</t>
  </si>
  <si>
    <t>Mark</t>
  </si>
  <si>
    <t>EK-ALX-L-054</t>
  </si>
  <si>
    <t>INV4769</t>
  </si>
  <si>
    <t xml:space="preserve">Tuffley </t>
  </si>
  <si>
    <t xml:space="preserve">BW MEL Limestone Velvet  - PANELS </t>
  </si>
  <si>
    <t xml:space="preserve">Panels Only </t>
  </si>
  <si>
    <t xml:space="preserve">51c Russell Street alexandra </t>
  </si>
  <si>
    <t>EKALX - M - 218</t>
  </si>
  <si>
    <t>INV4743</t>
  </si>
  <si>
    <t>HOOPER REWORK</t>
  </si>
  <si>
    <t>back panel</t>
  </si>
  <si>
    <t xml:space="preserve">HANDLES </t>
  </si>
  <si>
    <t xml:space="preserve">Jessup E2 </t>
  </si>
  <si>
    <t xml:space="preserve">Ex Factory </t>
  </si>
  <si>
    <t>INV4744</t>
  </si>
  <si>
    <t>Rowe</t>
  </si>
  <si>
    <t>Prices,61 North Taieri RD,Abbotsford,Dunedin</t>
  </si>
  <si>
    <t>INV4790</t>
  </si>
  <si>
    <t>Findley</t>
  </si>
  <si>
    <t>Prime dezigna White</t>
  </si>
  <si>
    <t>40 leet St ,Invercargill.</t>
  </si>
  <si>
    <t>INV4720</t>
  </si>
  <si>
    <t xml:space="preserve">Paul Du Mez </t>
  </si>
  <si>
    <t xml:space="preserve">Prime White EMB </t>
  </si>
  <si>
    <t>INV4718</t>
  </si>
  <si>
    <t>Whiteley E2</t>
  </si>
  <si>
    <t xml:space="preserve">Prime half truffle velvet </t>
  </si>
  <si>
    <t>TEPF</t>
  </si>
  <si>
    <t>INV4747</t>
  </si>
  <si>
    <t xml:space="preserve">Stock Board </t>
  </si>
  <si>
    <t xml:space="preserve">5x 16mm White Board </t>
  </si>
  <si>
    <t>INV4850</t>
  </si>
  <si>
    <t xml:space="preserve">McCollough E </t>
  </si>
  <si>
    <t xml:space="preserve">Melteca Olympia Yellow Naturale </t>
  </si>
  <si>
    <t>INV4746</t>
  </si>
  <si>
    <t>Botica</t>
  </si>
  <si>
    <t>INV4789</t>
  </si>
  <si>
    <t>Palmer</t>
  </si>
  <si>
    <t>QRT Thorndon cream velvet</t>
  </si>
  <si>
    <t>4 Kotua Place,Stoke,nelson</t>
  </si>
  <si>
    <t>INV4719</t>
  </si>
  <si>
    <t>Next Dore</t>
  </si>
  <si>
    <t>16mm White/16mm Black</t>
  </si>
  <si>
    <t>Landau 10:30am</t>
  </si>
  <si>
    <t>Next dore</t>
  </si>
  <si>
    <t>Sullivan</t>
  </si>
  <si>
    <t>Prime dezigna White Emb</t>
  </si>
  <si>
    <t>Landau 7:30am</t>
  </si>
  <si>
    <t>Prime dark Concrete Matera</t>
  </si>
  <si>
    <t>262 Queenspark drive,Queenspark,CHCH</t>
  </si>
  <si>
    <t>Steve</t>
  </si>
  <si>
    <t>INV4860</t>
  </si>
  <si>
    <t xml:space="preserve">Couplands Ricc E </t>
  </si>
  <si>
    <t xml:space="preserve">Southern Oak </t>
  </si>
  <si>
    <t xml:space="preserve">pick up </t>
  </si>
  <si>
    <t>INV4731</t>
  </si>
  <si>
    <t>Farringdon South K1</t>
  </si>
  <si>
    <t>Prime snow velvet / Prime nordic Ash</t>
  </si>
  <si>
    <t>Landau</t>
  </si>
  <si>
    <t>O'Briens</t>
  </si>
  <si>
    <t>32 Kemble drive</t>
  </si>
  <si>
    <t xml:space="preserve">Sheppard </t>
  </si>
  <si>
    <t xml:space="preserve">Anthracite &amp; Limestone Velvet </t>
  </si>
  <si>
    <t xml:space="preserve">41 Cowper Street , Greymouth </t>
  </si>
  <si>
    <t>INV4749</t>
  </si>
  <si>
    <t>Burnie RE</t>
  </si>
  <si>
    <t>Melteca Dark Oak Naturale VerticalGrain</t>
  </si>
  <si>
    <t xml:space="preserve">8 Fitzmaurice Road, waimate </t>
  </si>
  <si>
    <t>Carl</t>
  </si>
  <si>
    <t>027 889 3772</t>
  </si>
  <si>
    <t>INV4828</t>
  </si>
  <si>
    <t>King RE</t>
  </si>
  <si>
    <t>Bestwood Perfect white</t>
  </si>
  <si>
    <t>204 Hilton Highway</t>
  </si>
  <si>
    <t>E66420</t>
  </si>
  <si>
    <t>INV4650</t>
  </si>
  <si>
    <t xml:space="preserve">Parish V </t>
  </si>
  <si>
    <t xml:space="preserve">Prime Black Velvet </t>
  </si>
  <si>
    <t>VAN 8.30</t>
  </si>
  <si>
    <t xml:space="preserve">DVP </t>
  </si>
  <si>
    <t xml:space="preserve">ADD Install cost </t>
  </si>
  <si>
    <t xml:space="preserve">81 Office Rd, Merivale </t>
  </si>
  <si>
    <t>Katie</t>
  </si>
  <si>
    <t xml:space="preserve">021 242 2550 </t>
  </si>
  <si>
    <t>INV4726</t>
  </si>
  <si>
    <t>INV4728</t>
  </si>
  <si>
    <t>Jacita Sutherland</t>
  </si>
  <si>
    <t>Snow velvet</t>
  </si>
  <si>
    <t>Jacinta</t>
  </si>
  <si>
    <t>INV4729</t>
  </si>
  <si>
    <t>INV4716</t>
  </si>
  <si>
    <t xml:space="preserve">Anderson </t>
  </si>
  <si>
    <t>Prime White Pointer Emb</t>
  </si>
  <si>
    <t>Prices.61 north Taieri RD,Abbotsford,Dunedin</t>
  </si>
  <si>
    <t>INV4745</t>
  </si>
  <si>
    <t>DEZIGNATEK WHITE TEXTURE LYON</t>
  </si>
  <si>
    <t>INV4792</t>
  </si>
  <si>
    <t>McDonald</t>
  </si>
  <si>
    <t>INV4742</t>
  </si>
  <si>
    <t xml:space="preserve">Walker </t>
  </si>
  <si>
    <t xml:space="preserve">BW Indian Ink Emb / BW Souther oak wilderness Vertical </t>
  </si>
  <si>
    <t>INV4741</t>
  </si>
  <si>
    <t>bc</t>
  </si>
  <si>
    <t xml:space="preserve">Swanson E </t>
  </si>
  <si>
    <t xml:space="preserve">Melteca NZ Tawa Vertical Woodgrain </t>
  </si>
  <si>
    <t>INV4766</t>
  </si>
  <si>
    <t xml:space="preserve">Daly E </t>
  </si>
  <si>
    <t>Re edged ( cut down by hand)</t>
  </si>
  <si>
    <t>Lochhead</t>
  </si>
  <si>
    <t>D/TEK RHONDA RAW REDUCED RAIL</t>
  </si>
  <si>
    <t>4 Kotua Place,Stoke ,Nelson.</t>
  </si>
  <si>
    <t>INV4791</t>
  </si>
  <si>
    <t>392 St asaph St</t>
  </si>
  <si>
    <t>Melteca Snowdrift</t>
  </si>
  <si>
    <t>Formica Snowdrift Velour</t>
  </si>
  <si>
    <t>392 St Asaph ST</t>
  </si>
  <si>
    <t>Trent Brown</t>
  </si>
  <si>
    <t>EURO / SUMMERSET TOWERS</t>
  </si>
  <si>
    <t>10 of each</t>
  </si>
  <si>
    <t>Andrew</t>
  </si>
  <si>
    <t>INV4825</t>
  </si>
  <si>
    <t>Jackson</t>
  </si>
  <si>
    <t>8 Rearsby Drive,Halswell,CHCH 8025</t>
  </si>
  <si>
    <t>Mike</t>
  </si>
  <si>
    <t>INV4715</t>
  </si>
  <si>
    <t>INV4748</t>
  </si>
  <si>
    <t xml:space="preserve">VER Baptie L </t>
  </si>
  <si>
    <t>6 Racecourse Terrace Rise Hokitika</t>
  </si>
  <si>
    <t>INV4755</t>
  </si>
  <si>
    <t xml:space="preserve">VER Baptie S </t>
  </si>
  <si>
    <t xml:space="preserve">Melteca Purecoat Black Ink Mirror Glass </t>
  </si>
  <si>
    <t xml:space="preserve">6 Racecourse Terrace Rise </t>
  </si>
  <si>
    <t>INV4754</t>
  </si>
  <si>
    <t xml:space="preserve">VER Baptie K </t>
  </si>
  <si>
    <t xml:space="preserve">Melteca Purecoat Black Ink Mirror Gloss </t>
  </si>
  <si>
    <t xml:space="preserve">6 Racecourse terrace rise hokitika </t>
  </si>
  <si>
    <t xml:space="preserve">Rennie </t>
  </si>
  <si>
    <t xml:space="preserve">Melteca Warm White NAT / Prime Mel Nordic Pine  Timberland </t>
  </si>
  <si>
    <t>X = Hardware</t>
  </si>
  <si>
    <t xml:space="preserve">35 Rathmore Street </t>
  </si>
  <si>
    <t>028  265 8715</t>
  </si>
  <si>
    <t>INV4764</t>
  </si>
  <si>
    <t>Homeplus Wellington,60A Victoria St,Alicetown,wellington</t>
  </si>
  <si>
    <t>INV4782</t>
  </si>
  <si>
    <t xml:space="preserve">Home plus Nelson 56 gladstone Rd, Richmond nelson </t>
  </si>
  <si>
    <t>INV4781</t>
  </si>
  <si>
    <t xml:space="preserve">Prime White 16mm </t>
  </si>
  <si>
    <t xml:space="preserve">MF </t>
  </si>
  <si>
    <t xml:space="preserve">11 Martin Street - Wash dyke - Timaru </t>
  </si>
  <si>
    <t>INV4783</t>
  </si>
  <si>
    <t>McCrostie Ex</t>
  </si>
  <si>
    <t xml:space="preserve">ROLLER DOOR - Prime Snow Velvet </t>
  </si>
  <si>
    <t>Q# 761</t>
  </si>
  <si>
    <t xml:space="preserve">51c Russell Street Alexandra </t>
  </si>
  <si>
    <t>Mark 021 1147 447</t>
  </si>
  <si>
    <t>INV4762</t>
  </si>
  <si>
    <t xml:space="preserve">Nagumanova </t>
  </si>
  <si>
    <t xml:space="preserve">Prime White Emb </t>
  </si>
  <si>
    <t xml:space="preserve">1/426 Armagh street, linwood , christchurch </t>
  </si>
  <si>
    <t>INV4798</t>
  </si>
  <si>
    <t>Takamore</t>
  </si>
  <si>
    <t xml:space="preserve">Bestwoood Cloud White Emb - 1mm pvc </t>
  </si>
  <si>
    <t xml:space="preserve">EX FACTORY </t>
  </si>
  <si>
    <t>Jamie</t>
  </si>
  <si>
    <t>027 848 3729</t>
  </si>
  <si>
    <t>INV4717</t>
  </si>
  <si>
    <t xml:space="preserve">Bell E </t>
  </si>
  <si>
    <t>27 Cumberland Street , Dunedin</t>
  </si>
  <si>
    <t>INV4760</t>
  </si>
  <si>
    <t xml:space="preserve">Barringer E2 </t>
  </si>
  <si>
    <t>Prime White pointer velvet</t>
  </si>
  <si>
    <t xml:space="preserve">Doors scratched *AGAIN </t>
  </si>
  <si>
    <t>INV4759</t>
  </si>
  <si>
    <t>Extra Dunedin</t>
  </si>
  <si>
    <t>INV4758</t>
  </si>
  <si>
    <t xml:space="preserve">Behrent  - SHELVES </t>
  </si>
  <si>
    <t xml:space="preserve">Prime Tahoe Walnut Vertical Wood Finish </t>
  </si>
  <si>
    <t xml:space="preserve">Shelves - ** Damaged </t>
  </si>
  <si>
    <t xml:space="preserve">40 Leet street Invercargill </t>
  </si>
  <si>
    <t>INV4751</t>
  </si>
  <si>
    <t>Moore E</t>
  </si>
  <si>
    <t xml:space="preserve">Prime qtr napa velvet </t>
  </si>
  <si>
    <t>INV4757</t>
  </si>
  <si>
    <t xml:space="preserve">Pont </t>
  </si>
  <si>
    <t xml:space="preserve">Prime Dover Emb </t>
  </si>
  <si>
    <t>INV4761</t>
  </si>
  <si>
    <t xml:space="preserve">Reid L&amp;M </t>
  </si>
  <si>
    <t xml:space="preserve">(STAGE ONE  powder coated venice )Prime Half Spanish Whit Velvet </t>
  </si>
  <si>
    <t>INV4867</t>
  </si>
  <si>
    <t xml:space="preserve">Morrison E </t>
  </si>
  <si>
    <t>Limestone &amp; 16mm White</t>
  </si>
  <si>
    <t>INV4778</t>
  </si>
  <si>
    <t>Morrison E2 pantry door</t>
  </si>
  <si>
    <t>Limestone velvet</t>
  </si>
  <si>
    <t>SW</t>
  </si>
  <si>
    <t>44 Leet Street</t>
  </si>
  <si>
    <t>INV4777</t>
  </si>
  <si>
    <t>8 Beachville</t>
  </si>
  <si>
    <t>Melteca Snowdrift Satin</t>
  </si>
  <si>
    <t>8 Beachville Rd,CHCH</t>
  </si>
  <si>
    <t>Trent</t>
  </si>
  <si>
    <t>INV4806</t>
  </si>
  <si>
    <t>Stark 1</t>
  </si>
  <si>
    <t>Prime ironsand Emb/Prime Dezigna White Emb</t>
  </si>
  <si>
    <t>X = 36mm shelves</t>
  </si>
  <si>
    <t>15 Pandora St,north new Brighton,CHCH</t>
  </si>
  <si>
    <t>INV4801</t>
  </si>
  <si>
    <t>Getley</t>
  </si>
  <si>
    <t>QRT Thorndon Cream/Nordic Ash Velvet</t>
  </si>
  <si>
    <t xml:space="preserve">63 State highway 6 seaview hokitika </t>
  </si>
  <si>
    <t>INV4478</t>
  </si>
  <si>
    <t xml:space="preserve">Wilson </t>
  </si>
  <si>
    <t>anthracite Velvet</t>
  </si>
  <si>
    <t xml:space="preserve">140 Hoffman St, Hokitika </t>
  </si>
  <si>
    <t>INV4750</t>
  </si>
  <si>
    <t>REWORK</t>
  </si>
  <si>
    <t>van</t>
  </si>
  <si>
    <t>CHCHSR6 E2</t>
  </si>
  <si>
    <t>DEZIGNATEK TUSK SATIN RHONDA</t>
  </si>
  <si>
    <t xml:space="preserve">Hartwig </t>
  </si>
  <si>
    <t xml:space="preserve">Chalk Emb </t>
  </si>
  <si>
    <t xml:space="preserve">63 State highway 6 seaviw hokitika </t>
  </si>
  <si>
    <t>INV4763</t>
  </si>
  <si>
    <t xml:space="preserve">Bush </t>
  </si>
  <si>
    <t xml:space="preserve">BW Mel Limestone Velvet / Melteca oiled Legno WG Vertical </t>
  </si>
  <si>
    <t xml:space="preserve">021 114 7447 </t>
  </si>
  <si>
    <t>EKALX - M 217</t>
  </si>
  <si>
    <t>INV4811</t>
  </si>
  <si>
    <t>Carlyon</t>
  </si>
  <si>
    <t xml:space="preserve">Prime Tusk Emb 1mm PVC </t>
  </si>
  <si>
    <t>Landau 2:30pm</t>
  </si>
  <si>
    <t xml:space="preserve">APPLIANCES </t>
  </si>
  <si>
    <t>41B Lakewood Dr, Burwood</t>
  </si>
  <si>
    <t>INV4803</t>
  </si>
  <si>
    <t>CNC</t>
  </si>
  <si>
    <t>Jackson Rework</t>
  </si>
  <si>
    <t xml:space="preserve">VAN? </t>
  </si>
  <si>
    <t>Reverse Island ONLY</t>
  </si>
  <si>
    <t>DROP DOORS TO SITE</t>
  </si>
  <si>
    <t xml:space="preserve">Pick up or drop off </t>
  </si>
  <si>
    <t>Waiting on handles</t>
  </si>
  <si>
    <t>Holmes</t>
  </si>
  <si>
    <t>DEZIGNATEK Prime White</t>
  </si>
  <si>
    <t>INV4809</t>
  </si>
  <si>
    <t>Ver Cook</t>
  </si>
  <si>
    <t>Brushed Pewter/Prime Rimu WG</t>
  </si>
  <si>
    <t>11 Racecourse Terrace,Hokitika.</t>
  </si>
  <si>
    <t>INV4813</t>
  </si>
  <si>
    <t>Cook Entertainment</t>
  </si>
  <si>
    <t>Brushed Pewter</t>
  </si>
  <si>
    <t>11 Racecourse Terrace,Hokitika</t>
  </si>
  <si>
    <t>INV4779</t>
  </si>
  <si>
    <t xml:space="preserve">Jennings Shelves </t>
  </si>
  <si>
    <t>Prime White Emb 36mm</t>
  </si>
  <si>
    <t>INV4775</t>
  </si>
  <si>
    <t>Frazer</t>
  </si>
  <si>
    <t>Prime Half Truffle velvet/Prime Anthracite Velvet</t>
  </si>
  <si>
    <t>INV4830</t>
  </si>
  <si>
    <t xml:space="preserve">Grant </t>
  </si>
  <si>
    <t xml:space="preserve">Melteca Baikal Naturale/ Prime Baroque velvet Vertical </t>
  </si>
  <si>
    <t>INV4815</t>
  </si>
  <si>
    <t>Findlay P</t>
  </si>
  <si>
    <t>INV4776</t>
  </si>
  <si>
    <t xml:space="preserve">Riddle </t>
  </si>
  <si>
    <t xml:space="preserve">Prime Rimu Woodgrain Vertical </t>
  </si>
  <si>
    <t>INV4765</t>
  </si>
  <si>
    <t>Walker REWORK</t>
  </si>
  <si>
    <t>GH Goldsworthy</t>
  </si>
  <si>
    <t>Bestwood Perfect White Velvet</t>
  </si>
  <si>
    <t>E66424</t>
  </si>
  <si>
    <t>INV4829</t>
  </si>
  <si>
    <t xml:space="preserve">Pod Concepts E </t>
  </si>
  <si>
    <t xml:space="preserve">Prime Qtr Napa Emb </t>
  </si>
  <si>
    <t xml:space="preserve">8 Lomond, Cres, Queenstown </t>
  </si>
  <si>
    <t>INV4865</t>
  </si>
  <si>
    <t>Fox K and P</t>
  </si>
  <si>
    <t>Melteca Bullet Pearl/Sublime Teak</t>
  </si>
  <si>
    <t>✓ - 7x parts</t>
  </si>
  <si>
    <t>Wilsonart Pearl Soapstone velvet/Wilsonart Black Alicante velvet</t>
  </si>
  <si>
    <t>Lot 121 Ravenswood</t>
  </si>
  <si>
    <t>Johny Fyall</t>
  </si>
  <si>
    <t>Ch0015</t>
  </si>
  <si>
    <t>INV4855</t>
  </si>
  <si>
    <t>Fox W</t>
  </si>
  <si>
    <t>Jordaan</t>
  </si>
  <si>
    <t>Primewhite embossed</t>
  </si>
  <si>
    <t>Not Required</t>
  </si>
  <si>
    <t>16 Harris cres, Papanui</t>
  </si>
  <si>
    <t>Elrie</t>
  </si>
  <si>
    <t>027 3303295</t>
  </si>
  <si>
    <t>Stone</t>
  </si>
  <si>
    <t>16 Harris Cres,papanui,CHCH</t>
  </si>
  <si>
    <t>INV4800</t>
  </si>
  <si>
    <t xml:space="preserve">Gwyn </t>
  </si>
  <si>
    <t xml:space="preserve">prime dezigna white Emb </t>
  </si>
  <si>
    <t>89 Princes Street, Waikari 7420</t>
  </si>
  <si>
    <t>Stephen</t>
  </si>
  <si>
    <t>027 845 2226</t>
  </si>
  <si>
    <t>INV4799</t>
  </si>
  <si>
    <t>Door and panel</t>
  </si>
  <si>
    <t>Croucher Bartlett</t>
  </si>
  <si>
    <t>Prime French Oak velvet</t>
  </si>
  <si>
    <t>X = C/T</t>
  </si>
  <si>
    <t>4 Kotua place,stoke,nelson.</t>
  </si>
  <si>
    <t>INV4767</t>
  </si>
  <si>
    <t xml:space="preserve">Bronwyn st </t>
  </si>
  <si>
    <t>Prime Bianco Wilderness/ bw southern oak timberland</t>
  </si>
  <si>
    <t xml:space="preserve">Wilson Art Black Alicante </t>
  </si>
  <si>
    <t>DVP</t>
  </si>
  <si>
    <t>24 Bronwyn Street, Mairehau</t>
  </si>
  <si>
    <t>Jethro</t>
  </si>
  <si>
    <t>INV4863</t>
  </si>
  <si>
    <t>Ashworth</t>
  </si>
  <si>
    <t>New Oak Noir</t>
  </si>
  <si>
    <t>L8:00 H</t>
  </si>
  <si>
    <t>✓ - 6x parts</t>
  </si>
  <si>
    <t>Laminex Pure Mineral Stone</t>
  </si>
  <si>
    <t>K/P/W/L</t>
  </si>
  <si>
    <t>11B Memorial Crescent, Methven</t>
  </si>
  <si>
    <t>Brent</t>
  </si>
  <si>
    <t>CH976</t>
  </si>
  <si>
    <t>INV4856</t>
  </si>
  <si>
    <t xml:space="preserve">Morton </t>
  </si>
  <si>
    <t xml:space="preserve">Prime White Embossed </t>
  </si>
  <si>
    <t>021 1147 447</t>
  </si>
  <si>
    <t>EK - ALX - L -080</t>
  </si>
  <si>
    <t>INV4821</t>
  </si>
  <si>
    <t xml:space="preserve">Cinch </t>
  </si>
  <si>
    <t xml:space="preserve">Bestwood Feather White Velvet </t>
  </si>
  <si>
    <t>INV4822</t>
  </si>
  <si>
    <t xml:space="preserve">Howley </t>
  </si>
  <si>
    <t xml:space="preserve">Prime Anthracite Velvet/ Melteca Snowdrift Satin </t>
  </si>
  <si>
    <t xml:space="preserve">27 Cumberland Street , Dunedin </t>
  </si>
  <si>
    <t>INV4797</t>
  </si>
  <si>
    <t>Tony Murphy</t>
  </si>
  <si>
    <t>White pointer Velvet</t>
  </si>
  <si>
    <t>63 State Highway, Seaveiw,Hokitika.</t>
  </si>
  <si>
    <t>P7372</t>
  </si>
  <si>
    <t>INV4795</t>
  </si>
  <si>
    <t xml:space="preserve">Prime Half Spanish Whit Velvet </t>
  </si>
  <si>
    <t>fit P/C handle</t>
  </si>
  <si>
    <t>INV4816</t>
  </si>
  <si>
    <t xml:space="preserve">Farmer </t>
  </si>
  <si>
    <t>INV4793</t>
  </si>
  <si>
    <t xml:space="preserve">Howden E </t>
  </si>
  <si>
    <t xml:space="preserve">Prime white emb </t>
  </si>
  <si>
    <t>INV4774</t>
  </si>
  <si>
    <t>Dixon E</t>
  </si>
  <si>
    <t xml:space="preserve">Nordic Pine Timberland Vertical </t>
  </si>
  <si>
    <t>INV4773</t>
  </si>
  <si>
    <t>Wastney E</t>
  </si>
  <si>
    <t xml:space="preserve">Prime Brushed Pewter Vertical </t>
  </si>
  <si>
    <t>INV4794</t>
  </si>
  <si>
    <t xml:space="preserve">Devon </t>
  </si>
  <si>
    <t>INV4817</t>
  </si>
  <si>
    <t>Tomlinson</t>
  </si>
  <si>
    <t xml:space="preserve">Frost Grey Emb, Dapper Grey Velvet </t>
  </si>
  <si>
    <t xml:space="preserve">Star </t>
  </si>
  <si>
    <t xml:space="preserve">* Price plus wine rack </t>
  </si>
  <si>
    <t xml:space="preserve">4 Kotua Place, Stoke, Nelson </t>
  </si>
  <si>
    <t>INV4818</t>
  </si>
  <si>
    <t xml:space="preserve">Taylor </t>
  </si>
  <si>
    <t xml:space="preserve">Melteca Snowdrift Pearl </t>
  </si>
  <si>
    <t xml:space="preserve">4 Kotua place stoke Nelson </t>
  </si>
  <si>
    <t>INV4843</t>
  </si>
  <si>
    <t xml:space="preserve">Bunn Extra </t>
  </si>
  <si>
    <t xml:space="preserve">4 Kotua Place, Stoke ,Nelson </t>
  </si>
  <si>
    <t>INV4814</t>
  </si>
  <si>
    <t xml:space="preserve">Ussher </t>
  </si>
  <si>
    <t xml:space="preserve">16mm Prime white emb </t>
  </si>
  <si>
    <t xml:space="preserve">4 Kotua Place Stoke </t>
  </si>
  <si>
    <t>INV4831</t>
  </si>
  <si>
    <t xml:space="preserve">Portacom E - Brownie Homes </t>
  </si>
  <si>
    <t>Charred oak Woodgrain 2mm pvc</t>
  </si>
  <si>
    <t xml:space="preserve">N </t>
  </si>
  <si>
    <t xml:space="preserve">Pick up / van </t>
  </si>
  <si>
    <t>Ed Martin</t>
  </si>
  <si>
    <t>027 467 9921</t>
  </si>
  <si>
    <t>INV4854</t>
  </si>
  <si>
    <t>Landau 1:00pm</t>
  </si>
  <si>
    <t>INV4851</t>
  </si>
  <si>
    <t>Shaw Laundry</t>
  </si>
  <si>
    <t>DEZIGNATEK GLOSS WHITE MILAN</t>
  </si>
  <si>
    <t>X</t>
  </si>
  <si>
    <t>replace 2 fronts</t>
  </si>
  <si>
    <t>63 Kumara Junction Highway,Hokitika 7882</t>
  </si>
  <si>
    <t>P8189</t>
  </si>
  <si>
    <t>INV4832</t>
  </si>
  <si>
    <t>Melteca Purecoat Black Ink Mirror REWORK</t>
  </si>
  <si>
    <t>state highway 6,seaveiw,Hokitika.</t>
  </si>
  <si>
    <t>Rennie extra</t>
  </si>
  <si>
    <t>Nordic Pine Timberland.</t>
  </si>
  <si>
    <t>Courier</t>
  </si>
  <si>
    <t>204 hilton Highway,Timaru.</t>
  </si>
  <si>
    <t>E66890</t>
  </si>
  <si>
    <t>INV4796</t>
  </si>
  <si>
    <t>Lot 39 Springbrook</t>
  </si>
  <si>
    <t>Prime White Velvet/Blackened Legno WG</t>
  </si>
  <si>
    <t>Lot 39 springbrook,Rangiora.</t>
  </si>
  <si>
    <t>Trent brown</t>
  </si>
  <si>
    <t>INv4805</t>
  </si>
  <si>
    <t xml:space="preserve">15 Newton Street Mt Maunganui Tauranga </t>
  </si>
  <si>
    <t>INv4786</t>
  </si>
  <si>
    <t xml:space="preserve">Prime White  - Towers </t>
  </si>
  <si>
    <t xml:space="preserve">Juralco CHCH Andrew </t>
  </si>
  <si>
    <t>INV4824</t>
  </si>
  <si>
    <t xml:space="preserve">Stark 3 </t>
  </si>
  <si>
    <t>Landau 10:00am</t>
  </si>
  <si>
    <t>Stark and Pullar being picked up same time.</t>
  </si>
  <si>
    <t xml:space="preserve">2 Edwins Way , Burwood </t>
  </si>
  <si>
    <t>022 053 8341</t>
  </si>
  <si>
    <t>INV4837</t>
  </si>
  <si>
    <t xml:space="preserve">Barlass 3 </t>
  </si>
  <si>
    <t xml:space="preserve">Ft 2, 497 Gloucester Street, Linwood </t>
  </si>
  <si>
    <t>INV4802</t>
  </si>
  <si>
    <t>Barlass E2</t>
  </si>
  <si>
    <t>Ft 2,497 Glouster St,Linwood</t>
  </si>
  <si>
    <t>10125E</t>
  </si>
  <si>
    <t>INV4827</t>
  </si>
  <si>
    <t xml:space="preserve">Prime White emb </t>
  </si>
  <si>
    <t>INV4868</t>
  </si>
  <si>
    <t>Pullar</t>
  </si>
  <si>
    <t xml:space="preserve">Prime White EMB/  white velvet/ charred oak </t>
  </si>
  <si>
    <t>2 x doors missing</t>
  </si>
  <si>
    <t xml:space="preserve">Edinburgh street, Spreydon </t>
  </si>
  <si>
    <t>Greig</t>
  </si>
  <si>
    <t>021 863 565</t>
  </si>
  <si>
    <t>INV4713</t>
  </si>
  <si>
    <t xml:space="preserve">Maguire </t>
  </si>
  <si>
    <t xml:space="preserve">16mm White </t>
  </si>
  <si>
    <t>INV4857</t>
  </si>
  <si>
    <t>Landau 2:00pm</t>
  </si>
  <si>
    <t>Obriens</t>
  </si>
  <si>
    <t>wait for 2nd colour 30/7</t>
  </si>
  <si>
    <t>INV4861</t>
  </si>
  <si>
    <t xml:space="preserve">Prime WHite </t>
  </si>
  <si>
    <t xml:space="preserve">Richmond Glass - 56 Gladstone SRd, Richmond, Nelson </t>
  </si>
  <si>
    <t>INV4785</t>
  </si>
  <si>
    <t xml:space="preserve">Home plus Hawkes Bay 1014 Omahu Rd, Hastings </t>
  </si>
  <si>
    <t>INV4826</t>
  </si>
  <si>
    <t xml:space="preserve">Homeplus Taranaki, 1 high street, new plymouth </t>
  </si>
  <si>
    <t>INV4784</t>
  </si>
  <si>
    <t>Knucky Shelf</t>
  </si>
  <si>
    <t>Mikaylas office Johnny to collect.</t>
  </si>
  <si>
    <t>1 x shelf</t>
  </si>
  <si>
    <t>Lot 148 Creek RD,Darfeild</t>
  </si>
  <si>
    <t>Johnny</t>
  </si>
  <si>
    <t>INV4853</t>
  </si>
  <si>
    <t xml:space="preserve">Wells </t>
  </si>
  <si>
    <t xml:space="preserve">Bestwood Limestone Velvet </t>
  </si>
  <si>
    <t>021 114 7447</t>
  </si>
  <si>
    <t>EKALX - M- 224</t>
  </si>
  <si>
    <t>INV4842</t>
  </si>
  <si>
    <t>Nadia White</t>
  </si>
  <si>
    <t>Prime Frost Gey Emb/Bestwood Pewter Haze Velvet</t>
  </si>
  <si>
    <t>FF</t>
  </si>
  <si>
    <t>6 Prudhoe Lane,Northcote,CHCH</t>
  </si>
  <si>
    <t>Nadia</t>
  </si>
  <si>
    <t>INV4823</t>
  </si>
  <si>
    <t xml:space="preserve">Cameron </t>
  </si>
  <si>
    <t xml:space="preserve">bestwood artic ice gloss </t>
  </si>
  <si>
    <t xml:space="preserve">Prices 61 north taieri abbotsford dunedin </t>
  </si>
  <si>
    <t>IINV4819</t>
  </si>
  <si>
    <t xml:space="preserve">CYB Parfitt pl </t>
  </si>
  <si>
    <t xml:space="preserve">Snow velvet </t>
  </si>
  <si>
    <t xml:space="preserve">19 Herbord Rd, Gladston </t>
  </si>
  <si>
    <t>INV4820</t>
  </si>
  <si>
    <t>DOORS AND DRAWER FRONTS</t>
  </si>
  <si>
    <t>Morrison E3</t>
  </si>
  <si>
    <t>INV4841</t>
  </si>
  <si>
    <t>Cook</t>
  </si>
  <si>
    <t>DEZIGNATEK TAUPE MATT</t>
  </si>
  <si>
    <t>3 x fronts to replace</t>
  </si>
  <si>
    <t>4 Kotua Place.Stoke,Nelson.</t>
  </si>
  <si>
    <t>INV4807</t>
  </si>
  <si>
    <t xml:space="preserve">Harrison </t>
  </si>
  <si>
    <t>Bestwood arctic Grey Emb</t>
  </si>
  <si>
    <t>204 Hilton highway,Timaru.</t>
  </si>
  <si>
    <t xml:space="preserve">Emma </t>
  </si>
  <si>
    <t>027 302 4419</t>
  </si>
  <si>
    <t>E66822</t>
  </si>
  <si>
    <t>INV4838</t>
  </si>
  <si>
    <t>Glen Smith</t>
  </si>
  <si>
    <t>100 COVER CAPS</t>
  </si>
  <si>
    <t>DIRECT</t>
  </si>
  <si>
    <t>cover caps</t>
  </si>
  <si>
    <t>446 Broad RD,Sefton</t>
  </si>
  <si>
    <t>Glen</t>
  </si>
  <si>
    <t xml:space="preserve">Foster Laundry </t>
  </si>
  <si>
    <t xml:space="preserve">Sea fog velvet </t>
  </si>
  <si>
    <t xml:space="preserve">432 Johns Road, Harewood, Christchurch </t>
  </si>
  <si>
    <t>INV4808</t>
  </si>
  <si>
    <t>Chun</t>
  </si>
  <si>
    <t xml:space="preserve">Sabbia Argento Tex </t>
  </si>
  <si>
    <t xml:space="preserve">16 Rollin Street, Heathcote </t>
  </si>
  <si>
    <t>021 313 559</t>
  </si>
  <si>
    <t>PB980</t>
  </si>
  <si>
    <t>INV4852</t>
  </si>
  <si>
    <t>Van der wal</t>
  </si>
  <si>
    <t xml:space="preserve">Prime Melamine Frost Grey Emb / Prime Melemine thracite velvet </t>
  </si>
  <si>
    <t>Lucienne Van Der Wal,10 Airport RD,Alexandra.0272403529</t>
  </si>
  <si>
    <t xml:space="preserve">10 Airport road, Alexandra </t>
  </si>
  <si>
    <t>027 2923716</t>
  </si>
  <si>
    <t xml:space="preserve">EK - ALEX- L -033 </t>
  </si>
  <si>
    <t>INV4833</t>
  </si>
  <si>
    <t xml:space="preserve">Franks </t>
  </si>
  <si>
    <t xml:space="preserve">Bestwood Arctic White / bestwood carbon Emb </t>
  </si>
  <si>
    <t xml:space="preserve">8 Roberta Drive, Somerfield, CHCH </t>
  </si>
  <si>
    <t>Ben</t>
  </si>
  <si>
    <t xml:space="preserve">0204 0180950 </t>
  </si>
  <si>
    <t>INV4839</t>
  </si>
  <si>
    <t>Tomlins</t>
  </si>
  <si>
    <t xml:space="preserve">Bestwood Subtle Grey </t>
  </si>
  <si>
    <t>???</t>
  </si>
  <si>
    <t xml:space="preserve">McDonald </t>
  </si>
  <si>
    <t xml:space="preserve">Prime White Velvet </t>
  </si>
  <si>
    <t>INV4840</t>
  </si>
  <si>
    <t>White</t>
  </si>
  <si>
    <t>Prime Concrete velvet/Bestwood Black Wilderness</t>
  </si>
  <si>
    <t>INV4846</t>
  </si>
  <si>
    <t xml:space="preserve">Melteca Snowdrift naturale </t>
  </si>
  <si>
    <t xml:space="preserve">4 Kotua Place  Stoke Nelson </t>
  </si>
  <si>
    <t>INV4787</t>
  </si>
  <si>
    <t>Wakefeild</t>
  </si>
  <si>
    <t>4 Kotua Place.Stoke ,Nelson.</t>
  </si>
  <si>
    <t>INV4845</t>
  </si>
  <si>
    <t>Peterborough St</t>
  </si>
  <si>
    <t>Dezigna White Emb/Aged ash Puregrain</t>
  </si>
  <si>
    <t>Peterbough St</t>
  </si>
  <si>
    <t>Hannah</t>
  </si>
  <si>
    <t>INV4862</t>
  </si>
  <si>
    <t>Farringdon South K5</t>
  </si>
  <si>
    <t>Prime snow velvet / Prime Nordic Ash</t>
  </si>
  <si>
    <t>Aramatuku</t>
  </si>
  <si>
    <t xml:space="preserve">Bestwood Perfect White Velvet </t>
  </si>
  <si>
    <t>MM</t>
  </si>
  <si>
    <t xml:space="preserve">50A York Street, Timaru </t>
  </si>
  <si>
    <t>021 333 211</t>
  </si>
  <si>
    <t>E66836</t>
  </si>
  <si>
    <t xml:space="preserve">Mark Gow </t>
  </si>
  <si>
    <t xml:space="preserve">Washed Oak Woodgrain </t>
  </si>
  <si>
    <t xml:space="preserve">PICK UP </t>
  </si>
  <si>
    <t>INV4864</t>
  </si>
  <si>
    <t>Otago Physio</t>
  </si>
  <si>
    <t>VAN</t>
  </si>
  <si>
    <t xml:space="preserve">Onsite by 10am </t>
  </si>
  <si>
    <t>32 Oxford Terrace,Central city CHCH</t>
  </si>
  <si>
    <t>INV4866</t>
  </si>
  <si>
    <t>Scoles Extra andRework</t>
  </si>
  <si>
    <t>HANDLES TO POWDER COATER</t>
  </si>
  <si>
    <t>CHCH POWDER COATER</t>
  </si>
  <si>
    <t>BN</t>
  </si>
  <si>
    <t>Harris</t>
  </si>
  <si>
    <t>Brulee Velvet</t>
  </si>
  <si>
    <t>63 Kumara Junction HWY,Hokitika.</t>
  </si>
  <si>
    <t>INV4834</t>
  </si>
  <si>
    <t>Ver Baptie E</t>
  </si>
  <si>
    <t>10metres Pure Gloss Black Tape</t>
  </si>
  <si>
    <t>courier</t>
  </si>
  <si>
    <t>edgetape only</t>
  </si>
  <si>
    <t>State highway 6,seaveiw,Hokitika.</t>
  </si>
  <si>
    <t>P7374</t>
  </si>
  <si>
    <t>Constanti REWORK</t>
  </si>
  <si>
    <t>Prime White velvet / prime Black forest Oak Timberland</t>
  </si>
  <si>
    <t>Lot 436 or 89 Prestons park drive</t>
  </si>
  <si>
    <t>Bid</t>
  </si>
  <si>
    <t>Homeplus Tauranga,15 Newton Street,Mount maunganui</t>
  </si>
  <si>
    <t>INV4876</t>
  </si>
  <si>
    <t xml:space="preserve">Jacobs RE </t>
  </si>
  <si>
    <t xml:space="preserve">fridge panel &amp; shelf </t>
  </si>
  <si>
    <t xml:space="preserve">22 Memorial Cres, Camrose estate, methven </t>
  </si>
  <si>
    <t xml:space="preserve">NC </t>
  </si>
  <si>
    <t>Smith REWORK</t>
  </si>
  <si>
    <t>Prime Oiled Oak Timberland</t>
  </si>
  <si>
    <t>51c Russell St,Al;exandra.</t>
  </si>
  <si>
    <t>EK-ALX-074</t>
  </si>
  <si>
    <t xml:space="preserve">Lothian </t>
  </si>
  <si>
    <t xml:space="preserve">Bestwood Melamine Pavement EMB </t>
  </si>
  <si>
    <t>Mark 021 1147447</t>
  </si>
  <si>
    <t>EKALX-L-010</t>
  </si>
  <si>
    <t>INV5090</t>
  </si>
  <si>
    <t xml:space="preserve">De Luc </t>
  </si>
  <si>
    <t>INV5043</t>
  </si>
  <si>
    <t xml:space="preserve">Bray </t>
  </si>
  <si>
    <t>Bestwood Arctic ice gloss</t>
  </si>
  <si>
    <t xml:space="preserve">23 Chapman Street Leeston </t>
  </si>
  <si>
    <t>Linden 027 498 5639</t>
  </si>
  <si>
    <t>INV5117</t>
  </si>
  <si>
    <t>currie E3</t>
  </si>
  <si>
    <t>Cutlery tray</t>
  </si>
  <si>
    <t>INV5015</t>
  </si>
  <si>
    <t>Bernard Kwak</t>
  </si>
  <si>
    <t>Prime white emb</t>
  </si>
  <si>
    <t>Prices,61 North Tairei RD,Abbotsford,Dunedin.</t>
  </si>
  <si>
    <t>INV5131</t>
  </si>
  <si>
    <t>Iqbal Singh</t>
  </si>
  <si>
    <t>Melteca Seal Grey Natural.</t>
  </si>
  <si>
    <t>27 Cumberland street ,Dunedin.</t>
  </si>
  <si>
    <t>INV5069</t>
  </si>
  <si>
    <t>Barbara Dunn</t>
  </si>
  <si>
    <t>Prime Sovereign Oak WG</t>
  </si>
  <si>
    <t>floating Shelves</t>
  </si>
  <si>
    <t>Ezy Kitchens ,27 Cumberland St,Dunedin.</t>
  </si>
  <si>
    <t>INV5129</t>
  </si>
  <si>
    <t>Morice Extra</t>
  </si>
  <si>
    <t>Ezy Kitchens .27 Cumberland Str,Dunedin.</t>
  </si>
  <si>
    <t>INV5068</t>
  </si>
  <si>
    <t>GJ Subritzky</t>
  </si>
  <si>
    <t>Prime Bianco Wilderness</t>
  </si>
  <si>
    <t>233 Gillams Gully Rd,Awatuna,Hokitika.</t>
  </si>
  <si>
    <t>INV5153</t>
  </si>
  <si>
    <t>GJ Linton</t>
  </si>
  <si>
    <t>Sea Fog Velvet/Carbon Emb</t>
  </si>
  <si>
    <t>197 Upper Kokatahi</t>
  </si>
  <si>
    <t>INV5067</t>
  </si>
  <si>
    <t>Mike Muir</t>
  </si>
  <si>
    <t>Titanium Emb</t>
  </si>
  <si>
    <t>199B Brittan St,Hokitika.</t>
  </si>
  <si>
    <t>INV5151</t>
  </si>
  <si>
    <t>Johansen E</t>
  </si>
  <si>
    <t>Prime Concrete velvet</t>
  </si>
  <si>
    <t>Matiaha Extra and Rework</t>
  </si>
  <si>
    <t>INV5094</t>
  </si>
  <si>
    <t>Bayne</t>
  </si>
  <si>
    <t>40 leet st,Invercargill.</t>
  </si>
  <si>
    <t>INV5099</t>
  </si>
  <si>
    <t>Fraser Extra</t>
  </si>
  <si>
    <t>Anthracite Velvet</t>
  </si>
  <si>
    <t>PO 1038/2327</t>
  </si>
  <si>
    <t>INV5098</t>
  </si>
  <si>
    <t>Gough Extra</t>
  </si>
  <si>
    <t>Prime Dezigna White emb</t>
  </si>
  <si>
    <t>INV5101</t>
  </si>
  <si>
    <t>Concrete velvet</t>
  </si>
  <si>
    <t>Craig Smith</t>
  </si>
  <si>
    <t>DEZIGNATEK THEROFORM WHITE GLOSS</t>
  </si>
  <si>
    <t>INV5095</t>
  </si>
  <si>
    <t>Colvin REWORK</t>
  </si>
  <si>
    <t xml:space="preserve">Bestwood arctic ice gloss plus </t>
  </si>
  <si>
    <t xml:space="preserve">BT083 K&amp;P </t>
  </si>
  <si>
    <t xml:space="preserve">Snowdrift Satin/ original oak wilderness </t>
  </si>
  <si>
    <t>L12:30 H</t>
  </si>
  <si>
    <t xml:space="preserve">Lot 219 Acland Park, Rolleston </t>
  </si>
  <si>
    <t>Kayla 027 309 5717</t>
  </si>
  <si>
    <t>INV5166</t>
  </si>
  <si>
    <t>8 Copper Ridge</t>
  </si>
  <si>
    <t>By Client</t>
  </si>
  <si>
    <t>2 Albert Wills ave,Wigram</t>
  </si>
  <si>
    <t>INV5057</t>
  </si>
  <si>
    <t>Bargain Bin</t>
  </si>
  <si>
    <t>Prime Black Timberland</t>
  </si>
  <si>
    <t>Brett Painter</t>
  </si>
  <si>
    <t>INV5165</t>
  </si>
  <si>
    <t>Lynch Handles</t>
  </si>
  <si>
    <t>Handles only</t>
  </si>
  <si>
    <t>Asked Archant to deliver direct</t>
  </si>
  <si>
    <t>41 Ann St,Roslyn, Dunedin</t>
  </si>
  <si>
    <t>INV5170</t>
  </si>
  <si>
    <t>Goeddert</t>
  </si>
  <si>
    <t>Prime White/Anthracite Velvet</t>
  </si>
  <si>
    <t>INV5085</t>
  </si>
  <si>
    <t>Goeddert Scullery</t>
  </si>
  <si>
    <t>star</t>
  </si>
  <si>
    <t>INV5084</t>
  </si>
  <si>
    <t>Rhodes</t>
  </si>
  <si>
    <t>Prime Convrete Velvet</t>
  </si>
  <si>
    <t>20 Braemar place,Timaru.</t>
  </si>
  <si>
    <t>Dusty 0272050850</t>
  </si>
  <si>
    <t>E67484</t>
  </si>
  <si>
    <t>INV5104</t>
  </si>
  <si>
    <t>Crombie Extra</t>
  </si>
  <si>
    <t>10118E</t>
  </si>
  <si>
    <t>INV5112</t>
  </si>
  <si>
    <t>Hannah Yates</t>
  </si>
  <si>
    <t>L 9:30 H</t>
  </si>
  <si>
    <t>1 Manchester Place,Rangiora</t>
  </si>
  <si>
    <t>Hannah 0220724115</t>
  </si>
  <si>
    <t>INV5073</t>
  </si>
  <si>
    <t>Deane</t>
  </si>
  <si>
    <t>Black Emb/Prime white</t>
  </si>
  <si>
    <t>12 Sheehan St,Halswell</t>
  </si>
  <si>
    <t>dean Vander Plas</t>
  </si>
  <si>
    <t>INV5169</t>
  </si>
  <si>
    <t xml:space="preserve">16mm Prime White </t>
  </si>
  <si>
    <t xml:space="preserve">Homeplus Hawkes Bay 1014 Omahu Rd, Hastings </t>
  </si>
  <si>
    <t>INV5076</t>
  </si>
  <si>
    <t xml:space="preserve">Home plus Wellington  60A Victoria St, alicetown Wellington </t>
  </si>
  <si>
    <t>INV5047</t>
  </si>
  <si>
    <t>Johnstone Lighting</t>
  </si>
  <si>
    <t>Lighting only</t>
  </si>
  <si>
    <t>A1 Homes Cromwell, Cnr of Barry Ave and Mcnulty RD,Cromwell</t>
  </si>
  <si>
    <t>INV5171</t>
  </si>
  <si>
    <t>Coulter E</t>
  </si>
  <si>
    <t xml:space="preserve">Black Emb </t>
  </si>
  <si>
    <t xml:space="preserve">60 Jack Hanley Drive, Queenstown </t>
  </si>
  <si>
    <t>INV5081</t>
  </si>
  <si>
    <t xml:space="preserve">Robinson </t>
  </si>
  <si>
    <t xml:space="preserve">Bestwood perfect white velvet </t>
  </si>
  <si>
    <t>Prices 61 north taieri Rd, Abbotsford Dunedin</t>
  </si>
  <si>
    <t>INV5132</t>
  </si>
  <si>
    <t>Beal</t>
  </si>
  <si>
    <t>INV5152</t>
  </si>
  <si>
    <t>Blakely</t>
  </si>
  <si>
    <t>40 mLeet St,Invercargill.</t>
  </si>
  <si>
    <t>INV5097</t>
  </si>
  <si>
    <t>Tomlins Extra</t>
  </si>
  <si>
    <t>INV5100</t>
  </si>
  <si>
    <t>Marnane</t>
  </si>
  <si>
    <t>Limestone Velvet</t>
  </si>
  <si>
    <t>INV5086</t>
  </si>
  <si>
    <t>DEZIGNATEK SERIES 1 DESIGNA WHITE SATIN</t>
  </si>
  <si>
    <t>9 Branscombe St,Timaru</t>
  </si>
  <si>
    <t>E67430</t>
  </si>
  <si>
    <t>INV5110</t>
  </si>
  <si>
    <t>Prime black Emb</t>
  </si>
  <si>
    <t>108 Acasia drive Levels</t>
  </si>
  <si>
    <t>INV5103</t>
  </si>
  <si>
    <t xml:space="preserve">Dezignatek S1 Capri White Tex - R3 edge / prime white emb </t>
  </si>
  <si>
    <t xml:space="preserve">240 Otipua Road, Timaru </t>
  </si>
  <si>
    <t>INV5106</t>
  </si>
  <si>
    <t>Cagney Pantry</t>
  </si>
  <si>
    <t>Alchemy Velvet</t>
  </si>
  <si>
    <t>1 Whitechapel RD,Arrow Junction</t>
  </si>
  <si>
    <t>INV5163</t>
  </si>
  <si>
    <t>Cagney Laundry</t>
  </si>
  <si>
    <t>bestwood Arctic White</t>
  </si>
  <si>
    <t>1 Whitechapel RD,Arrow Junction.</t>
  </si>
  <si>
    <t>INV5159</t>
  </si>
  <si>
    <t xml:space="preserve">Davison K </t>
  </si>
  <si>
    <t xml:space="preserve">Formica Warm White velour / </t>
  </si>
  <si>
    <t xml:space="preserve">226 Acland Park , Rolleston </t>
  </si>
  <si>
    <t xml:space="preserve">0274 163282 Scott </t>
  </si>
  <si>
    <t>INV5164</t>
  </si>
  <si>
    <t>Ruby Housing</t>
  </si>
  <si>
    <t>Prime Seafog Velvet/Prime French Oak Velvet</t>
  </si>
  <si>
    <t>1/37 Hillier Place,Sreydon.</t>
  </si>
  <si>
    <t>Kim 0223258614</t>
  </si>
  <si>
    <t>INV5114</t>
  </si>
  <si>
    <t>Stark 1 E2</t>
  </si>
  <si>
    <t>panel and Ctray</t>
  </si>
  <si>
    <t>INV5113</t>
  </si>
  <si>
    <t>Copper Ridge extra</t>
  </si>
  <si>
    <t>Prime Black Wilderness</t>
  </si>
  <si>
    <t>INV5162</t>
  </si>
  <si>
    <t>91 Awatea</t>
  </si>
  <si>
    <t>Arctic Gloss Plus</t>
  </si>
  <si>
    <t>L 7:30H</t>
  </si>
  <si>
    <t>9 Coprosma RD,Hornby</t>
  </si>
  <si>
    <t>INV4927</t>
  </si>
  <si>
    <t>Leckie</t>
  </si>
  <si>
    <t>Melteca Streetlight Nat</t>
  </si>
  <si>
    <t>EKALX-L-123</t>
  </si>
  <si>
    <t>INV5089</t>
  </si>
  <si>
    <t>Armstrong</t>
  </si>
  <si>
    <t>Melteca Fog Naturale</t>
  </si>
  <si>
    <t>Mark 02111447447</t>
  </si>
  <si>
    <t>EKALX-M-239</t>
  </si>
  <si>
    <t>INV5087</t>
  </si>
  <si>
    <t>De Luc Bin</t>
  </si>
  <si>
    <t>40L Bin only</t>
  </si>
  <si>
    <t>51C Russell sty,alexandra.</t>
  </si>
  <si>
    <t>Mcdonald E</t>
  </si>
  <si>
    <t>Cuttlery tray</t>
  </si>
  <si>
    <t>51C Russell st,Alexandra.</t>
  </si>
  <si>
    <t>EKALX-L-124</t>
  </si>
  <si>
    <t>INV5246</t>
  </si>
  <si>
    <t>Marquet</t>
  </si>
  <si>
    <t>11 Four Elms Place,Parklands CHCH</t>
  </si>
  <si>
    <t>Jackie  021923960</t>
  </si>
  <si>
    <t>INV5175</t>
  </si>
  <si>
    <t>Waugh</t>
  </si>
  <si>
    <t>25 Cumberland street, dunedin</t>
  </si>
  <si>
    <t>INV5127</t>
  </si>
  <si>
    <t>Hubac</t>
  </si>
  <si>
    <t>Ezy kitchens ,27 Cumberland St,Dunedin.</t>
  </si>
  <si>
    <t>INV5128</t>
  </si>
  <si>
    <t>Roddy Scoles Extra</t>
  </si>
  <si>
    <t>Bestwood Perfect White</t>
  </si>
  <si>
    <t>I x scriber</t>
  </si>
  <si>
    <t>INV5126</t>
  </si>
  <si>
    <t>Robertson Extra</t>
  </si>
  <si>
    <t>DEZIGNATEK MILAN</t>
  </si>
  <si>
    <t>1 x door only</t>
  </si>
  <si>
    <t>40 Leet street ,invercargill.</t>
  </si>
  <si>
    <t>INV5096</t>
  </si>
  <si>
    <t>Mcdonald Extra</t>
  </si>
  <si>
    <t>16 mm White</t>
  </si>
  <si>
    <t>INV5092</t>
  </si>
  <si>
    <t>Speight E2</t>
  </si>
  <si>
    <t>Half truffle Velvet</t>
  </si>
  <si>
    <t>1 x pelmet</t>
  </si>
  <si>
    <t>INV5091</t>
  </si>
  <si>
    <t>Gough REWORK</t>
  </si>
  <si>
    <t>Bayne REWORK</t>
  </si>
  <si>
    <t>GH Poff</t>
  </si>
  <si>
    <t>Bestwood Perfect White Velvet/Bestwood carbon Emb</t>
  </si>
  <si>
    <t>E67475</t>
  </si>
  <si>
    <t>INV5111</t>
  </si>
  <si>
    <t>Prime Dezigner White Emb</t>
  </si>
  <si>
    <t>38 Ameer St,Pleasant Point.</t>
  </si>
  <si>
    <t>harrison Extra</t>
  </si>
  <si>
    <t>Bestwood Arctic Grey Emb</t>
  </si>
  <si>
    <t>204 Hilton Highway,timaru.</t>
  </si>
  <si>
    <t>E67701</t>
  </si>
  <si>
    <t>INV5105</t>
  </si>
  <si>
    <t>Versitile keenan</t>
  </si>
  <si>
    <t>E67709</t>
  </si>
  <si>
    <t>INV5109</t>
  </si>
  <si>
    <t>Homeplus Palmerston North,664 Tremaine Ave,Palmerston North</t>
  </si>
  <si>
    <t>INV5208</t>
  </si>
  <si>
    <t>Hanger</t>
  </si>
  <si>
    <t>81 Balrudry St,Avonhead,CHCH</t>
  </si>
  <si>
    <t>Gary 02102246177</t>
  </si>
  <si>
    <t>INv5134</t>
  </si>
  <si>
    <t>Seafog Velvet</t>
  </si>
  <si>
    <t>88 Nelson Creek RD,Ngahere</t>
  </si>
  <si>
    <t>INV5196</t>
  </si>
  <si>
    <t>replacement door</t>
  </si>
  <si>
    <t>Chalk Emb</t>
  </si>
  <si>
    <t>J15603</t>
  </si>
  <si>
    <t>INV5150</t>
  </si>
  <si>
    <t>60 Toorak Ave</t>
  </si>
  <si>
    <t>16mm Prime White Emb</t>
  </si>
  <si>
    <t>Paid</t>
  </si>
  <si>
    <t>Homeplus Tauranga,15 Newton st,Mt Maunganui,Tauranga.</t>
  </si>
  <si>
    <t>INV5075</t>
  </si>
  <si>
    <t>Next Dore Arcrylic</t>
  </si>
  <si>
    <t>Acrylic Sheets</t>
  </si>
  <si>
    <t>Bleeker</t>
  </si>
  <si>
    <t>Concrete Velvet/Fiordland elm Wilderness</t>
  </si>
  <si>
    <t>848 Jones RD,Rolleston</t>
  </si>
  <si>
    <t>Stephen 0272744657</t>
  </si>
  <si>
    <t>INV4918</t>
  </si>
  <si>
    <t>39 Dow Sq</t>
  </si>
  <si>
    <t>39 Dow Sq,CHCH</t>
  </si>
  <si>
    <t>INV5161</t>
  </si>
  <si>
    <t>Homeplus Wellington,60A Victoria ST,Alictown,Wellington.</t>
  </si>
  <si>
    <t>INV5080</t>
  </si>
  <si>
    <t>Homeplus Rotorua,71 Marguerita St,rotorua.</t>
  </si>
  <si>
    <t>INV5078</t>
  </si>
  <si>
    <t>Homeplus Wanganui,178 Glasgow St,Wanganui</t>
  </si>
  <si>
    <t>INV5079</t>
  </si>
  <si>
    <t>Lothian REWORK</t>
  </si>
  <si>
    <t>Clark</t>
  </si>
  <si>
    <t>51c Russell St,alexandra.</t>
  </si>
  <si>
    <t>EK-ALX-L-081</t>
  </si>
  <si>
    <t>CHSR 9</t>
  </si>
  <si>
    <t>Prime Arctic Gloss Arrylic Bestwood Indian Ink Velvet</t>
  </si>
  <si>
    <t>L2:30 H</t>
  </si>
  <si>
    <t>BIN and CUSIO TRAY</t>
  </si>
  <si>
    <t>4/355 Riccarton RD,Upper Ricarton</t>
  </si>
  <si>
    <t>see richard</t>
  </si>
  <si>
    <t>Withington</t>
  </si>
  <si>
    <t>7 Straven RD,Riccarton,CHCH</t>
  </si>
  <si>
    <t>Charlotte 021974975</t>
  </si>
  <si>
    <t>INV5115</t>
  </si>
  <si>
    <t>Xavier</t>
  </si>
  <si>
    <t xml:space="preserve">25 Cumberland Street </t>
  </si>
  <si>
    <t>INV5125</t>
  </si>
  <si>
    <t>Beaumont</t>
  </si>
  <si>
    <t>Prime Frost Grey Emb</t>
  </si>
  <si>
    <t>INV5136</t>
  </si>
  <si>
    <t>Frame</t>
  </si>
  <si>
    <t>Prime new half Spanish White</t>
  </si>
  <si>
    <t>INv5120</t>
  </si>
  <si>
    <t>Beaumont L</t>
  </si>
  <si>
    <t>INV5124</t>
  </si>
  <si>
    <t>Gane REWORK</t>
  </si>
  <si>
    <t>Griffin</t>
  </si>
  <si>
    <t>Prime White Emb/Prime Anthracite Velvet</t>
  </si>
  <si>
    <t>INV5142</t>
  </si>
  <si>
    <t xml:space="preserve">Anderson L </t>
  </si>
  <si>
    <t xml:space="preserve">Perfect White velvet/ French oak Velvet </t>
  </si>
  <si>
    <t xml:space="preserve">4 Kotua Place Stoke Nelson </t>
  </si>
  <si>
    <t>INV5083</t>
  </si>
  <si>
    <t>Lelo</t>
  </si>
  <si>
    <t>INV5141</t>
  </si>
  <si>
    <t>Bestwood Charred Oak WG</t>
  </si>
  <si>
    <t>INV5082</t>
  </si>
  <si>
    <t xml:space="preserve">Dezignatek Dezigna white text ronda / lyon/etchlite/ prime dezigna white emb </t>
  </si>
  <si>
    <t xml:space="preserve">7 Guiness St, Timaru </t>
  </si>
  <si>
    <t xml:space="preserve">Jenny 027 232 6936 </t>
  </si>
  <si>
    <t>INV5138</t>
  </si>
  <si>
    <t>Cookson</t>
  </si>
  <si>
    <t>Prime Bianco W</t>
  </si>
  <si>
    <t>46 Beach Rd,Timaru.</t>
  </si>
  <si>
    <t>E63881</t>
  </si>
  <si>
    <t>INv5139</t>
  </si>
  <si>
    <t>GH Mulvay</t>
  </si>
  <si>
    <t>Bestwood feather White Velvet</t>
  </si>
  <si>
    <t>mcMillan</t>
  </si>
  <si>
    <t>E63885</t>
  </si>
  <si>
    <t>INV5137</t>
  </si>
  <si>
    <t>BT084</t>
  </si>
  <si>
    <t xml:space="preserve">Snowdrift satin / planked urban / prime white </t>
  </si>
  <si>
    <t>L 12:30 H</t>
  </si>
  <si>
    <t xml:space="preserve">o'brien </t>
  </si>
  <si>
    <t xml:space="preserve">White valencia </t>
  </si>
  <si>
    <t xml:space="preserve">Lot 216 acland park rolleston </t>
  </si>
  <si>
    <t>INV5168</t>
  </si>
  <si>
    <t>Homeplus Blenheim,44 Main St,Blenheim.</t>
  </si>
  <si>
    <t>INV5077</t>
  </si>
  <si>
    <t>Fiddes</t>
  </si>
  <si>
    <t>1/22 Buccleigh St,Phillipstown,CHCH</t>
  </si>
  <si>
    <t>Amanda 021480008</t>
  </si>
  <si>
    <t>INV5252</t>
  </si>
  <si>
    <t>Hunt E2</t>
  </si>
  <si>
    <t>glass shelves</t>
  </si>
  <si>
    <t>INV5387</t>
  </si>
  <si>
    <t>30 Litre bin</t>
  </si>
  <si>
    <t>Glacier Joinery, State highway 6, Seaveiw,Hokitika.</t>
  </si>
  <si>
    <t xml:space="preserve">no charge </t>
  </si>
  <si>
    <t>Johnson W</t>
  </si>
  <si>
    <t>V Groove MDF STAGE 1</t>
  </si>
  <si>
    <t>Dean Van 0212773616</t>
  </si>
  <si>
    <t>INV5288</t>
  </si>
  <si>
    <t>Doublet 2</t>
  </si>
  <si>
    <t>Prime Dezigna White Emb/Prime half truffle Velvet</t>
  </si>
  <si>
    <t>marbello</t>
  </si>
  <si>
    <t>fit handles and send plan</t>
  </si>
  <si>
    <t>2/6 timbertop Lane ,St Martins,CHCH</t>
  </si>
  <si>
    <t>Cam 0212502653</t>
  </si>
  <si>
    <t>INV5220</t>
  </si>
  <si>
    <t>Hot and Cold bases</t>
  </si>
  <si>
    <t>Black Emb/MDF</t>
  </si>
  <si>
    <t>Euro towers</t>
  </si>
  <si>
    <t>INV5253</t>
  </si>
  <si>
    <t>Thomson</t>
  </si>
  <si>
    <t>Prime Sea Fog Velvet/Bestwood Perfect Oak AG</t>
  </si>
  <si>
    <t>wait on bin</t>
  </si>
  <si>
    <t>18 Tangmere Place,Burwood,CHCH</t>
  </si>
  <si>
    <t>Michelle 0273262636</t>
  </si>
  <si>
    <t>INV 5300</t>
  </si>
  <si>
    <t>Edie</t>
  </si>
  <si>
    <t>Ezy kitchens storage ,25 Cumberland St. Dunedin.</t>
  </si>
  <si>
    <t>INV 5319</t>
  </si>
  <si>
    <t>Beaumont Extra</t>
  </si>
  <si>
    <t>INV5223</t>
  </si>
  <si>
    <t>Murray E2</t>
  </si>
  <si>
    <t>Ezy kitchens storage,25 Cumberland St,Dunedin.</t>
  </si>
  <si>
    <t>INV5392</t>
  </si>
  <si>
    <t>Hamilton REWORK</t>
  </si>
  <si>
    <t>Prime White</t>
  </si>
  <si>
    <t>Austin</t>
  </si>
  <si>
    <t>DEZIGNATEK NEW BLACK TEXTURE</t>
  </si>
  <si>
    <t>INV 5332</t>
  </si>
  <si>
    <t>Hyde</t>
  </si>
  <si>
    <t>INV5259</t>
  </si>
  <si>
    <t>Trounson</t>
  </si>
  <si>
    <t>Prime Ironsand Emb</t>
  </si>
  <si>
    <t>INV5255</t>
  </si>
  <si>
    <t>Hartley</t>
  </si>
  <si>
    <t>Prime French Oak W/Prime White Emb</t>
  </si>
  <si>
    <t>INV5256</t>
  </si>
  <si>
    <t>Shaw Extra</t>
  </si>
  <si>
    <t>brown E2</t>
  </si>
  <si>
    <t>INV5257</t>
  </si>
  <si>
    <t>Johansen E2</t>
  </si>
  <si>
    <t>Prime Concrete Velvet</t>
  </si>
  <si>
    <t>40 Leet St , Invercargill.</t>
  </si>
  <si>
    <t>INV5258</t>
  </si>
  <si>
    <t>Renwick Smith</t>
  </si>
  <si>
    <t>Simply White Emb</t>
  </si>
  <si>
    <t>INV5263</t>
  </si>
  <si>
    <t>Fry REWORK</t>
  </si>
  <si>
    <t>Anderson</t>
  </si>
  <si>
    <t>Prime Ironsand Emb/Bestwood Perfect Oak WG/Bestwood Perfect White Velvet</t>
  </si>
  <si>
    <t>wait cusio cuttlery</t>
  </si>
  <si>
    <t>361 Lyalldale RD,St Andrews</t>
  </si>
  <si>
    <t>E66707</t>
  </si>
  <si>
    <t>INV 5360</t>
  </si>
  <si>
    <t>Fitzgerald</t>
  </si>
  <si>
    <t>Melteca Warm White</t>
  </si>
  <si>
    <t>wait for hardware</t>
  </si>
  <si>
    <t>Flat 1 Domain Ave,Temuka</t>
  </si>
  <si>
    <t>E67758</t>
  </si>
  <si>
    <t>INV5261</t>
  </si>
  <si>
    <t>Connor</t>
  </si>
  <si>
    <t>DEZIGNATEK WHITE TEXTURE CAPRI SERIES 1</t>
  </si>
  <si>
    <t>61 Elizabeth St,Timaru</t>
  </si>
  <si>
    <t>E67714</t>
  </si>
  <si>
    <t>INV 5331</t>
  </si>
  <si>
    <t>Quigley</t>
  </si>
  <si>
    <t>16 Whitcombe St,Temuka.</t>
  </si>
  <si>
    <t>E67753</t>
  </si>
  <si>
    <t>INV5262</t>
  </si>
  <si>
    <t>446 Andersons Bay Road, Dunedin</t>
  </si>
  <si>
    <t>INV5286</t>
  </si>
  <si>
    <t>Andy Bay Tills Hot and Cold</t>
  </si>
  <si>
    <t>Southern Oak W/Prime Black Emb</t>
  </si>
  <si>
    <t>Thatcher REWORK</t>
  </si>
  <si>
    <t>Peters</t>
  </si>
  <si>
    <t xml:space="preserve">Delivery NOTE </t>
  </si>
  <si>
    <t>2/82 Holly RD,St Albans,CHCH</t>
  </si>
  <si>
    <t>Sam 021514973</t>
  </si>
  <si>
    <t>INV 5298</t>
  </si>
  <si>
    <t>Thatcher REWORK 2</t>
  </si>
  <si>
    <t>Prime Hickory walnut/1 set Runners</t>
  </si>
  <si>
    <t>Harreex K+P Robes+Linen</t>
  </si>
  <si>
    <t>Bestwood Mist Grey Emb/Anthracite Velvet</t>
  </si>
  <si>
    <t>51C Russell St,Alexandra</t>
  </si>
  <si>
    <t>EKALX-M-134</t>
  </si>
  <si>
    <t>INV 5322</t>
  </si>
  <si>
    <t>Skinner</t>
  </si>
  <si>
    <t>Prime Frost Grey Emb/Bestwood Dapper Grey Velvet</t>
  </si>
  <si>
    <t>ELALX-M-189</t>
  </si>
  <si>
    <t>INV 5325</t>
  </si>
  <si>
    <t>Eason</t>
  </si>
  <si>
    <t>Melteca New Stainless Steel Pearl</t>
  </si>
  <si>
    <t>4 Clare Place,Cromwell</t>
  </si>
  <si>
    <t>Mike 0272745755</t>
  </si>
  <si>
    <t>EK-ALX-L-065</t>
  </si>
  <si>
    <t>INV 5324</t>
  </si>
  <si>
    <t>Ross</t>
  </si>
  <si>
    <t>11B Deloraine St,Somerfeild</t>
  </si>
  <si>
    <t>Donna 0272373157</t>
  </si>
  <si>
    <t>INV5070</t>
  </si>
  <si>
    <t>Installer Packs</t>
  </si>
  <si>
    <t>Hardware only</t>
  </si>
  <si>
    <t>hardware.</t>
  </si>
  <si>
    <t>dwayne???</t>
  </si>
  <si>
    <t>Waugh Extra</t>
  </si>
  <si>
    <t>ezy kitchens storage,25 Cumberland ST,Dunedin.</t>
  </si>
  <si>
    <t>INV 5318</t>
  </si>
  <si>
    <t>GJ Church</t>
  </si>
  <si>
    <t>Coronet Beech W</t>
  </si>
  <si>
    <t>INV 5313</t>
  </si>
  <si>
    <t>Hartwig</t>
  </si>
  <si>
    <t>Prime Lite Aluminium</t>
  </si>
  <si>
    <t xml:space="preserve">136 Shakespear Street , Greymouth </t>
  </si>
  <si>
    <t>INV 5320</t>
  </si>
  <si>
    <t>Fearn</t>
  </si>
  <si>
    <t>Prime Brushed Pewter Velvet</t>
  </si>
  <si>
    <t>63 Kumara Junction highway,Hokitika</t>
  </si>
  <si>
    <t>INV5279</t>
  </si>
  <si>
    <t>Bragg</t>
  </si>
  <si>
    <t>INV 5335</t>
  </si>
  <si>
    <t>Morton</t>
  </si>
  <si>
    <t>Melteca Velveteen Nat</t>
  </si>
  <si>
    <t>Frew</t>
  </si>
  <si>
    <t>40 lweet St,Invercargill.</t>
  </si>
  <si>
    <t>INV 5333</t>
  </si>
  <si>
    <t>Munro</t>
  </si>
  <si>
    <t>Prime White Pointer</t>
  </si>
  <si>
    <t>33A Barnes St,Timaru</t>
  </si>
  <si>
    <t>Chris 0275665636</t>
  </si>
  <si>
    <t>E67906</t>
  </si>
  <si>
    <t>INV5260</t>
  </si>
  <si>
    <t>Monk</t>
  </si>
  <si>
    <t>sea Fog Velvet/Fumed Oak</t>
  </si>
  <si>
    <t>28 Upper Kokatahi RD,Kokatahi</t>
  </si>
  <si>
    <t>INV5278</t>
  </si>
  <si>
    <t>Nigel Clark Unit</t>
  </si>
  <si>
    <t>Snowdrift Satin</t>
  </si>
  <si>
    <t>INV5287</t>
  </si>
  <si>
    <t>Birchfeild extra</t>
  </si>
  <si>
    <t>10134E</t>
  </si>
  <si>
    <t>INV 5304</t>
  </si>
  <si>
    <t>Ross extra</t>
  </si>
  <si>
    <t>10173E</t>
  </si>
  <si>
    <t>INV5071</t>
  </si>
  <si>
    <t>Murtha</t>
  </si>
  <si>
    <t>Sea Fog Velvet</t>
  </si>
  <si>
    <t>175 Jollie St,Hokitika</t>
  </si>
  <si>
    <t>INV5277</t>
  </si>
  <si>
    <t>Homeplus Hawkes Bay,1014 Omahu RD,Hastings</t>
  </si>
  <si>
    <t>INV2568</t>
  </si>
  <si>
    <t>Surowiez Lepper</t>
  </si>
  <si>
    <t>5 raymond RD,Bromely</t>
  </si>
  <si>
    <t>Adrian 034210923</t>
  </si>
  <si>
    <t>Amende</t>
  </si>
  <si>
    <t>43 Main RD,Weston,Oamaru.</t>
  </si>
  <si>
    <t>INV5272</t>
  </si>
  <si>
    <t>Chittock Extra</t>
  </si>
  <si>
    <t>INV 5316</t>
  </si>
  <si>
    <t>GJ Westport Showhome</t>
  </si>
  <si>
    <t>Limestone Velvet/Southern Oak W/Melteca Black Pearl</t>
  </si>
  <si>
    <t>153 Brougham St,Westport</t>
  </si>
  <si>
    <t>INV 5314</t>
  </si>
  <si>
    <t>GJ Schramm</t>
  </si>
  <si>
    <t>Sea Fog Velvet/Alchemy Velvet</t>
  </si>
  <si>
    <t>28 High St,Greymouth</t>
  </si>
  <si>
    <t>INV 5308</t>
  </si>
  <si>
    <t>Arriagada</t>
  </si>
  <si>
    <t>DEZIGNATEK WHITE TEXTURE SERIES 3</t>
  </si>
  <si>
    <t>INV5285</t>
  </si>
  <si>
    <t>Walker</t>
  </si>
  <si>
    <t>40 Leet St,Invercargill</t>
  </si>
  <si>
    <t>INV5283</t>
  </si>
  <si>
    <t>Smith Extra</t>
  </si>
  <si>
    <t>INV5282</t>
  </si>
  <si>
    <t>Cullen Scriber</t>
  </si>
  <si>
    <t>Randall</t>
  </si>
  <si>
    <t>DESIGNATEK TUSK EMB LEVANTE</t>
  </si>
  <si>
    <t>4 Kotua Place,Stoke,nelson.</t>
  </si>
  <si>
    <t>INV5307</t>
  </si>
  <si>
    <t>Grant</t>
  </si>
  <si>
    <t>Prime White Emb/Salvaged Elm</t>
  </si>
  <si>
    <t>INV5280</t>
  </si>
  <si>
    <t>DEZIGNATEK DESIGNA WHITE TEXTURE</t>
  </si>
  <si>
    <t>204 Hilton highway timaru</t>
  </si>
  <si>
    <t>E63897</t>
  </si>
  <si>
    <t>INV5275</t>
  </si>
  <si>
    <t>Ashbrook</t>
  </si>
  <si>
    <t>161A Talbot st.Geraldine</t>
  </si>
  <si>
    <t>E67791</t>
  </si>
  <si>
    <t>INV 5327</t>
  </si>
  <si>
    <t>Tane Sayers</t>
  </si>
  <si>
    <t>43 Averill St,Richmond</t>
  </si>
  <si>
    <t>Tane 021410107</t>
  </si>
  <si>
    <t>INV5121</t>
  </si>
  <si>
    <t>INV5338</t>
  </si>
  <si>
    <t>K Valley Tills hot and Cold</t>
  </si>
  <si>
    <t>560 Kaikorai valley Rd, Dunedin.</t>
  </si>
  <si>
    <t>Homeplus Wellington,60A Victoria St,Alicetown, Wellington.</t>
  </si>
  <si>
    <t>INV5267</t>
  </si>
  <si>
    <t>INV5390</t>
  </si>
  <si>
    <t>Homeplus Wanganui,178 Glsgow St,Wanganui</t>
  </si>
  <si>
    <t>INV5266</t>
  </si>
  <si>
    <t>CHSR9 Extra</t>
  </si>
  <si>
    <t>10166E</t>
  </si>
  <si>
    <t>INV 5302</t>
  </si>
  <si>
    <t>McGregor</t>
  </si>
  <si>
    <t>Bestwood Perfect Oak WG</t>
  </si>
  <si>
    <t>4/51 Bishop St, St Albans</t>
  </si>
  <si>
    <t>Alison 021433776</t>
  </si>
  <si>
    <t>INV5297</t>
  </si>
  <si>
    <t>AJ Ekmescic</t>
  </si>
  <si>
    <t>71 hoffman St,Hokitika</t>
  </si>
  <si>
    <t>INV 5312</t>
  </si>
  <si>
    <t>McPaike</t>
  </si>
  <si>
    <t>Concrete Velvet</t>
  </si>
  <si>
    <t>692 Rutherglen RD,Greymouth</t>
  </si>
  <si>
    <t>INV 5315</t>
  </si>
  <si>
    <t>Parkes</t>
  </si>
  <si>
    <t>Frost Grey Emb</t>
  </si>
  <si>
    <t>NVD</t>
  </si>
  <si>
    <t>INV5281</t>
  </si>
  <si>
    <t>Magrath</t>
  </si>
  <si>
    <t>Ranfurley Oak W</t>
  </si>
  <si>
    <t>Dean 0212773616</t>
  </si>
  <si>
    <t>INV5122</t>
  </si>
  <si>
    <t>Next Door Acrylic</t>
  </si>
  <si>
    <t>White Acrylic</t>
  </si>
  <si>
    <t>Acrylic for jesse to run</t>
  </si>
  <si>
    <t xml:space="preserve">Song </t>
  </si>
  <si>
    <t xml:space="preserve">Melteca snowdrift woodgrain </t>
  </si>
  <si>
    <t xml:space="preserve">White Valencia </t>
  </si>
  <si>
    <t xml:space="preserve">36 Howden Dr, Hanley's Farm </t>
  </si>
  <si>
    <t>Greg 021 275 1135</t>
  </si>
  <si>
    <t>OS874</t>
  </si>
  <si>
    <t>INV5292</t>
  </si>
  <si>
    <t>Barnby</t>
  </si>
  <si>
    <t>Melteca Snowdrift WG</t>
  </si>
  <si>
    <t>70 Tonis Terrace,Shotover Country,Queenstown</t>
  </si>
  <si>
    <t>Barnaby 0221056355</t>
  </si>
  <si>
    <t>EKALX-M-244</t>
  </si>
  <si>
    <t>INV 5321</t>
  </si>
  <si>
    <t>Kaye REEDGE</t>
  </si>
  <si>
    <t>51c Russell st,Alexandra</t>
  </si>
  <si>
    <t>Mark Snape</t>
  </si>
  <si>
    <t>Hayley and Ryan</t>
  </si>
  <si>
    <t>Prime Black Acrylic Matt/Prime Black Emb</t>
  </si>
  <si>
    <t>45 Watson St,Akaroa</t>
  </si>
  <si>
    <t>Tristan 0212994242</t>
  </si>
  <si>
    <t>INV5296</t>
  </si>
  <si>
    <t>Hewitt</t>
  </si>
  <si>
    <t>Prime half Spanish White Velvet</t>
  </si>
  <si>
    <t>edging</t>
  </si>
  <si>
    <t>129A Nayland St,Sumner,CHCH</t>
  </si>
  <si>
    <t>Tina 0212055590</t>
  </si>
  <si>
    <t>INV53963</t>
  </si>
  <si>
    <t>RossE2</t>
  </si>
  <si>
    <t>n pick up</t>
  </si>
  <si>
    <t>INV 5303</t>
  </si>
  <si>
    <t>McPaike Laundry</t>
  </si>
  <si>
    <t>INV 5311</t>
  </si>
  <si>
    <t>Alchemy Velvet PANELS</t>
  </si>
  <si>
    <t>Hartley extra</t>
  </si>
  <si>
    <t>Prime French oak W</t>
  </si>
  <si>
    <t>INV 5334</t>
  </si>
  <si>
    <t>Bragg REWORK</t>
  </si>
  <si>
    <t>Cain</t>
  </si>
  <si>
    <t>16mm Subtle Grey VELVET</t>
  </si>
  <si>
    <t>INV 5306</t>
  </si>
  <si>
    <t>Newton</t>
  </si>
  <si>
    <t>Melteca Zincworks</t>
  </si>
  <si>
    <t>INV 5305</t>
  </si>
  <si>
    <t xml:space="preserve"> v </t>
  </si>
  <si>
    <t>Urban Velvet/Melteca Iron Ore</t>
  </si>
  <si>
    <t>4 Kotua Place ,Stoke,Nelson</t>
  </si>
  <si>
    <t>Parkes Extra</t>
  </si>
  <si>
    <t>GH Curtis</t>
  </si>
  <si>
    <t>E67902</t>
  </si>
  <si>
    <t>INV 5328</t>
  </si>
  <si>
    <t>Versitile Shaw</t>
  </si>
  <si>
    <t>Prime white Emb</t>
  </si>
  <si>
    <t>60B Douglasw St,Timaru.</t>
  </si>
  <si>
    <t>Carl 0278893772</t>
  </si>
  <si>
    <t>E67727</t>
  </si>
  <si>
    <t>INV5276</t>
  </si>
  <si>
    <t>Homeplus Wellington.60A Victoria ST,Alicetown,Lower Hutt</t>
  </si>
  <si>
    <t>INV5295</t>
  </si>
  <si>
    <t>Breen 2</t>
  </si>
  <si>
    <t>51 Rata St,Wanaka</t>
  </si>
  <si>
    <t>Hope Pier 021340863</t>
  </si>
  <si>
    <t>EK-ALX-L-042</t>
  </si>
  <si>
    <t>INV 5326</t>
  </si>
  <si>
    <t>Boaz</t>
  </si>
  <si>
    <t>Prime Frog Green Emb</t>
  </si>
  <si>
    <t>63 Kumara Junction Highway.</t>
  </si>
  <si>
    <t>INV 5309</t>
  </si>
  <si>
    <t>Gault</t>
  </si>
  <si>
    <t>.</t>
  </si>
  <si>
    <t>2683 Kumara Inchbonnie Rd,RD1,Kumara</t>
  </si>
  <si>
    <t>INV 5310</t>
  </si>
  <si>
    <t>Steve Muir Stairs</t>
  </si>
  <si>
    <t>MDF</t>
  </si>
  <si>
    <t>INV5413</t>
  </si>
  <si>
    <t>V Groove MDF</t>
  </si>
  <si>
    <t>Outdoor Edge,452 Ngunguru RD,Glenbervie,Whangarei.</t>
  </si>
  <si>
    <t>INV5294</t>
  </si>
  <si>
    <t>Beckingsale</t>
  </si>
  <si>
    <t>Snowdrift Naturale</t>
  </si>
  <si>
    <t>Laminex Peacestone Natural</t>
  </si>
  <si>
    <t>15B Waenga Drive ,Cromwell</t>
  </si>
  <si>
    <t>OS960</t>
  </si>
  <si>
    <t>INV5339</t>
  </si>
  <si>
    <t>OL2 201 2</t>
  </si>
  <si>
    <t>Melteca Aged Ash PG/Melteca Seal Grey Nat</t>
  </si>
  <si>
    <t>prices</t>
  </si>
  <si>
    <t>327-343 Frankton RD,Queenstown</t>
  </si>
  <si>
    <t>INV5406</t>
  </si>
  <si>
    <t>OL2 202 2B</t>
  </si>
  <si>
    <t>OL2 203 2</t>
  </si>
  <si>
    <t>Melteca Aged Ash PG/Melteca seal Grey Nat</t>
  </si>
  <si>
    <t>327-343 Frankton Rd,Queenstown.</t>
  </si>
  <si>
    <t>OL2 204 2B</t>
  </si>
  <si>
    <t>Oaks Level2 Vanities</t>
  </si>
  <si>
    <t>Melteca Aged Ash</t>
  </si>
  <si>
    <t>327 343 Frankton RD,Queenstown</t>
  </si>
  <si>
    <t>Oak Wardrobe</t>
  </si>
  <si>
    <t>Masters</t>
  </si>
  <si>
    <t>L 10:00 H</t>
  </si>
  <si>
    <t>67A Jacksons RD, Lyttleton</t>
  </si>
  <si>
    <t>Sam 0211629641</t>
  </si>
  <si>
    <t>INV5290</t>
  </si>
  <si>
    <t>Ann Higgs</t>
  </si>
  <si>
    <t>Bleached Concrete</t>
  </si>
  <si>
    <t>89 Mary Ellen St,Pegasus</t>
  </si>
  <si>
    <t>INV5289</t>
  </si>
  <si>
    <t>call Kieran</t>
  </si>
  <si>
    <t>INV5293</t>
  </si>
  <si>
    <t>Homeplus Palmerston North,664 Tremaine Ave,Palmerston North.</t>
  </si>
  <si>
    <t>INV5348</t>
  </si>
  <si>
    <t>INMV5349</t>
  </si>
  <si>
    <t>INV5347</t>
  </si>
  <si>
    <t>Homeplus Blenheim,44 Main st Blenheim</t>
  </si>
  <si>
    <t>INV5350</t>
  </si>
  <si>
    <t>Longman</t>
  </si>
  <si>
    <t>EK-ALX-L-091</t>
  </si>
  <si>
    <t>INV 5323</t>
  </si>
  <si>
    <t>Withington 2</t>
  </si>
  <si>
    <t>INV 5301</t>
  </si>
  <si>
    <t>Rooney</t>
  </si>
  <si>
    <t>1/84 Harrow St,Phillipstown</t>
  </si>
  <si>
    <t>Mary 0212016111</t>
  </si>
  <si>
    <t>INV5399</t>
  </si>
  <si>
    <t>Gray</t>
  </si>
  <si>
    <t>Prime Dezigna White Emb/Premium Oak WF</t>
  </si>
  <si>
    <t>11 Whincops RD,Halswell</t>
  </si>
  <si>
    <t>Clint Leigh 0211196642</t>
  </si>
  <si>
    <t>INV5340</t>
  </si>
  <si>
    <t>McRodden</t>
  </si>
  <si>
    <t xml:space="preserve">Prices </t>
  </si>
  <si>
    <t>INV 5317</t>
  </si>
  <si>
    <t>Keen</t>
  </si>
  <si>
    <t>Prime Truffle Velvet</t>
  </si>
  <si>
    <t>INV 5375</t>
  </si>
  <si>
    <t>Robinson</t>
  </si>
  <si>
    <t>INV 5372</t>
  </si>
  <si>
    <t>Dawson</t>
  </si>
  <si>
    <t>TEP / Parts</t>
  </si>
  <si>
    <t>INV 5380</t>
  </si>
  <si>
    <t>Blakley Extra</t>
  </si>
  <si>
    <t>INV 5336</t>
  </si>
  <si>
    <t>Melteca Velveteen Naturale</t>
  </si>
  <si>
    <t>panel</t>
  </si>
  <si>
    <t>INV 5337</t>
  </si>
  <si>
    <t>GH Davies</t>
  </si>
  <si>
    <t>Bestwood Limestone Emb/Carbon Emb</t>
  </si>
  <si>
    <t>E67910</t>
  </si>
  <si>
    <t>INV 5330</t>
  </si>
  <si>
    <t>Shadbolt</t>
  </si>
  <si>
    <t>Melteca warm white Naturale</t>
  </si>
  <si>
    <t>z</t>
  </si>
  <si>
    <t>15 Herbert St,Waimate</t>
  </si>
  <si>
    <t>E67787</t>
  </si>
  <si>
    <t>INV5329</t>
  </si>
  <si>
    <t>Moller</t>
  </si>
  <si>
    <t>Prime Nordic Pine velvet</t>
  </si>
  <si>
    <t>1 Lachlan St,Temuka</t>
  </si>
  <si>
    <t>E68009</t>
  </si>
  <si>
    <t>INV 5364</t>
  </si>
  <si>
    <t>BTO90</t>
  </si>
  <si>
    <t>Snowdrift satin/Charred Walnut TBLD</t>
  </si>
  <si>
    <t>L 2:30 H</t>
  </si>
  <si>
    <t>✓ - 4x parts</t>
  </si>
  <si>
    <t>Laminex pure minerale stone</t>
  </si>
  <si>
    <t>Lot 8 olivefeilds Subdivision,rolleston</t>
  </si>
  <si>
    <t>INV5341</t>
  </si>
  <si>
    <t>Leitch</t>
  </si>
  <si>
    <t>Prime White Emb/Prime Sovereign Oak WF</t>
  </si>
  <si>
    <t>1461 Tram Rd,Swananoa</t>
  </si>
  <si>
    <t>Jonathan 0276753429</t>
  </si>
  <si>
    <t>Kam Trust</t>
  </si>
  <si>
    <t>7 Anaru RD,Lincoln</t>
  </si>
  <si>
    <t>Oliver 0275588243</t>
  </si>
  <si>
    <t>INV5398</t>
  </si>
  <si>
    <t>McConnell REWORK</t>
  </si>
  <si>
    <t>Harreex REWORK</t>
  </si>
  <si>
    <t>Crawford</t>
  </si>
  <si>
    <t>Prime Brushed Pewter/Bestwood Charred Oak</t>
  </si>
  <si>
    <t>20 Briar Crescent,alexandra</t>
  </si>
  <si>
    <t>Karen 0273513466</t>
  </si>
  <si>
    <t>EK-ALX-L-094</t>
  </si>
  <si>
    <t>INV 5359</t>
  </si>
  <si>
    <t>Breen PAP Ex</t>
  </si>
  <si>
    <t xml:space="preserve">1 Panel </t>
  </si>
  <si>
    <t xml:space="preserve">EK ALX L 115 </t>
  </si>
  <si>
    <t>Muir</t>
  </si>
  <si>
    <t>Bianco Wilderness/Sovereign Oak WF</t>
  </si>
  <si>
    <t>360 Kaniere Rd,Kaniere,Hokitika.</t>
  </si>
  <si>
    <t>INV 5355</t>
  </si>
  <si>
    <t xml:space="preserve">Boaz Shelves </t>
  </si>
  <si>
    <t xml:space="preserve">Made </t>
  </si>
  <si>
    <t>Julie Getley</t>
  </si>
  <si>
    <t>QRT Thorndon Cream Velvet</t>
  </si>
  <si>
    <t>63 State Highway 6,seaveiw,Hokitika.</t>
  </si>
  <si>
    <t>INV 5354</t>
  </si>
  <si>
    <t>Daringdale Extra</t>
  </si>
  <si>
    <t>INV 5370</t>
  </si>
  <si>
    <t>Hillas</t>
  </si>
  <si>
    <t>Prime QRT Thorndon Cream velvet/Prime Sovereign Oak WG</t>
  </si>
  <si>
    <t>INV 5374</t>
  </si>
  <si>
    <t>Bestwood Dapper Grey velvet</t>
  </si>
  <si>
    <t>INV 5373</t>
  </si>
  <si>
    <t>Hyde Extra</t>
  </si>
  <si>
    <t>40 leet St,Invercargill.</t>
  </si>
  <si>
    <t>INV 5369</t>
  </si>
  <si>
    <t>England</t>
  </si>
  <si>
    <t>4 Kotua Place,Stoke, Nelson</t>
  </si>
  <si>
    <t>INV 5366</t>
  </si>
  <si>
    <t>Partridge</t>
  </si>
  <si>
    <t>MDF Painted</t>
  </si>
  <si>
    <t>ready for paint</t>
  </si>
  <si>
    <t>E68039</t>
  </si>
  <si>
    <t>INV 5362</t>
  </si>
  <si>
    <t>Kearns</t>
  </si>
  <si>
    <t>591 Beaconfeild RD,Timaru.</t>
  </si>
  <si>
    <t>E67914</t>
  </si>
  <si>
    <t>INV 5365</t>
  </si>
  <si>
    <t>Johnson</t>
  </si>
  <si>
    <t>Melteca Caribbean Naturale</t>
  </si>
  <si>
    <t>E68024</t>
  </si>
  <si>
    <t>INV 5361</t>
  </si>
  <si>
    <t>Davies</t>
  </si>
  <si>
    <t>Melteca Spinifex Naturale</t>
  </si>
  <si>
    <t>26 Harris St,Waimate</t>
  </si>
  <si>
    <t>E67918</t>
  </si>
  <si>
    <t>INV 5363</t>
  </si>
  <si>
    <t>Bennett O</t>
  </si>
  <si>
    <t>French Oak Velvet</t>
  </si>
  <si>
    <t xml:space="preserve">To site </t>
  </si>
  <si>
    <t>Prime Athena Stone matera</t>
  </si>
  <si>
    <t>83 Epsom RD Sockburn</t>
  </si>
  <si>
    <t>Jo 0210525618</t>
  </si>
  <si>
    <t>Coates</t>
  </si>
  <si>
    <t>Prime White Emb/Bestwiood perfect Oak WG</t>
  </si>
  <si>
    <t>3/88 Antigua St,addington,CHCH</t>
  </si>
  <si>
    <t>Ashleigh 0273787453</t>
  </si>
  <si>
    <t>INV5395</t>
  </si>
  <si>
    <t>INV5393</t>
  </si>
  <si>
    <t xml:space="preserve">Hewitt E </t>
  </si>
  <si>
    <t xml:space="preserve">Ductcover and Angled Shelf </t>
  </si>
  <si>
    <t>INV5403</t>
  </si>
  <si>
    <t>Tyrell</t>
  </si>
  <si>
    <t xml:space="preserve">Bin </t>
  </si>
  <si>
    <t>17 Stuart St,Kokatahi</t>
  </si>
  <si>
    <t>INV 5356</t>
  </si>
  <si>
    <t>Cannon</t>
  </si>
  <si>
    <t>1183 Goulds RD,Rolleston</t>
  </si>
  <si>
    <t>Nadia 0211642656</t>
  </si>
  <si>
    <t>INV5394</t>
  </si>
  <si>
    <t>Kam Trust Extra</t>
  </si>
  <si>
    <t>Urban velvet</t>
  </si>
  <si>
    <t>1 x double scrib</t>
  </si>
  <si>
    <t>10152E</t>
  </si>
  <si>
    <t>FOLLOW UP PANEL AND GALLERIES</t>
  </si>
  <si>
    <t>Davis Canning</t>
  </si>
  <si>
    <t>4 Kotua lace,Stoke,Nelson.</t>
  </si>
  <si>
    <t>INV 5368</t>
  </si>
  <si>
    <t>Stuck REWORK</t>
  </si>
  <si>
    <t>Dodunski</t>
  </si>
  <si>
    <t>Bestwood Brulee Velvet</t>
  </si>
  <si>
    <t>INV 5379</t>
  </si>
  <si>
    <t>Keen frame Doors</t>
  </si>
  <si>
    <t>Prime Half truffle Velvet</t>
  </si>
  <si>
    <t>INV 5371</t>
  </si>
  <si>
    <t>Frizelle</t>
  </si>
  <si>
    <t>INV 5367</t>
  </si>
  <si>
    <t>Idris RD 1</t>
  </si>
  <si>
    <t>Melteca Warm White Natural</t>
  </si>
  <si>
    <t>FF/Mercer</t>
  </si>
  <si>
    <t>730 TRUCK</t>
  </si>
  <si>
    <t>198 Idris RD</t>
  </si>
  <si>
    <t>Peter 0275396179</t>
  </si>
  <si>
    <t>Idris RD 2</t>
  </si>
  <si>
    <t>7.30 TRUCK</t>
  </si>
  <si>
    <t>Homeplus Gisbourne,390 Palmerston RD,Gisbourne</t>
  </si>
  <si>
    <t>INV5345</t>
  </si>
  <si>
    <t>INV5343</t>
  </si>
  <si>
    <t>Homeplus Taranaki,1 High St,New Plymouth</t>
  </si>
  <si>
    <t>INV5342</t>
  </si>
  <si>
    <t>Purcell</t>
  </si>
  <si>
    <t>Snowdrift Puregrain</t>
  </si>
  <si>
    <t>Grace</t>
  </si>
  <si>
    <t>17 Wapiti Drive,Te Anau</t>
  </si>
  <si>
    <t>Ryan Purcell 0212721070</t>
  </si>
  <si>
    <t>OS938</t>
  </si>
  <si>
    <t>INV5405</t>
  </si>
  <si>
    <t>EKALX-M-242</t>
  </si>
  <si>
    <t>INV5409</t>
  </si>
  <si>
    <t>Richards</t>
  </si>
  <si>
    <t>Bestwood Limestone velvet</t>
  </si>
  <si>
    <t>missing Scala drawer</t>
  </si>
  <si>
    <t>EKALX-M-236</t>
  </si>
  <si>
    <t>INV5411</t>
  </si>
  <si>
    <t>Rabcor builders</t>
  </si>
  <si>
    <t>Bestwood arctic Ice Gloss.</t>
  </si>
  <si>
    <t>Jesse</t>
  </si>
  <si>
    <t>6 Caulfeild Cres ,Flemington</t>
  </si>
  <si>
    <t>Dan 0272518453</t>
  </si>
  <si>
    <t>INV5381</t>
  </si>
  <si>
    <t xml:space="preserve"> Harrex Re &amp; E </t>
  </si>
  <si>
    <t xml:space="preserve">Mist Grey </t>
  </si>
  <si>
    <t xml:space="preserve">51C Russell Street </t>
  </si>
  <si>
    <t>INv5410</t>
  </si>
  <si>
    <t>Breen Pap Re</t>
  </si>
  <si>
    <t xml:space="preserve">Bestwood Melamine Limestone Velvet </t>
  </si>
  <si>
    <t xml:space="preserve">FOC </t>
  </si>
  <si>
    <t xml:space="preserve">Longman E </t>
  </si>
  <si>
    <t>UNIT TO REEDGE</t>
  </si>
  <si>
    <t xml:space="preserve">51c Russell street alexandra </t>
  </si>
  <si>
    <t>TBA</t>
  </si>
  <si>
    <t>York</t>
  </si>
  <si>
    <t>APPLIANCE</t>
  </si>
  <si>
    <t>10 Lansbury Ave,Strowan,CHCH</t>
  </si>
  <si>
    <t>sarah 02040451123</t>
  </si>
  <si>
    <t>INV5401</t>
  </si>
  <si>
    <t xml:space="preserve">Church E </t>
  </si>
  <si>
    <t xml:space="preserve">1x door 1x back panel; </t>
  </si>
  <si>
    <t>INV5402</t>
  </si>
  <si>
    <t>Showroom Wesport extra</t>
  </si>
  <si>
    <t>Southern Oak W</t>
  </si>
  <si>
    <t>State Highway 6, Seaveiw.Hokitika.</t>
  </si>
  <si>
    <t>E15057</t>
  </si>
  <si>
    <t>INV 5382</t>
  </si>
  <si>
    <t>Showhome Westport Extra</t>
  </si>
  <si>
    <t>State highway 63,Seaveiw,Hokitika.</t>
  </si>
  <si>
    <t>P8900</t>
  </si>
  <si>
    <t xml:space="preserve">Murtha Re </t>
  </si>
  <si>
    <t xml:space="preserve">Sea Fog </t>
  </si>
  <si>
    <t xml:space="preserve">2x doors </t>
  </si>
  <si>
    <t>INV 5358</t>
  </si>
  <si>
    <t>Braven</t>
  </si>
  <si>
    <t>INV 5377</t>
  </si>
  <si>
    <t>Frew extra</t>
  </si>
  <si>
    <t>INV 5376</t>
  </si>
  <si>
    <t>Trounson Extra</t>
  </si>
  <si>
    <t>INV 5378</t>
  </si>
  <si>
    <t>McIllroy</t>
  </si>
  <si>
    <t>Bestwood Black WG</t>
  </si>
  <si>
    <t>INV5412</t>
  </si>
  <si>
    <t>Smith Ex</t>
  </si>
  <si>
    <t xml:space="preserve">Simply white </t>
  </si>
  <si>
    <t xml:space="preserve">Extra panels </t>
  </si>
  <si>
    <t>4 Kotua place stoke nelson</t>
  </si>
  <si>
    <t>INV 5383</t>
  </si>
  <si>
    <t>Mark silverstar</t>
  </si>
  <si>
    <t>prime White Emb</t>
  </si>
  <si>
    <t>Evoke 1</t>
  </si>
  <si>
    <t>Prime QRT thorndon Cream Velvet</t>
  </si>
  <si>
    <t>L 8:00 H</t>
  </si>
  <si>
    <t>480 hamptons Rd,Rolleston</t>
  </si>
  <si>
    <t>Anthony 0212424262</t>
  </si>
  <si>
    <t>INV 5385</t>
  </si>
  <si>
    <t>Gabites</t>
  </si>
  <si>
    <t>30 Kilgour Rd,Greymouth</t>
  </si>
  <si>
    <t>INV5346</t>
  </si>
  <si>
    <t>EURO TOWERS</t>
  </si>
  <si>
    <t>Homeplus Wanganui St.Wanganui</t>
  </si>
  <si>
    <t>INV5391</t>
  </si>
  <si>
    <t>Style Blinds,12B John Glenn Ave,Albany,Auckland</t>
  </si>
  <si>
    <t>INV5344</t>
  </si>
  <si>
    <t>Gray Extra</t>
  </si>
  <si>
    <t>Prime Premium oak</t>
  </si>
  <si>
    <t>10182E</t>
  </si>
  <si>
    <t>INV 5384</t>
  </si>
  <si>
    <t>Oaks Level 3 Vanities</t>
  </si>
  <si>
    <t>INV5407</t>
  </si>
  <si>
    <t>OL3 301 2B</t>
  </si>
  <si>
    <t>Melteca Aged Ash/Seal Grey</t>
  </si>
  <si>
    <t>OL3 302 2B</t>
  </si>
  <si>
    <t>LEGS only</t>
  </si>
  <si>
    <t>OL3 303 2B</t>
  </si>
  <si>
    <t>OL3 304 2B</t>
  </si>
  <si>
    <t>Keller</t>
  </si>
  <si>
    <t>4 Kotua Place,Stoke Nelson.</t>
  </si>
  <si>
    <t>INV5415</t>
  </si>
  <si>
    <t>Timms</t>
  </si>
  <si>
    <t>4 Kotua St ,Stoke,nelson</t>
  </si>
  <si>
    <t>INV 5386</t>
  </si>
  <si>
    <t>Oneill</t>
  </si>
  <si>
    <t>Wilsonart Concrette Matt</t>
  </si>
  <si>
    <t>6 Butchers Lane,Waimate</t>
  </si>
  <si>
    <t>Courtney</t>
  </si>
  <si>
    <t>INV5414</t>
  </si>
  <si>
    <t>Oak Legs L2 L3</t>
  </si>
  <si>
    <t>Seal Grey</t>
  </si>
  <si>
    <t>Hansen</t>
  </si>
  <si>
    <t>30 Gibson Drive,Hornby</t>
  </si>
  <si>
    <t>Jeanette 0211801313</t>
  </si>
  <si>
    <t>OS962</t>
  </si>
  <si>
    <t>Henderson</t>
  </si>
  <si>
    <t>Prime Bianco W/Bestwood Black W</t>
  </si>
  <si>
    <t>Prices</t>
  </si>
  <si>
    <t>MissingLemans</t>
  </si>
  <si>
    <t>INV5440</t>
  </si>
  <si>
    <t>Pont Legs</t>
  </si>
  <si>
    <t>ezy Storage,25 Cumberland st,Dunedin.</t>
  </si>
  <si>
    <t>INV5431</t>
  </si>
  <si>
    <t>Edie REWORK</t>
  </si>
  <si>
    <t>INV5432</t>
  </si>
  <si>
    <t>Ver Masters</t>
  </si>
  <si>
    <t>Bestwood Indian Ink/Prime White Emb</t>
  </si>
  <si>
    <t>113 Hoffman St,Hokitika.</t>
  </si>
  <si>
    <t>INV5438</t>
  </si>
  <si>
    <t>Stephens</t>
  </si>
  <si>
    <t>DEZIGNATEK PRIME WHITE TEXTURE</t>
  </si>
  <si>
    <t xml:space="preserve">TBC </t>
  </si>
  <si>
    <t>SW Portegys</t>
  </si>
  <si>
    <t>INV5421</t>
  </si>
  <si>
    <t>GH Hillary</t>
  </si>
  <si>
    <t>VENICE STRIP HANDLE</t>
  </si>
  <si>
    <t>204 Hiltion Highway,Timaru</t>
  </si>
  <si>
    <t>INV5420</t>
  </si>
  <si>
    <t>Nicholas</t>
  </si>
  <si>
    <t>Sea Fog velvet</t>
  </si>
  <si>
    <t>WilsonArt Manhatten Grey</t>
  </si>
  <si>
    <t>25 Nicholas Drive,Linwood</t>
  </si>
  <si>
    <t>E68045</t>
  </si>
  <si>
    <t>Minnear</t>
  </si>
  <si>
    <t>Prime Ironsand Emb/Prime Dezigna White Emb</t>
  </si>
  <si>
    <t>missing cusio</t>
  </si>
  <si>
    <t>28 Locarno St,Opawa</t>
  </si>
  <si>
    <t>Lorna 021815440</t>
  </si>
  <si>
    <t>Oetatma</t>
  </si>
  <si>
    <t>19 Mafeking St,New Brighton ,CHCH</t>
  </si>
  <si>
    <t>Matt 0220538341</t>
  </si>
  <si>
    <t>INV 5476</t>
  </si>
  <si>
    <t>Cant E3</t>
  </si>
  <si>
    <t>door and panel</t>
  </si>
  <si>
    <t>INV 5477</t>
  </si>
  <si>
    <t>Lemans to follow up</t>
  </si>
  <si>
    <t>Lemans missing / Parts</t>
  </si>
  <si>
    <t>10136E</t>
  </si>
  <si>
    <t>Bichan</t>
  </si>
  <si>
    <t>Transformer Emb</t>
  </si>
  <si>
    <t>16 Balance St,Runanga</t>
  </si>
  <si>
    <t>Homeplus Tauranga,15 Newton St,Mount Maunganui</t>
  </si>
  <si>
    <t>INV5437</t>
  </si>
  <si>
    <t>Homeplus Hawkes bay,1014 Omahu RD,Hastings</t>
  </si>
  <si>
    <t>INV5417</t>
  </si>
  <si>
    <t>Smith</t>
  </si>
  <si>
    <t>DEZIGNATEK WHITE RHONDA TEXTURE</t>
  </si>
  <si>
    <t>Charmley</t>
  </si>
  <si>
    <t>Bestwood Arctic White Emb</t>
  </si>
  <si>
    <t>15 Kaiwara St,hoon Hay,CHCH</t>
  </si>
  <si>
    <t>Paula 0274264646</t>
  </si>
  <si>
    <t>INV 5478</t>
  </si>
  <si>
    <t>Kerry Anderson</t>
  </si>
  <si>
    <t>Prime white Emb/Melteca Green Slate Pearl</t>
  </si>
  <si>
    <t>Ezy Kitchens Storage,25 Cumberland ST,Dunedin</t>
  </si>
  <si>
    <t>INV 5480</t>
  </si>
  <si>
    <t>J Smith</t>
  </si>
  <si>
    <t>INV5434</t>
  </si>
  <si>
    <t>Muir Bar</t>
  </si>
  <si>
    <t xml:space="preserve">Bianco Wilderness </t>
  </si>
  <si>
    <t xml:space="preserve">63 Kumara Junction Highway </t>
  </si>
  <si>
    <t>INV5436</t>
  </si>
  <si>
    <t>Jenkins</t>
  </si>
  <si>
    <t>DEZIGNATEK THERMOFORM WHITE TEXTURE</t>
  </si>
  <si>
    <t>INV5439</t>
  </si>
  <si>
    <t>Gourlay</t>
  </si>
  <si>
    <t>Prime Black W/Prime Baroque W</t>
  </si>
  <si>
    <t>INV5427</t>
  </si>
  <si>
    <t xml:space="preserve">Gane RE </t>
  </si>
  <si>
    <t xml:space="preserve">prime white emb </t>
  </si>
  <si>
    <t>INV5426</t>
  </si>
  <si>
    <t>Dawson Extra</t>
  </si>
  <si>
    <t>Dawson Extra 2</t>
  </si>
  <si>
    <t>Prime White pointer Emb</t>
  </si>
  <si>
    <t>INV5424</t>
  </si>
  <si>
    <t>Lagan</t>
  </si>
  <si>
    <t>Smokey Oak TBLD</t>
  </si>
  <si>
    <t>Wilsonart Black Alicante Gloss</t>
  </si>
  <si>
    <t>SH6 Coast RD,Charleston, grey mouth/ westport</t>
  </si>
  <si>
    <t>Rhys Tait 02102203073</t>
  </si>
  <si>
    <t>Doublet E2</t>
  </si>
  <si>
    <t>Half truffle velvet</t>
  </si>
  <si>
    <t>CH932</t>
  </si>
  <si>
    <t xml:space="preserve">Coates E </t>
  </si>
  <si>
    <t xml:space="preserve">Perfect oak woodgrain </t>
  </si>
  <si>
    <t xml:space="preserve">1x Double Scriber </t>
  </si>
  <si>
    <t>10180E</t>
  </si>
  <si>
    <t>INV 5482</t>
  </si>
  <si>
    <t xml:space="preserve">Hunt E </t>
  </si>
  <si>
    <t xml:space="preserve">Charred oak woodgrain </t>
  </si>
  <si>
    <t xml:space="preserve">Tk 2 edge </t>
  </si>
  <si>
    <t>INV 5483</t>
  </si>
  <si>
    <t>GJ Wyber</t>
  </si>
  <si>
    <t>Prime Fryer Velvet</t>
  </si>
  <si>
    <t>63 Kumara Junction Highway,Hokitika</t>
  </si>
  <si>
    <t>INV 5481</t>
  </si>
  <si>
    <t>GJ Wyber Laundry</t>
  </si>
  <si>
    <t>Prime Friar Grey Velvet</t>
  </si>
  <si>
    <t>Processed with Kitchen</t>
  </si>
  <si>
    <t>63 Kumara Junction Highway. Hokitika</t>
  </si>
  <si>
    <t>INV 5489</t>
  </si>
  <si>
    <t>Riordan</t>
  </si>
  <si>
    <t>Idris Rd 3</t>
  </si>
  <si>
    <t>INV5428</t>
  </si>
  <si>
    <t>Idris Rd 4</t>
  </si>
  <si>
    <t>Moran</t>
  </si>
  <si>
    <t>Snowdrift satin/Premium Oak WG</t>
  </si>
  <si>
    <t>Laminex Pure minerale Stone</t>
  </si>
  <si>
    <t>17 Sweeney St,Prestons Park.</t>
  </si>
  <si>
    <t>Johnny Fyall 021313559</t>
  </si>
  <si>
    <t>Kam Trust E2</t>
  </si>
  <si>
    <t>CH990</t>
  </si>
  <si>
    <t>Dean VDP</t>
  </si>
  <si>
    <t>Dezigna White Velvet</t>
  </si>
  <si>
    <t>Dean Van Der Plas</t>
  </si>
  <si>
    <t>Deans Sister</t>
  </si>
  <si>
    <t>Grace - 8:15</t>
  </si>
  <si>
    <t>Client</t>
  </si>
  <si>
    <t>5 Springbrook Lane,Northwood</t>
  </si>
  <si>
    <t>Dean van 0212773616</t>
  </si>
  <si>
    <t>INV5416</t>
  </si>
  <si>
    <t>Crawford Extra</t>
  </si>
  <si>
    <t>Prime Lite Aluminium Velvet</t>
  </si>
  <si>
    <t>panels and Doors</t>
  </si>
  <si>
    <t>51C Russell St.Alexandra.</t>
  </si>
  <si>
    <t>Packman</t>
  </si>
  <si>
    <t>169 Cashmere bay RD,Iveagh Bay,Lake Brunner</t>
  </si>
  <si>
    <t>INV5418</t>
  </si>
  <si>
    <t>Bradley</t>
  </si>
  <si>
    <t>Bestwood Pavement</t>
  </si>
  <si>
    <t>Moved as no board</t>
  </si>
  <si>
    <t>Ezy Storage,25 Cumberland St,Dunedin</t>
  </si>
  <si>
    <t>INV 5479</t>
  </si>
  <si>
    <t>Jenner</t>
  </si>
  <si>
    <t>wait for 8 half cranked hinges</t>
  </si>
  <si>
    <t>Ezy Kitchens storage,25 Cumberland St,Dunedin</t>
  </si>
  <si>
    <t>INV5433</t>
  </si>
  <si>
    <t>Maskill</t>
  </si>
  <si>
    <t>Sea Fog Velvet/Original Oak TBL</t>
  </si>
  <si>
    <t>Missing acessories and handle ETA 26/11</t>
  </si>
  <si>
    <t>10 Tasman Veiw RD,Paroa,Greymouth.</t>
  </si>
  <si>
    <t>INV 5490</t>
  </si>
  <si>
    <t>Blackely Extra</t>
  </si>
  <si>
    <t xml:space="preserve">Robertson </t>
  </si>
  <si>
    <t xml:space="preserve">Prime Chalk Emb </t>
  </si>
  <si>
    <t>INV 5469</t>
  </si>
  <si>
    <t xml:space="preserve">Colyer </t>
  </si>
  <si>
    <t xml:space="preserve">Bestwood indian Ink Emb </t>
  </si>
  <si>
    <t>INV 5491</t>
  </si>
  <si>
    <t>Brand</t>
  </si>
  <si>
    <t>INV 5488</t>
  </si>
  <si>
    <t>Kerr Extra</t>
  </si>
  <si>
    <t>DEZIGNATEK WHITE SATIN</t>
  </si>
  <si>
    <t xml:space="preserve">204 Hilton Highway,Timaru </t>
  </si>
  <si>
    <t>INV 5467</t>
  </si>
  <si>
    <t>Walters</t>
  </si>
  <si>
    <t>E68022</t>
  </si>
  <si>
    <t>INV5430</t>
  </si>
  <si>
    <t>Stonewood Hamel</t>
  </si>
  <si>
    <t>Prime Dezigna WhiteEmb/Prime Honed Slate</t>
  </si>
  <si>
    <t>31A High St,Timaru</t>
  </si>
  <si>
    <t>E68064</t>
  </si>
  <si>
    <t>INV 5495</t>
  </si>
  <si>
    <t>Idris Rd 5</t>
  </si>
  <si>
    <t>198 Idris Rd</t>
  </si>
  <si>
    <t>E68214</t>
  </si>
  <si>
    <t>Idris Rd 6</t>
  </si>
  <si>
    <t>Doyle</t>
  </si>
  <si>
    <t>Black Timberland/Classic Walnut Timberland</t>
  </si>
  <si>
    <t>L 2:00 H</t>
  </si>
  <si>
    <t>Fenix Black nero</t>
  </si>
  <si>
    <t>Lot 5/6 youngston Lane,CHCH</t>
  </si>
  <si>
    <t>Alex Fort 0274216016</t>
  </si>
  <si>
    <t>Terry</t>
  </si>
  <si>
    <t>Bestwood Charred Oak WG 9/11</t>
  </si>
  <si>
    <t>WAL</t>
  </si>
  <si>
    <t>Move board eta 9/11</t>
  </si>
  <si>
    <t>7A Donegal st,Cromwell</t>
  </si>
  <si>
    <t>Mark 0211147477</t>
  </si>
  <si>
    <t xml:space="preserve">Harkness </t>
  </si>
  <si>
    <t xml:space="preserve">Prime melamine Frost grey emb Melteca Black Pearl </t>
  </si>
  <si>
    <t xml:space="preserve">51c Russell street, Alexandra </t>
  </si>
  <si>
    <t>EK-ALX-L-085</t>
  </si>
  <si>
    <t>INV 5461</t>
  </si>
  <si>
    <t xml:space="preserve">Harper </t>
  </si>
  <si>
    <t>Prime Dezigna White Emb -SHEETS IN STOCK</t>
  </si>
  <si>
    <t>DAV</t>
  </si>
  <si>
    <t>L 11:00 H</t>
  </si>
  <si>
    <t xml:space="preserve"> -SHEETS IN STOCK</t>
  </si>
  <si>
    <t xml:space="preserve">5 Rollesby Street, Hoonhay </t>
  </si>
  <si>
    <t xml:space="preserve">Loretta 027 304 9345 </t>
  </si>
  <si>
    <t>EK ALX L 489</t>
  </si>
  <si>
    <t>INV 5465</t>
  </si>
  <si>
    <t>Burden</t>
  </si>
  <si>
    <t>Half Pravda</t>
  </si>
  <si>
    <t>106 Max RD,Kowhitirangi.</t>
  </si>
  <si>
    <t>INV 5505</t>
  </si>
  <si>
    <t>Chatterton</t>
  </si>
  <si>
    <t>Laminex White Valencia Diamond Gloss</t>
  </si>
  <si>
    <t>33 Wood Pecker St,Lake Hawea</t>
  </si>
  <si>
    <t xml:space="preserve">Cross </t>
  </si>
  <si>
    <t xml:space="preserve">Formica Melteca Storm Pearl Finish </t>
  </si>
  <si>
    <t>LUC</t>
  </si>
  <si>
    <t xml:space="preserve">47a  Missy Cres , Pisa Moorings Cromwell </t>
  </si>
  <si>
    <t xml:space="preserve">Luana 027 335 7895 </t>
  </si>
  <si>
    <t>OS925</t>
  </si>
  <si>
    <t>Moore Ex</t>
  </si>
  <si>
    <t xml:space="preserve">Bestwood arctic ice gloss </t>
  </si>
  <si>
    <t>INV 5474</t>
  </si>
  <si>
    <t>Erickson</t>
  </si>
  <si>
    <t xml:space="preserve">Prime Tea Velvet / Prime Dezigna White emb/ Prime Black Timberland </t>
  </si>
  <si>
    <t>DYL</t>
  </si>
  <si>
    <t>Missing Bin</t>
  </si>
  <si>
    <t xml:space="preserve">1/294 Westminister Street , Mairehau </t>
  </si>
  <si>
    <t xml:space="preserve">TBA </t>
  </si>
  <si>
    <t xml:space="preserve">Oetama Ex </t>
  </si>
  <si>
    <t xml:space="preserve">Scribers </t>
  </si>
  <si>
    <t>INV 5506</t>
  </si>
  <si>
    <t>Henderson REWORK</t>
  </si>
  <si>
    <t>Giddens</t>
  </si>
  <si>
    <t>Prime Black Velvet 9/11</t>
  </si>
  <si>
    <t>Martin REWORK</t>
  </si>
  <si>
    <t>INV 5460</t>
  </si>
  <si>
    <t>Fearn Sale St</t>
  </si>
  <si>
    <t>85B Sale St,Hokitika.</t>
  </si>
  <si>
    <t xml:space="preserve">Conroy </t>
  </si>
  <si>
    <t>Missing Bin and Draw.</t>
  </si>
  <si>
    <t>INV 5468</t>
  </si>
  <si>
    <t>McDowall</t>
  </si>
  <si>
    <t>Prime White Emb/Prime Ironsand Emb</t>
  </si>
  <si>
    <t>INV 5494</t>
  </si>
  <si>
    <t>Cockram</t>
  </si>
  <si>
    <t>40 Leet st ,Invercargill.</t>
  </si>
  <si>
    <t>INV 5497</t>
  </si>
  <si>
    <t>SW Ashnoden</t>
  </si>
  <si>
    <t>Missing blind corner hinges</t>
  </si>
  <si>
    <t>70 Victoria St ,Timaru</t>
  </si>
  <si>
    <t>INV 5464</t>
  </si>
  <si>
    <t>GH McDonald</t>
  </si>
  <si>
    <t>Bestwood Carbon Emb</t>
  </si>
  <si>
    <t>E68224</t>
  </si>
  <si>
    <t>INV 5496</t>
  </si>
  <si>
    <t>Davis Extra</t>
  </si>
  <si>
    <t>Melteca Spineflex naturale</t>
  </si>
  <si>
    <t>E68068</t>
  </si>
  <si>
    <t>INV 5462</t>
  </si>
  <si>
    <t>Rayner Door</t>
  </si>
  <si>
    <t>INV 5466</t>
  </si>
  <si>
    <t>call keiran</t>
  </si>
  <si>
    <t>E68228</t>
  </si>
  <si>
    <t>INV 5486</t>
  </si>
  <si>
    <t xml:space="preserve">BW Pewter haze velvet </t>
  </si>
  <si>
    <t xml:space="preserve">Omau Settlers Lodge, Cape Foulwind </t>
  </si>
  <si>
    <t>PANELFORM ARCTIC WHITE/BULLET</t>
  </si>
  <si>
    <t>replace d/tek draw front. 2nd front on unit 2.06</t>
  </si>
  <si>
    <t>INV 5472</t>
  </si>
  <si>
    <t>Lisa Vaile</t>
  </si>
  <si>
    <t>4 Kotua Place,stoke,nelson</t>
  </si>
  <si>
    <t>INV 5471</t>
  </si>
  <si>
    <t>Idris Rd Shelves</t>
  </si>
  <si>
    <t>INV 5498</t>
  </si>
  <si>
    <t>Haydon</t>
  </si>
  <si>
    <t>QRT Thorndon Craem EMB</t>
  </si>
  <si>
    <t>Prime Calacutta Doro</t>
  </si>
  <si>
    <t>20 McKerrow Place,Queenstown</t>
  </si>
  <si>
    <t>TBC Emma</t>
  </si>
  <si>
    <t xml:space="preserve">Scott Unit </t>
  </si>
  <si>
    <t>Arctic Ice Gloss Plus</t>
  </si>
  <si>
    <t>Scott 0292014774</t>
  </si>
  <si>
    <t xml:space="preserve">3 Bandon street - Frankton Hamilton </t>
  </si>
  <si>
    <t>Prime White 16mm</t>
  </si>
  <si>
    <t xml:space="preserve">Home plus palmerston north 664 tremaine ave </t>
  </si>
  <si>
    <t xml:space="preserve">$268+GST </t>
  </si>
  <si>
    <t>SHOW DAY</t>
  </si>
  <si>
    <t>Annan</t>
  </si>
  <si>
    <t>Prime Dezigna white Emb</t>
  </si>
  <si>
    <t>Armishaw</t>
  </si>
  <si>
    <t>Melteca Snowdrift Hi Gloss</t>
  </si>
  <si>
    <t>EK-ALX-L-099</t>
  </si>
  <si>
    <t>INV 5473</t>
  </si>
  <si>
    <t>Johnston</t>
  </si>
  <si>
    <t>SS</t>
  </si>
  <si>
    <t>missing duo stays unit 1.20, free flap unit 1.22,missing bin 1.16</t>
  </si>
  <si>
    <t>47 Mayfeild Ave,St Albans,CHCH</t>
  </si>
  <si>
    <t>Georgina 0211044092</t>
  </si>
  <si>
    <t>EK-ALX-L-105</t>
  </si>
  <si>
    <t>York REMEDIAL</t>
  </si>
  <si>
    <t>INV 5501</t>
  </si>
  <si>
    <t>Kane</t>
  </si>
  <si>
    <t>Ezy storage,25 Cumberland St,Dunedin</t>
  </si>
  <si>
    <t>Van Der Lem</t>
  </si>
  <si>
    <t>Bestwood arctic Ice Gloss Plus/Bestwood Black W</t>
  </si>
  <si>
    <t>INV 5485</t>
  </si>
  <si>
    <t xml:space="preserve">Lacey </t>
  </si>
  <si>
    <t xml:space="preserve">Sea Fgo Velvet &amp; Fumed oak velvet </t>
  </si>
  <si>
    <t xml:space="preserve">766 Seven mile Rd, Cobden Runanga </t>
  </si>
  <si>
    <t>INV 5459</t>
  </si>
  <si>
    <t>Evans</t>
  </si>
  <si>
    <t>DEZIGNATEK TAUPE MATT 9/11</t>
  </si>
  <si>
    <t>3 glass doors,2 scribers and a stabilizing bar</t>
  </si>
  <si>
    <t>INV 5516</t>
  </si>
  <si>
    <t>Speights extra</t>
  </si>
  <si>
    <t>prime Half Truffle Velvet</t>
  </si>
  <si>
    <t>Price</t>
  </si>
  <si>
    <t>1 x toekick</t>
  </si>
  <si>
    <t>INV 5451</t>
  </si>
  <si>
    <t>Walker extra</t>
  </si>
  <si>
    <t>Prime Transformer And Paper tape</t>
  </si>
  <si>
    <t>SWB Robinson Extra</t>
  </si>
  <si>
    <t>Prime Snow velvet</t>
  </si>
  <si>
    <t>INV 5470</t>
  </si>
  <si>
    <t>johansen Extra 3</t>
  </si>
  <si>
    <t>2 x doors</t>
  </si>
  <si>
    <t xml:space="preserve">Neilson E </t>
  </si>
  <si>
    <t>Ridd</t>
  </si>
  <si>
    <t>Prime brushed Pewter Velvet</t>
  </si>
  <si>
    <t>DEZIGNATEK WHITE TEXTURE PRIM WHITE</t>
  </si>
  <si>
    <t>4 Kotua Olace,Stoke ,Nelson.</t>
  </si>
  <si>
    <t>INV 5475</t>
  </si>
  <si>
    <t>Manners</t>
  </si>
  <si>
    <t>Bestwood Etched Stone Velvet</t>
  </si>
  <si>
    <t>INV 5499</t>
  </si>
  <si>
    <t xml:space="preserve">Kidd E </t>
  </si>
  <si>
    <t xml:space="preserve">Bestwood carbon emb/ prime white emb </t>
  </si>
  <si>
    <t>Moller Extra</t>
  </si>
  <si>
    <t>Nordic Pine Velvet</t>
  </si>
  <si>
    <t>INV 5484</t>
  </si>
  <si>
    <t>Ver Shaw extra</t>
  </si>
  <si>
    <t>Prime White emb</t>
  </si>
  <si>
    <t>mcmillan</t>
  </si>
  <si>
    <t>E68246</t>
  </si>
  <si>
    <t>INV 5487</t>
  </si>
  <si>
    <t>Prime Half Pravda Emb</t>
  </si>
  <si>
    <t>Lot 32,Vereco Park,Lincoln</t>
  </si>
  <si>
    <t>Barbara 0272230767</t>
  </si>
  <si>
    <t>Soper</t>
  </si>
  <si>
    <t>Arctic White Emb/Arctic Ice Gloss Plus</t>
  </si>
  <si>
    <t>Calcutta Grey Matera</t>
  </si>
  <si>
    <t>259A Heaney RD,Lowburn</t>
  </si>
  <si>
    <t>John Fitzgerald</t>
  </si>
  <si>
    <t>Crawford E2</t>
  </si>
  <si>
    <t>OS908</t>
  </si>
  <si>
    <t>Rushton 2</t>
  </si>
  <si>
    <t>waiting 4 bin</t>
  </si>
  <si>
    <t>78B Muir Ave,Halswell,CHCH</t>
  </si>
  <si>
    <t>Karen 02041535381</t>
  </si>
  <si>
    <t>McGrouther</t>
  </si>
  <si>
    <t>Bestwood Indian Ink ETA 16/11</t>
  </si>
  <si>
    <t>Ezy Storage,25 Cyumberland St,Dunedin</t>
  </si>
  <si>
    <t>INV 5502</t>
  </si>
  <si>
    <t>Muir Bar Extra</t>
  </si>
  <si>
    <t>Bianco Wilderness - USE OFFCUT</t>
  </si>
  <si>
    <t>State Highway 6,seaveiw,Hokitika.</t>
  </si>
  <si>
    <t>INV 5521</t>
  </si>
  <si>
    <t xml:space="preserve">Alpine Motel Unit 6 </t>
  </si>
  <si>
    <t>Hampton Elm Velvet 11/11</t>
  </si>
  <si>
    <t>missing cutlery tray</t>
  </si>
  <si>
    <t xml:space="preserve">52 Main Road, Arthurs Pass </t>
  </si>
  <si>
    <t>Maskill Extra</t>
  </si>
  <si>
    <t>State Highway 6,Seaveiw,CHCH</t>
  </si>
  <si>
    <t>INV 5456</t>
  </si>
  <si>
    <t xml:space="preserve">Alpine Motels Unit 7 </t>
  </si>
  <si>
    <t xml:space="preserve">52 Main Road , Arthurs Pass </t>
  </si>
  <si>
    <t xml:space="preserve">Braven </t>
  </si>
  <si>
    <t xml:space="preserve">Prime Black Wilderness Vertical / prime white emb </t>
  </si>
  <si>
    <t>missing internal handles x2</t>
  </si>
  <si>
    <t>Simpson</t>
  </si>
  <si>
    <t>Prime Half Truffle velevt</t>
  </si>
  <si>
    <t>INV 5524</t>
  </si>
  <si>
    <t>Morton E2</t>
  </si>
  <si>
    <t>Meltecca Velveteen Nat - USE OFFCUT</t>
  </si>
  <si>
    <t>INV 5493</t>
  </si>
  <si>
    <t>Trounson E2</t>
  </si>
  <si>
    <t>3 x T/Ks</t>
  </si>
  <si>
    <t>Hillas Extra</t>
  </si>
  <si>
    <t>Prime Qrt Thorndon Cream</t>
  </si>
  <si>
    <t>40 Leet St, Invercargill.</t>
  </si>
  <si>
    <t>Walker extra 2</t>
  </si>
  <si>
    <t>Brand extra</t>
  </si>
  <si>
    <t>1 x unit</t>
  </si>
  <si>
    <t>40 Leet St invercargill.</t>
  </si>
  <si>
    <t>INV 5509</t>
  </si>
  <si>
    <t>Wileman</t>
  </si>
  <si>
    <t>missing pull out, 2 tier pull out,ironing board cover,86 mm internal front brac x 2</t>
  </si>
  <si>
    <t>INV 5510</t>
  </si>
  <si>
    <t>Jobe</t>
  </si>
  <si>
    <t>DEZIGNATEK THERMOFORM WHITE TEXTURE CAPRI</t>
  </si>
  <si>
    <t>4 Koptua Place,Stoke,Nelson.</t>
  </si>
  <si>
    <t>INV 5517</t>
  </si>
  <si>
    <t>GH Bree</t>
  </si>
  <si>
    <t>GH Davidson</t>
  </si>
  <si>
    <t>Bestwood Etched Graphite Velvet</t>
  </si>
  <si>
    <t>E68077</t>
  </si>
  <si>
    <t>INV 5511</t>
  </si>
  <si>
    <t xml:space="preserve">Jeff </t>
  </si>
  <si>
    <t xml:space="preserve">Prime White Embossed/ Carbon emb </t>
  </si>
  <si>
    <t xml:space="preserve">Pcik up </t>
  </si>
  <si>
    <t>HJD</t>
  </si>
  <si>
    <t>Ex Factory</t>
  </si>
  <si>
    <t>Hamish 021 191 6111</t>
  </si>
  <si>
    <t>E68095</t>
  </si>
  <si>
    <t>INV 5518</t>
  </si>
  <si>
    <t>Change to Snowdrift satin/Perfect white Velvet/Carbon Emb ETA 14/11</t>
  </si>
  <si>
    <t>Seixo do mar gloss</t>
  </si>
  <si>
    <t>7 Kahikatea Place,Greymouth</t>
  </si>
  <si>
    <t>Jayme 0272765202</t>
  </si>
  <si>
    <t xml:space="preserve">Irwin </t>
  </si>
  <si>
    <t xml:space="preserve">Prime Dezigna White Embossed </t>
  </si>
  <si>
    <t xml:space="preserve">14 Winniepeg place, Wainoni Christchurch </t>
  </si>
  <si>
    <t>Laura 027 302 3519</t>
  </si>
  <si>
    <t>Packman Extra</t>
  </si>
  <si>
    <t>Snow Velvet - USE OFFCUT</t>
  </si>
  <si>
    <t>1 x front</t>
  </si>
  <si>
    <t>INV 5503</t>
  </si>
  <si>
    <t>York E2</t>
  </si>
  <si>
    <t>pick upi</t>
  </si>
  <si>
    <t>10055E</t>
  </si>
  <si>
    <t>INV 5514</t>
  </si>
  <si>
    <t>OPEN UNIT REWORK</t>
  </si>
  <si>
    <t>INV 5515</t>
  </si>
  <si>
    <t xml:space="preserve">Gault E </t>
  </si>
  <si>
    <t xml:space="preserve">Tusk Emb </t>
  </si>
  <si>
    <t>Rose Westgate</t>
  </si>
  <si>
    <t>Melteca Memphis Blue Nat</t>
  </si>
  <si>
    <t>E15584</t>
  </si>
  <si>
    <t>INV 5519</t>
  </si>
  <si>
    <t>Michaelis</t>
  </si>
  <si>
    <t>Stark 4</t>
  </si>
  <si>
    <t>35 Stanbury Ave,Somerfeild CHCH</t>
  </si>
  <si>
    <t>INV 5520</t>
  </si>
  <si>
    <t xml:space="preserve">Evoke-2 </t>
  </si>
  <si>
    <t xml:space="preserve">Prime Dezigna White Emb </t>
  </si>
  <si>
    <t xml:space="preserve">65 Dunbarton street redwood , Chch </t>
  </si>
  <si>
    <t xml:space="preserve">Anthony 021 242 4262 </t>
  </si>
  <si>
    <t>Homeplus Wellington,60A Victoria St,Alicetown,lower Hutt</t>
  </si>
  <si>
    <t>INV 5450</t>
  </si>
  <si>
    <t xml:space="preserve"> 1014 Omahu Rd, Hastings </t>
  </si>
  <si>
    <t>258218 REMAKE</t>
  </si>
  <si>
    <t>McKenzie Build 7</t>
  </si>
  <si>
    <t>Melteca Sowdrift Naturale</t>
  </si>
  <si>
    <t>missing 2 teir pullout unit 1.04,2 x free flaps Dsize</t>
  </si>
  <si>
    <t>Minnear REWORK</t>
  </si>
  <si>
    <t>Smart Laundry</t>
  </si>
  <si>
    <t>Ezy Storage,25 Cumberland st,Dunedin.</t>
  </si>
  <si>
    <t xml:space="preserve">Smart K </t>
  </si>
  <si>
    <t>missing  6 centre hinges unit 1.12</t>
  </si>
  <si>
    <t>25 Cumberland Street Dunedin</t>
  </si>
  <si>
    <t>INV 5453</t>
  </si>
  <si>
    <t>Anderson Pelmet</t>
  </si>
  <si>
    <t>Melteca Green Slate Pearl</t>
  </si>
  <si>
    <t>Henderson Extar</t>
  </si>
  <si>
    <t>Ezy Storage . 25 Cumberland St,Dunedin</t>
  </si>
  <si>
    <t>INV 5512</t>
  </si>
  <si>
    <t>Cripps</t>
  </si>
  <si>
    <t>Prime Transformer Emb/Prime Concrete Velvet</t>
  </si>
  <si>
    <t>INV 5522</t>
  </si>
  <si>
    <t>Clifford</t>
  </si>
  <si>
    <t>40 Leet St invercargill</t>
  </si>
  <si>
    <t>Matthews</t>
  </si>
  <si>
    <t>Snowdrift Pure Grai/Blackened Limewood Puregrain</t>
  </si>
  <si>
    <t>4 Kotua Place,stoke,Nelson</t>
  </si>
  <si>
    <t>INV 5455</t>
  </si>
  <si>
    <t>Brooks</t>
  </si>
  <si>
    <t>Prime QRT Thorndon Cream Velvet</t>
  </si>
  <si>
    <t>INV 5458</t>
  </si>
  <si>
    <t>Fergusson</t>
  </si>
  <si>
    <t>Prime White Snow Velvet</t>
  </si>
  <si>
    <t>INV 5449</t>
  </si>
  <si>
    <t>51 Tiny Hill Drive</t>
  </si>
  <si>
    <t>Black W/Skyfall Velvet/Black Emb/Bianco W</t>
  </si>
  <si>
    <t>AGM</t>
  </si>
  <si>
    <t xml:space="preserve">51 Tiny Hill Drive </t>
  </si>
  <si>
    <t>Moose 022 128 1259</t>
  </si>
  <si>
    <t>INV 5454</t>
  </si>
  <si>
    <t>Hughes</t>
  </si>
  <si>
    <t>Ironsand Emb/Southern Oak TBL ETA 19/11 dispatch</t>
  </si>
  <si>
    <t>L 1:00 H</t>
  </si>
  <si>
    <t>Pearl Soapstone</t>
  </si>
  <si>
    <t>43 Sumner RD,Lyttleton</t>
  </si>
  <si>
    <t>Wendy 0211767757</t>
  </si>
  <si>
    <t>missing 12 x handles, door for frame and RH door unit 14</t>
  </si>
  <si>
    <t xml:space="preserve">133 Lonsdale St, New Brighton </t>
  </si>
  <si>
    <t>Burrow</t>
  </si>
  <si>
    <t>QTR Thorndon Cream Emb/Smokey oak TBL</t>
  </si>
  <si>
    <t>Murray</t>
  </si>
  <si>
    <t>PS</t>
  </si>
  <si>
    <t>handles missing x 17.and rubbish bin for unit 1.12</t>
  </si>
  <si>
    <t>737 Poyntzs Rd,West Eyreton</t>
  </si>
  <si>
    <t>Johny Fyall 021313559</t>
  </si>
  <si>
    <t>Chatterton REWORK</t>
  </si>
  <si>
    <t>PB986</t>
  </si>
  <si>
    <t>McFadden</t>
  </si>
  <si>
    <t>DEZIGNATEK THEROFORM LIMESTONE TEXT</t>
  </si>
  <si>
    <t xml:space="preserve">Todd </t>
  </si>
  <si>
    <t xml:space="preserve">Prime melamine1/4 thorndon cream </t>
  </si>
  <si>
    <t>missing 2 tier classic</t>
  </si>
  <si>
    <t>Mark 021 114 7447</t>
  </si>
  <si>
    <t>EKALX-M-250</t>
  </si>
  <si>
    <t>Stanley</t>
  </si>
  <si>
    <t>missing 2 sets D Flaps</t>
  </si>
  <si>
    <t>12 Ashworth St,Alexandra</t>
  </si>
  <si>
    <t>Jason 0275462453</t>
  </si>
  <si>
    <t>EKALX - M -249</t>
  </si>
  <si>
    <t xml:space="preserve">Nolan </t>
  </si>
  <si>
    <t>Prime Quarter Napa Velvet ETA 19th</t>
  </si>
  <si>
    <t>missing 13 centre hinges</t>
  </si>
  <si>
    <t>407 Avonhead Rd</t>
  </si>
  <si>
    <t>Carmen 021 152 1404</t>
  </si>
  <si>
    <t>EKALX-M-258</t>
  </si>
  <si>
    <t>Horsnell</t>
  </si>
  <si>
    <t>Prime White Emb/Prime Winter wood Emb</t>
  </si>
  <si>
    <t>tap and handles</t>
  </si>
  <si>
    <t>4 Chipping Lane,Redwood.CHCH</t>
  </si>
  <si>
    <t>Will 0276313025</t>
  </si>
  <si>
    <t>INV 5504</t>
  </si>
  <si>
    <t xml:space="preserve">Stanbridge </t>
  </si>
  <si>
    <t xml:space="preserve">Prime Snow Velvet </t>
  </si>
  <si>
    <t>waiting on 7 centre hinges,pullout for unit 1.24</t>
  </si>
  <si>
    <t xml:space="preserve">25 Cumberland Street, Dunedin </t>
  </si>
  <si>
    <t>McCleary</t>
  </si>
  <si>
    <t>Bestwood Subtle grey Velvet 20/11</t>
  </si>
  <si>
    <t>missing 4 x baskets for unit 1.13</t>
  </si>
  <si>
    <t>ezy Storage,25 Cumberland St,Dunedin</t>
  </si>
  <si>
    <t>Jamieson</t>
  </si>
  <si>
    <t>49 Pitt st,Runanga,Greymouth</t>
  </si>
  <si>
    <t>Blakely E2</t>
  </si>
  <si>
    <t>1 x Pelmet</t>
  </si>
  <si>
    <t>40 Leet St ,Invercargill</t>
  </si>
  <si>
    <t>Neilson</t>
  </si>
  <si>
    <t xml:space="preserve">DEZIGNATEK LIMESTONE TEXTURE </t>
  </si>
  <si>
    <t>5 sets C flaps missing,draw parts for unit 1.01, flap for unit 2.15,front rail for induction missing</t>
  </si>
  <si>
    <t>40 Leet st,Invercargill</t>
  </si>
  <si>
    <t>TBc</t>
  </si>
  <si>
    <t>Ralston</t>
  </si>
  <si>
    <t>Prime Designa White</t>
  </si>
  <si>
    <t>Keen extras</t>
  </si>
  <si>
    <t>Prime Half Truffle velvet</t>
  </si>
  <si>
    <t xml:space="preserve">Scully QT </t>
  </si>
  <si>
    <t>Stephens Extra</t>
  </si>
  <si>
    <t>Melamine parts first</t>
  </si>
  <si>
    <t>Waiting on 2 D/TEK doors</t>
  </si>
  <si>
    <t>Butterworth</t>
  </si>
  <si>
    <t>Kearns Unit</t>
  </si>
  <si>
    <t xml:space="preserve">Scott </t>
  </si>
  <si>
    <t>Prime Melamine Anthracite Velvet  ETA 19/11</t>
  </si>
  <si>
    <t xml:space="preserve">55 Otipua Rd, Timaru </t>
  </si>
  <si>
    <t>027 684 6196</t>
  </si>
  <si>
    <t>INV 5452</t>
  </si>
  <si>
    <t>Prime Anthracite velvet 19/11</t>
  </si>
  <si>
    <t>13 Studholme St,temuka</t>
  </si>
  <si>
    <t>E68049</t>
  </si>
  <si>
    <t xml:space="preserve">GH Counsell </t>
  </si>
  <si>
    <t xml:space="preserve">Bestwood melamine Carbon Embossed </t>
  </si>
  <si>
    <t xml:space="preserve">204 hilton highway Timaru </t>
  </si>
  <si>
    <t>E68221</t>
  </si>
  <si>
    <t>Kearns Extra</t>
  </si>
  <si>
    <t>Bestwood Subtle Grey velvet</t>
  </si>
  <si>
    <t>204 Hilton highway,Timaru</t>
  </si>
  <si>
    <t>E68231</t>
  </si>
  <si>
    <t>Cagney Linen</t>
  </si>
  <si>
    <t>Nordic Pine W</t>
  </si>
  <si>
    <t>missing all hardware for the track</t>
  </si>
  <si>
    <t>John 021508903</t>
  </si>
  <si>
    <t>E68514</t>
  </si>
  <si>
    <t>Sutherland</t>
  </si>
  <si>
    <t>770 Shands RD,Prebbleton</t>
  </si>
  <si>
    <t>Anna 0226034330</t>
  </si>
  <si>
    <t>Woods Panels</t>
  </si>
  <si>
    <t>client</t>
  </si>
  <si>
    <t>client to pick up</t>
  </si>
  <si>
    <t>Oaks Level2 extras</t>
  </si>
  <si>
    <t>Aged ash WG (in stock)</t>
  </si>
  <si>
    <t>Frankton RD,Queenstown</t>
  </si>
  <si>
    <t>Oak S 401-2</t>
  </si>
  <si>
    <t xml:space="preserve">Melteca Aged ash puregrain / melteca aseal grey naturale </t>
  </si>
  <si>
    <t xml:space="preserve">327-343 Frankton rd, Queenstown </t>
  </si>
  <si>
    <t>Oak S 402-2B</t>
  </si>
  <si>
    <t xml:space="preserve">Melteca Aged Ash Pure grain / meltcea aseal grey natural </t>
  </si>
  <si>
    <t xml:space="preserve">prices </t>
  </si>
  <si>
    <t xml:space="preserve">327-323 Frankton Rd , Queenstown </t>
  </si>
  <si>
    <t>Oak S 403-2B</t>
  </si>
  <si>
    <t xml:space="preserve">327-343 Frankton Rd, Queenstown </t>
  </si>
  <si>
    <t>Oak S 404-2</t>
  </si>
  <si>
    <t xml:space="preserve">Melteca Aged Ash Puregrain / Melteca aseal Grey Naturale </t>
  </si>
  <si>
    <t>Wale</t>
  </si>
  <si>
    <t>PANELFORM DUROSTYLE ONYNX TEX LUMISADE MATT</t>
  </si>
  <si>
    <t>Elder</t>
  </si>
  <si>
    <t>4 Kotua Place ,Stoke ,Nelson</t>
  </si>
  <si>
    <t>Glamis KPLM</t>
  </si>
  <si>
    <t>DEZIGNATEK 45 DEGREE SNOW VELVET</t>
  </si>
  <si>
    <t>L afternoon</t>
  </si>
  <si>
    <t>GBC</t>
  </si>
  <si>
    <t>Kitchen, pantry, laundry and mudroom</t>
  </si>
  <si>
    <t>34 Glamis Place, Cashmere</t>
  </si>
  <si>
    <t>Micheal 0210764904</t>
  </si>
  <si>
    <t>Emma Harvey</t>
  </si>
  <si>
    <t xml:space="preserve"> 19/11 Bestwood Limeston Velvet/Anthracite Velvet</t>
  </si>
  <si>
    <t>Arriagada Extra 2</t>
  </si>
  <si>
    <t>Shucker</t>
  </si>
  <si>
    <t>Prime Designa White Emb</t>
  </si>
  <si>
    <t>6 Cardiff St,Timaru</t>
  </si>
  <si>
    <t>E67926</t>
  </si>
  <si>
    <t>GH Ford</t>
  </si>
  <si>
    <t>Bestwood Silver Haze Velvet</t>
  </si>
  <si>
    <t>C</t>
  </si>
  <si>
    <t>E68237</t>
  </si>
  <si>
    <t>Lot 36 Springbrook K+P+N</t>
  </si>
  <si>
    <t>Prime White Velvet/Blackened Legno</t>
  </si>
  <si>
    <t>AGB OB 30/11</t>
  </si>
  <si>
    <t>Lot 36 Sprinbrook</t>
  </si>
  <si>
    <t>trent 0274691947</t>
  </si>
  <si>
    <t>E68072</t>
  </si>
  <si>
    <t>Lot 36 Sprinbrook Wardrobes</t>
  </si>
  <si>
    <t>Lot 36 Springbrook</t>
  </si>
  <si>
    <t>Homeplus Blenheim,44 Main St,blenheim</t>
  </si>
  <si>
    <t>258509 SUMMERSET TOWERS</t>
  </si>
  <si>
    <t>Mon</t>
  </si>
  <si>
    <t>Assembler</t>
  </si>
  <si>
    <t>Production date</t>
  </si>
  <si>
    <t>Detail date</t>
  </si>
  <si>
    <t>Column Letter</t>
  </si>
  <si>
    <t>B</t>
  </si>
  <si>
    <t>D</t>
  </si>
  <si>
    <t>EK Hok</t>
  </si>
  <si>
    <t>EK Alex</t>
  </si>
  <si>
    <t>EK Chch</t>
  </si>
  <si>
    <t>EK Dun</t>
  </si>
  <si>
    <t>EK Inv</t>
  </si>
  <si>
    <t>EK Nel</t>
  </si>
  <si>
    <t>Main Contractor</t>
  </si>
  <si>
    <t>EK Tim</t>
  </si>
  <si>
    <t>Benchtop Supplier</t>
  </si>
  <si>
    <t>Free Form</t>
  </si>
  <si>
    <t>O'Brian</t>
  </si>
  <si>
    <t>None</t>
  </si>
  <si>
    <t>Precision Stone</t>
  </si>
  <si>
    <t>Interior Soulitions</t>
  </si>
  <si>
    <t>Landau 8:00am</t>
  </si>
  <si>
    <t>Landau 8:30am</t>
  </si>
  <si>
    <t>Landau 11:30am</t>
  </si>
  <si>
    <t>Landau 9:00am</t>
  </si>
  <si>
    <t>Landau 11:00am</t>
  </si>
  <si>
    <t>Landau 12:00am</t>
  </si>
  <si>
    <t>Landau 1:30pm</t>
  </si>
  <si>
    <t>Landau 3:00pm</t>
  </si>
  <si>
    <t>Landau 4:00pm</t>
  </si>
  <si>
    <t>Landau 5:00pm</t>
  </si>
  <si>
    <t>Landau 3:30pm</t>
  </si>
  <si>
    <t>Landau 4:30pm</t>
  </si>
  <si>
    <t>Grace Removals</t>
  </si>
  <si>
    <t>South Ways</t>
  </si>
  <si>
    <t>McMillian</t>
  </si>
  <si>
    <t>Ex-Factory</t>
  </si>
  <si>
    <t>Not Assigned</t>
  </si>
  <si>
    <t>Dave</t>
  </si>
  <si>
    <t>Lucaus</t>
  </si>
  <si>
    <t>Walter</t>
  </si>
  <si>
    <t>Dylan</t>
  </si>
  <si>
    <t>Hayden</t>
  </si>
  <si>
    <t>Nathan</t>
  </si>
  <si>
    <t>Lee</t>
  </si>
  <si>
    <t>Dwayne</t>
  </si>
  <si>
    <t>Andy</t>
  </si>
  <si>
    <t>Josh</t>
  </si>
  <si>
    <t>No Install</t>
  </si>
  <si>
    <t>Dean V</t>
  </si>
  <si>
    <t>Hamish</t>
  </si>
  <si>
    <t>Designer</t>
  </si>
  <si>
    <t>Amie</t>
  </si>
  <si>
    <t>Sophie</t>
  </si>
  <si>
    <t>Mikyla</t>
  </si>
  <si>
    <t>Emma</t>
  </si>
  <si>
    <t>iiii</t>
  </si>
  <si>
    <t>aaaaaaaaa</t>
  </si>
  <si>
    <t>qqqqqqqqqqqqqqqqqqqqqqqqqqqqqqqqqqq</t>
  </si>
  <si>
    <t>Green Ply</t>
  </si>
  <si>
    <t>Row selected</t>
  </si>
  <si>
    <t>Select ne row</t>
  </si>
  <si>
    <t>Job number two</t>
  </si>
  <si>
    <t>Job number 3</t>
  </si>
  <si>
    <t>This time</t>
  </si>
  <si>
    <t>Have I got it right this time</t>
  </si>
  <si>
    <t>job number four</t>
  </si>
  <si>
    <t>Invoice Number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</si>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</sst>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"/>
    <numFmt numFmtId="165" formatCode="ddd"/>
    <numFmt numFmtId="166" formatCode="&quot;0&quot;#"/>
    <numFmt numFmtId="167" formatCode="dd\-mmm\-yy"/>
    <numFmt numFmtId="168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DED1B"/>
        <bgColor auto="1"/>
      </patternFill>
    </fill>
    <fill>
      <patternFill patternType="solid">
        <fgColor rgb="FF9DED1B"/>
        <bgColor indexed="64"/>
      </patternFill>
    </fill>
    <fill>
      <patternFill patternType="solid">
        <fgColor rgb="FF04D3FC"/>
        <bgColor indexed="64"/>
      </patternFill>
    </fill>
    <fill>
      <patternFill patternType="solid">
        <fgColor rgb="FF1ACA02"/>
        <bgColor indexed="64"/>
      </patternFill>
    </fill>
    <fill>
      <patternFill patternType="solid">
        <fgColor rgb="FFFEF434"/>
        <bgColor indexed="64"/>
      </patternFill>
    </fill>
    <fill>
      <patternFill patternType="solid">
        <fgColor rgb="FFF623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textRotation="90"/>
    </xf>
    <xf numFmtId="0" fontId="1" fillId="2" borderId="1" xfId="0" applyFont="1" applyFill="1" applyBorder="1" applyAlignment="1">
      <alignment horizontal="center" textRotation="75"/>
    </xf>
    <xf numFmtId="0" fontId="1" fillId="2" borderId="2" xfId="0" applyFont="1" applyFill="1" applyBorder="1" applyAlignment="1">
      <alignment horizontal="center" textRotation="75"/>
    </xf>
    <xf numFmtId="0" fontId="0" fillId="0" borderId="0" xfId="0" applyFill="1" applyAlignment="1">
      <alignment horizontal="center"/>
    </xf>
    <xf numFmtId="0" fontId="0" fillId="0" borderId="0" xfId="0" applyFill="1"/>
    <xf numFmtId="0" fontId="2" fillId="0" borderId="0" xfId="0" applyFont="1"/>
    <xf numFmtId="0" fontId="2" fillId="0" borderId="0" xfId="0" applyFont="1" applyAlignment="1">
      <alignment horizontal="center"/>
    </xf>
    <xf numFmtId="16" fontId="0" fillId="0" borderId="0" xfId="0" applyNumberFormat="1"/>
    <xf numFmtId="16" fontId="0" fillId="0" borderId="0" xfId="0" applyNumberForma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left" textRotation="75"/>
    </xf>
    <xf numFmtId="0" fontId="4" fillId="0" borderId="0" xfId="1"/>
    <xf numFmtId="0" fontId="2" fillId="0" borderId="0" xfId="0" applyFont="1" applyAlignment="1">
      <alignment horizontal="center"/>
    </xf>
    <xf numFmtId="164" fontId="0" fillId="0" borderId="0" xfId="0" applyNumberFormat="1"/>
    <xf numFmtId="49" fontId="0" fillId="0" borderId="0" xfId="0" applyNumberFormat="1"/>
    <xf numFmtId="164" fontId="0" fillId="0" borderId="0" xfId="0" applyNumberFormat="1" applyProtection="1">
      <protection locked="0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166" fontId="0" fillId="0" borderId="0" xfId="0" applyNumberFormat="1" applyFill="1" applyAlignment="1">
      <alignment horizontal="left"/>
    </xf>
    <xf numFmtId="167" fontId="0" fillId="0" borderId="0" xfId="0" applyNumberFormat="1" applyFill="1" applyAlignment="1">
      <alignment horizontal="left"/>
    </xf>
    <xf numFmtId="168" fontId="0" fillId="0" borderId="0" xfId="0" applyNumberFormat="1" applyFill="1" applyAlignment="1">
      <alignment horizontal="left"/>
    </xf>
    <xf numFmtId="0" fontId="1" fillId="3" borderId="0" xfId="0" applyFont="1" applyFill="1" applyBorder="1" applyAlignment="1">
      <alignment horizontal="center" textRotation="75"/>
    </xf>
    <xf numFmtId="0" fontId="1" fillId="3" borderId="0" xfId="0" applyFont="1" applyFill="1" applyBorder="1" applyAlignment="1">
      <alignment horizontal="left" textRotation="75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166" fontId="0" fillId="3" borderId="0" xfId="0" applyNumberFormat="1" applyFill="1" applyAlignment="1">
      <alignment horizontal="left"/>
    </xf>
    <xf numFmtId="167" fontId="0" fillId="3" borderId="0" xfId="0" applyNumberFormat="1" applyFill="1" applyAlignment="1">
      <alignment horizontal="left"/>
    </xf>
    <xf numFmtId="168" fontId="0" fillId="3" borderId="0" xfId="0" applyNumberFormat="1" applyFill="1" applyAlignment="1">
      <alignment horizontal="left"/>
    </xf>
    <xf numFmtId="165" fontId="0" fillId="4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3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DED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1504950</xdr:colOff>
      <xdr:row>0</xdr:row>
      <xdr:rowOff>114300</xdr:rowOff>
    </xdr:from>
    <xdr:to>
      <xdr:col>11</xdr:col>
      <xdr:colOff>981075</xdr:colOff>
      <xdr:row>0</xdr:row>
      <xdr:rowOff>381000</xdr:rowOff>
    </xdr:to>
    <xdr:sp macro="[0]!showFilter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9D90C8-1079-4653-A56D-35892AB8D911}"/>
            </a:ext>
          </a:extLst>
        </xdr:cNvPr>
        <xdr:cNvSpPr/>
      </xdr:nvSpPr>
      <xdr:spPr>
        <a:xfrm>
          <a:off x="4752975" y="114300"/>
          <a:ext cx="1238250" cy="2667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Filter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10</xdr:col>
      <xdr:colOff>142875</xdr:colOff>
      <xdr:row>0</xdr:row>
      <xdr:rowOff>104775</xdr:rowOff>
    </xdr:from>
    <xdr:to>
      <xdr:col>10</xdr:col>
      <xdr:colOff>1428750</xdr:colOff>
      <xdr:row>0</xdr:row>
      <xdr:rowOff>381000</xdr:rowOff>
    </xdr:to>
    <xdr:sp macro="[0]!showNewProject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216EC6-7A9A-4C49-B963-5176875B02CA}"/>
            </a:ext>
          </a:extLst>
        </xdr:cNvPr>
        <xdr:cNvSpPr/>
      </xdr:nvSpPr>
      <xdr:spPr>
        <a:xfrm>
          <a:off x="3390900" y="104775"/>
          <a:ext cx="1285875" cy="2762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Project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jssvr2\Office\Project%20Scheduling\Databas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86A4-E623-442B-8F1B-C70F37D90BA8}">
  <sheetPr codeName="wksDataViewer1"/>
  <dimension ref="A1:AG13241"/>
  <sheetViews>
    <sheetView workbookViewId="0">
      <pane ySplit="1" topLeftCell="A1318" activePane="bottomLeft" state="frozen"/>
      <selection pane="bottomLeft" activeCell="C1338" sqref="C1338"/>
    </sheetView>
  </sheetViews>
  <sheetFormatPr defaultRowHeight="15" x14ac:dyDescent="0.25"/>
  <cols>
    <col min="1" max="1" width="5" bestFit="1" customWidth="1"/>
    <col min="2" max="2" width="10" style="38" hidden="1" customWidth="1"/>
    <col min="3" max="3" width="10.42578125" customWidth="1"/>
    <col min="4" max="4" width="0" hidden="1" customWidth="1"/>
    <col min="5" max="5" width="5.140625" bestFit="1" customWidth="1"/>
    <col min="6" max="6" width="6" bestFit="1" customWidth="1"/>
    <col min="7" max="9" width="4.42578125" customWidth="1"/>
    <col min="10" max="10" width="12" customWidth="1"/>
    <col min="11" max="11" width="26.5703125" customWidth="1"/>
    <col min="12" max="12" width="20.42578125" customWidth="1"/>
    <col min="13" max="16" width="5" bestFit="1" customWidth="1"/>
    <col min="17" max="17" width="6.5703125" customWidth="1"/>
    <col min="18" max="18" width="7.28515625" customWidth="1"/>
    <col min="19" max="19" width="6.85546875" customWidth="1"/>
    <col min="20" max="20" width="4.85546875" customWidth="1"/>
    <col min="26" max="26" width="9.140625" style="1"/>
    <col min="28" max="28" width="11.28515625" customWidth="1"/>
    <col min="30" max="30" width="10.7109375" customWidth="1"/>
    <col min="31" max="31" width="10.42578125" customWidth="1"/>
    <col min="33" max="33" width="11.140625" customWidth="1"/>
  </cols>
  <sheetData>
    <row r="1" spans="1:33" s="1" customFormat="1" ht="112.5" customHeight="1" x14ac:dyDescent="0.25">
      <c r="A1" s="3" t="s">
        <v>0</v>
      </c>
      <c r="B1" s="4" t="s">
        <v>1</v>
      </c>
      <c r="C1" s="4" t="s">
        <v>2989</v>
      </c>
      <c r="D1" s="4" t="s">
        <v>2990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13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2988</v>
      </c>
      <c r="R1" s="4" t="s">
        <v>16</v>
      </c>
      <c r="S1" s="4" t="s">
        <v>17</v>
      </c>
      <c r="T1" s="4" t="s">
        <v>18</v>
      </c>
      <c r="U1" s="3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13" t="s">
        <v>28</v>
      </c>
      <c r="AE1" s="4" t="s">
        <v>29</v>
      </c>
      <c r="AF1" s="4" t="s">
        <v>3054</v>
      </c>
      <c r="AG1" s="4" t="s">
        <v>3038</v>
      </c>
    </row>
    <row r="2" spans="1:33" ht="7.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6"/>
      <c r="AE2" s="25"/>
      <c r="AF2" s="25"/>
      <c r="AG2" s="25"/>
    </row>
    <row r="3" spans="1:33" ht="15" customHeight="1" x14ac:dyDescent="0.25">
      <c r="A3" s="5">
        <v>23</v>
      </c>
      <c r="B3" s="38">
        <v>43985</v>
      </c>
      <c r="C3" s="38">
        <v>43958</v>
      </c>
      <c r="D3" s="38">
        <v>43885</v>
      </c>
      <c r="E3" s="34">
        <v>43985</v>
      </c>
      <c r="F3" s="5">
        <v>6663</v>
      </c>
      <c r="G3" s="5"/>
      <c r="H3" s="5"/>
      <c r="I3" s="5"/>
      <c r="J3" s="21" t="s">
        <v>2999</v>
      </c>
      <c r="K3" s="21" t="s">
        <v>581</v>
      </c>
      <c r="L3" s="6" t="s">
        <v>582</v>
      </c>
      <c r="M3" s="5">
        <v>13</v>
      </c>
      <c r="N3" s="5"/>
      <c r="O3" s="5"/>
      <c r="P3" s="5"/>
      <c r="Q3" s="6"/>
      <c r="R3" s="6" t="s">
        <v>194</v>
      </c>
      <c r="S3" s="6"/>
      <c r="T3" s="6"/>
      <c r="U3" s="5"/>
      <c r="V3" s="6"/>
      <c r="W3" s="6" t="s">
        <v>583</v>
      </c>
      <c r="X3" s="6"/>
      <c r="Y3" s="22"/>
      <c r="Z3" s="6"/>
      <c r="AA3" s="21"/>
      <c r="AB3" s="23">
        <v>43889</v>
      </c>
      <c r="AC3" s="21" t="s">
        <v>32</v>
      </c>
      <c r="AD3" s="24">
        <v>10936.66</v>
      </c>
      <c r="AE3" s="6" t="s">
        <v>31</v>
      </c>
      <c r="AF3" s="6"/>
      <c r="AG3" s="6" t="s">
        <v>3041</v>
      </c>
    </row>
    <row r="4" spans="1:33" ht="7.5" customHeight="1" x14ac:dyDescent="0.25">
      <c r="A4" s="27"/>
      <c r="B4" s="39"/>
      <c r="C4" s="39"/>
      <c r="D4" s="39"/>
      <c r="E4" s="28"/>
      <c r="F4" s="27"/>
      <c r="G4" s="27"/>
      <c r="H4" s="27"/>
      <c r="I4" s="27"/>
      <c r="J4" s="30"/>
      <c r="K4" s="30"/>
      <c r="L4" s="29"/>
      <c r="M4" s="27"/>
      <c r="N4" s="27"/>
      <c r="O4" s="27"/>
      <c r="P4" s="27"/>
      <c r="Q4" s="29"/>
      <c r="R4" s="29"/>
      <c r="S4" s="29"/>
      <c r="T4" s="29"/>
      <c r="U4" s="27"/>
      <c r="V4" s="29"/>
      <c r="W4" s="29"/>
      <c r="X4" s="29"/>
      <c r="Y4" s="31"/>
      <c r="Z4" s="29"/>
      <c r="AA4" s="30"/>
      <c r="AB4" s="32"/>
      <c r="AC4" s="30"/>
      <c r="AD4" s="33"/>
      <c r="AE4" s="29"/>
      <c r="AF4" s="29"/>
      <c r="AG4" s="29"/>
    </row>
    <row r="5" spans="1:33" ht="15" customHeight="1" x14ac:dyDescent="0.25">
      <c r="A5" s="5">
        <v>23</v>
      </c>
      <c r="B5" s="38">
        <v>43986</v>
      </c>
      <c r="C5" s="38">
        <v>43958</v>
      </c>
      <c r="D5" s="38">
        <v>43951</v>
      </c>
      <c r="E5" s="34">
        <v>43986</v>
      </c>
      <c r="F5" s="5">
        <v>8677</v>
      </c>
      <c r="G5" s="5"/>
      <c r="H5" s="5"/>
      <c r="I5" s="5"/>
      <c r="J5" s="21" t="s">
        <v>147</v>
      </c>
      <c r="K5" s="21" t="s">
        <v>594</v>
      </c>
      <c r="L5" s="6" t="s">
        <v>595</v>
      </c>
      <c r="M5" s="5">
        <v>4</v>
      </c>
      <c r="N5" s="5"/>
      <c r="O5" s="5"/>
      <c r="P5" s="5"/>
      <c r="Q5" s="6"/>
      <c r="R5" s="6" t="s">
        <v>596</v>
      </c>
      <c r="S5" s="6"/>
      <c r="T5" s="6"/>
      <c r="U5" s="5"/>
      <c r="V5" s="6"/>
      <c r="W5" s="6" t="s">
        <v>597</v>
      </c>
      <c r="X5" s="6"/>
      <c r="Y5" s="22"/>
      <c r="Z5" s="6"/>
      <c r="AA5" s="21"/>
      <c r="AB5" s="23">
        <v>43950</v>
      </c>
      <c r="AC5" s="21" t="s">
        <v>39</v>
      </c>
      <c r="AD5" s="24">
        <v>1896.56</v>
      </c>
      <c r="AE5" s="6" t="s">
        <v>35</v>
      </c>
      <c r="AF5" s="6"/>
      <c r="AG5" s="6" t="s">
        <v>3041</v>
      </c>
    </row>
    <row r="6" spans="1:33" ht="15" customHeight="1" x14ac:dyDescent="0.25">
      <c r="A6" s="5">
        <v>23</v>
      </c>
      <c r="B6" s="38">
        <v>43986</v>
      </c>
      <c r="C6" s="38">
        <v>43959</v>
      </c>
      <c r="D6" s="38">
        <v>43901</v>
      </c>
      <c r="E6" s="34">
        <v>43986</v>
      </c>
      <c r="F6" s="5">
        <v>3985</v>
      </c>
      <c r="G6" s="5"/>
      <c r="H6" s="5"/>
      <c r="I6" s="5"/>
      <c r="J6" s="21" t="s">
        <v>93</v>
      </c>
      <c r="K6" s="21" t="s">
        <v>587</v>
      </c>
      <c r="L6" s="6" t="s">
        <v>588</v>
      </c>
      <c r="M6" s="5">
        <v>0</v>
      </c>
      <c r="N6" s="5"/>
      <c r="O6" s="5"/>
      <c r="P6" s="5"/>
      <c r="Q6" s="6"/>
      <c r="R6" s="6" t="s">
        <v>440</v>
      </c>
      <c r="S6" s="6"/>
      <c r="T6" s="6"/>
      <c r="U6" s="5"/>
      <c r="V6" s="6"/>
      <c r="W6" s="6" t="s">
        <v>589</v>
      </c>
      <c r="X6" s="6"/>
      <c r="Y6" s="22"/>
      <c r="Z6" s="6"/>
      <c r="AA6" s="21">
        <v>10035</v>
      </c>
      <c r="AB6" s="23">
        <v>43907</v>
      </c>
      <c r="AC6" s="21" t="s">
        <v>33</v>
      </c>
      <c r="AD6" s="24"/>
      <c r="AE6" s="6" t="s">
        <v>34</v>
      </c>
      <c r="AF6" s="6"/>
      <c r="AG6" s="6" t="s">
        <v>3039</v>
      </c>
    </row>
    <row r="7" spans="1:33" ht="7.5" customHeight="1" x14ac:dyDescent="0.25">
      <c r="A7" s="27"/>
      <c r="B7" s="39"/>
      <c r="C7" s="39"/>
      <c r="D7" s="39"/>
      <c r="E7" s="28"/>
      <c r="F7" s="27"/>
      <c r="G7" s="27"/>
      <c r="H7" s="27"/>
      <c r="I7" s="27"/>
      <c r="J7" s="30"/>
      <c r="K7" s="30"/>
      <c r="L7" s="29"/>
      <c r="M7" s="27"/>
      <c r="N7" s="27"/>
      <c r="O7" s="27"/>
      <c r="P7" s="27"/>
      <c r="Q7" s="29"/>
      <c r="R7" s="29"/>
      <c r="S7" s="29"/>
      <c r="T7" s="29"/>
      <c r="U7" s="27"/>
      <c r="V7" s="29"/>
      <c r="W7" s="29"/>
      <c r="X7" s="29"/>
      <c r="Y7" s="31"/>
      <c r="Z7" s="29"/>
      <c r="AA7" s="30"/>
      <c r="AB7" s="32"/>
      <c r="AC7" s="30"/>
      <c r="AD7" s="33"/>
      <c r="AE7" s="29"/>
      <c r="AF7" s="29"/>
      <c r="AG7" s="29"/>
    </row>
    <row r="8" spans="1:33" ht="15" customHeight="1" x14ac:dyDescent="0.25">
      <c r="A8" s="5">
        <v>24</v>
      </c>
      <c r="B8" s="38">
        <v>43991</v>
      </c>
      <c r="C8" s="38">
        <v>43959</v>
      </c>
      <c r="D8" s="38">
        <v>43952</v>
      </c>
      <c r="E8" s="35">
        <v>43991</v>
      </c>
      <c r="F8" s="5">
        <v>3997</v>
      </c>
      <c r="G8" s="5"/>
      <c r="H8" s="5"/>
      <c r="I8" s="5"/>
      <c r="J8" s="21" t="s">
        <v>93</v>
      </c>
      <c r="K8" s="21" t="s">
        <v>632</v>
      </c>
      <c r="L8" s="6" t="s">
        <v>633</v>
      </c>
      <c r="M8" s="5">
        <v>12</v>
      </c>
      <c r="N8" s="5"/>
      <c r="O8" s="5"/>
      <c r="P8" s="5"/>
      <c r="Q8" s="6"/>
      <c r="R8" s="6" t="s">
        <v>560</v>
      </c>
      <c r="S8" s="6"/>
      <c r="T8" s="6"/>
      <c r="U8" s="5"/>
      <c r="V8" s="6"/>
      <c r="W8" s="6" t="s">
        <v>634</v>
      </c>
      <c r="X8" s="6"/>
      <c r="Y8" s="22"/>
      <c r="Z8" s="6"/>
      <c r="AA8" s="21">
        <v>10108</v>
      </c>
      <c r="AB8" s="23">
        <v>43955</v>
      </c>
      <c r="AC8" s="21" t="s">
        <v>33</v>
      </c>
      <c r="AD8" s="24">
        <v>7104.25</v>
      </c>
      <c r="AE8" s="6" t="s">
        <v>31</v>
      </c>
      <c r="AF8" s="6"/>
      <c r="AG8" s="6" t="s">
        <v>3041</v>
      </c>
    </row>
    <row r="9" spans="1:33" ht="7.5" customHeight="1" x14ac:dyDescent="0.25">
      <c r="A9" s="27"/>
      <c r="B9" s="39"/>
      <c r="C9" s="39"/>
      <c r="D9" s="39"/>
      <c r="E9" s="28"/>
      <c r="F9" s="27"/>
      <c r="G9" s="27"/>
      <c r="H9" s="27"/>
      <c r="I9" s="27"/>
      <c r="J9" s="30"/>
      <c r="K9" s="30"/>
      <c r="L9" s="29"/>
      <c r="M9" s="27"/>
      <c r="N9" s="27"/>
      <c r="O9" s="27"/>
      <c r="P9" s="27"/>
      <c r="Q9" s="29"/>
      <c r="R9" s="29"/>
      <c r="S9" s="29"/>
      <c r="T9" s="29"/>
      <c r="U9" s="27"/>
      <c r="V9" s="29"/>
      <c r="W9" s="29"/>
      <c r="X9" s="29"/>
      <c r="Y9" s="31"/>
      <c r="Z9" s="29"/>
      <c r="AA9" s="30"/>
      <c r="AB9" s="32"/>
      <c r="AC9" s="30"/>
      <c r="AD9" s="33"/>
      <c r="AE9" s="29"/>
      <c r="AF9" s="29"/>
      <c r="AG9" s="29"/>
    </row>
    <row r="10" spans="1:33" ht="15" customHeight="1" x14ac:dyDescent="0.25">
      <c r="A10" s="5">
        <v>24</v>
      </c>
      <c r="B10" s="38">
        <v>43990</v>
      </c>
      <c r="C10" s="38">
        <v>43963</v>
      </c>
      <c r="D10" s="38">
        <v>43903</v>
      </c>
      <c r="E10" s="35">
        <v>43990</v>
      </c>
      <c r="F10" s="5">
        <v>5505</v>
      </c>
      <c r="G10" s="5"/>
      <c r="H10" s="5"/>
      <c r="I10" s="5"/>
      <c r="J10" s="21" t="s">
        <v>131</v>
      </c>
      <c r="K10" s="21" t="s">
        <v>620</v>
      </c>
      <c r="L10" s="6" t="s">
        <v>621</v>
      </c>
      <c r="M10" s="5">
        <v>0</v>
      </c>
      <c r="N10" s="5"/>
      <c r="O10" s="5"/>
      <c r="P10" s="5"/>
      <c r="Q10" s="6"/>
      <c r="R10" s="6" t="s">
        <v>545</v>
      </c>
      <c r="S10" s="6"/>
      <c r="T10" s="6"/>
      <c r="U10" s="5"/>
      <c r="V10" s="6"/>
      <c r="W10" s="6" t="s">
        <v>183</v>
      </c>
      <c r="X10" s="6"/>
      <c r="Y10" s="22"/>
      <c r="Z10" s="6"/>
      <c r="AA10" s="21"/>
      <c r="AB10" s="23">
        <v>43909</v>
      </c>
      <c r="AC10" s="21" t="s">
        <v>33</v>
      </c>
      <c r="AD10" s="24"/>
      <c r="AE10" s="6" t="s">
        <v>38</v>
      </c>
      <c r="AF10" s="6"/>
      <c r="AG10" s="6" t="s">
        <v>3040</v>
      </c>
    </row>
    <row r="11" spans="1:33" ht="7.5" customHeight="1" x14ac:dyDescent="0.25">
      <c r="A11" s="27"/>
      <c r="B11" s="39"/>
      <c r="C11" s="39"/>
      <c r="D11" s="39"/>
      <c r="E11" s="28"/>
      <c r="F11" s="27"/>
      <c r="G11" s="27"/>
      <c r="H11" s="27"/>
      <c r="I11" s="27"/>
      <c r="J11" s="30"/>
      <c r="K11" s="30"/>
      <c r="L11" s="29"/>
      <c r="M11" s="27"/>
      <c r="N11" s="27"/>
      <c r="O11" s="27"/>
      <c r="P11" s="27"/>
      <c r="Q11" s="29"/>
      <c r="R11" s="29"/>
      <c r="S11" s="29"/>
      <c r="T11" s="29"/>
      <c r="U11" s="27"/>
      <c r="V11" s="29"/>
      <c r="W11" s="29"/>
      <c r="X11" s="29"/>
      <c r="Y11" s="31"/>
      <c r="Z11" s="29"/>
      <c r="AA11" s="30"/>
      <c r="AB11" s="32"/>
      <c r="AC11" s="30"/>
      <c r="AD11" s="33"/>
      <c r="AE11" s="29"/>
      <c r="AF11" s="29"/>
      <c r="AG11" s="29"/>
    </row>
    <row r="12" spans="1:33" ht="15" customHeight="1" x14ac:dyDescent="0.25">
      <c r="A12" s="5">
        <v>23</v>
      </c>
      <c r="B12" s="38">
        <v>43985</v>
      </c>
      <c r="C12" s="38">
        <v>43964</v>
      </c>
      <c r="D12" s="38">
        <v>43957</v>
      </c>
      <c r="E12" s="34">
        <v>43985</v>
      </c>
      <c r="F12" s="5">
        <v>3999</v>
      </c>
      <c r="G12" s="5"/>
      <c r="H12" s="5"/>
      <c r="I12" s="5"/>
      <c r="J12" s="21" t="s">
        <v>2996</v>
      </c>
      <c r="K12" s="21" t="s">
        <v>566</v>
      </c>
      <c r="L12" s="6" t="s">
        <v>567</v>
      </c>
      <c r="M12" s="5">
        <v>11</v>
      </c>
      <c r="N12" s="5"/>
      <c r="O12" s="5"/>
      <c r="P12" s="5"/>
      <c r="Q12" s="6"/>
      <c r="R12" s="6" t="s">
        <v>568</v>
      </c>
      <c r="S12" s="6"/>
      <c r="T12" s="6"/>
      <c r="U12" s="5"/>
      <c r="V12" s="6"/>
      <c r="W12" s="6" t="s">
        <v>569</v>
      </c>
      <c r="X12" s="6"/>
      <c r="Y12" s="22"/>
      <c r="Z12" s="6"/>
      <c r="AA12" s="21"/>
      <c r="AB12" s="23">
        <v>43958</v>
      </c>
      <c r="AC12" s="21" t="s">
        <v>30</v>
      </c>
      <c r="AD12" s="24">
        <v>4484.9399999999996</v>
      </c>
      <c r="AE12" s="6" t="s">
        <v>31</v>
      </c>
      <c r="AF12" s="6"/>
      <c r="AG12" s="6" t="s">
        <v>3042</v>
      </c>
    </row>
    <row r="13" spans="1:33" ht="7.5" customHeight="1" x14ac:dyDescent="0.25">
      <c r="A13" s="27"/>
      <c r="B13" s="39"/>
      <c r="C13" s="39"/>
      <c r="D13" s="39"/>
      <c r="E13" s="28"/>
      <c r="F13" s="27"/>
      <c r="G13" s="27"/>
      <c r="H13" s="27"/>
      <c r="I13" s="27"/>
      <c r="J13" s="30"/>
      <c r="K13" s="30"/>
      <c r="L13" s="29"/>
      <c r="M13" s="27"/>
      <c r="N13" s="27"/>
      <c r="O13" s="27"/>
      <c r="P13" s="27"/>
      <c r="Q13" s="29"/>
      <c r="R13" s="29"/>
      <c r="S13" s="29"/>
      <c r="T13" s="29"/>
      <c r="U13" s="27"/>
      <c r="V13" s="29"/>
      <c r="W13" s="29"/>
      <c r="X13" s="29"/>
      <c r="Y13" s="31"/>
      <c r="Z13" s="29"/>
      <c r="AA13" s="30"/>
      <c r="AB13" s="32"/>
      <c r="AC13" s="30"/>
      <c r="AD13" s="33"/>
      <c r="AE13" s="29"/>
      <c r="AF13" s="29"/>
      <c r="AG13" s="29"/>
    </row>
    <row r="14" spans="1:33" ht="15" customHeight="1" x14ac:dyDescent="0.25">
      <c r="A14" s="5">
        <v>23</v>
      </c>
      <c r="B14" s="38">
        <v>43987</v>
      </c>
      <c r="C14" s="38">
        <v>43966</v>
      </c>
      <c r="D14" s="38">
        <v>43959</v>
      </c>
      <c r="E14" s="34">
        <v>43987</v>
      </c>
      <c r="F14" s="5">
        <v>3000</v>
      </c>
      <c r="G14" s="5"/>
      <c r="H14" s="5"/>
      <c r="I14" s="5"/>
      <c r="J14" s="21" t="s">
        <v>93</v>
      </c>
      <c r="K14" s="21" t="s">
        <v>598</v>
      </c>
      <c r="L14" s="6" t="s">
        <v>599</v>
      </c>
      <c r="M14" s="5">
        <v>18</v>
      </c>
      <c r="N14" s="5"/>
      <c r="O14" s="5"/>
      <c r="P14" s="5"/>
      <c r="Q14" s="6"/>
      <c r="R14" s="6" t="s">
        <v>600</v>
      </c>
      <c r="S14" s="6"/>
      <c r="T14" s="6"/>
      <c r="U14" s="5"/>
      <c r="V14" s="6"/>
      <c r="W14" s="6" t="s">
        <v>601</v>
      </c>
      <c r="X14" s="6"/>
      <c r="Y14" s="22"/>
      <c r="Z14" s="6"/>
      <c r="AA14" s="21">
        <v>10112</v>
      </c>
      <c r="AB14" s="23">
        <v>43963</v>
      </c>
      <c r="AC14" s="21" t="s">
        <v>30</v>
      </c>
      <c r="AD14" s="24">
        <v>6136.53</v>
      </c>
      <c r="AE14" s="6" t="s">
        <v>31</v>
      </c>
      <c r="AF14" s="6"/>
      <c r="AG14" s="6" t="s">
        <v>3042</v>
      </c>
    </row>
    <row r="15" spans="1:33" ht="7.5" customHeight="1" x14ac:dyDescent="0.25">
      <c r="A15" s="27"/>
      <c r="B15" s="39"/>
      <c r="C15" s="39"/>
      <c r="D15" s="39"/>
      <c r="E15" s="28"/>
      <c r="F15" s="27"/>
      <c r="G15" s="27"/>
      <c r="H15" s="27"/>
      <c r="I15" s="27"/>
      <c r="J15" s="30"/>
      <c r="K15" s="30"/>
      <c r="L15" s="29"/>
      <c r="M15" s="27"/>
      <c r="N15" s="27"/>
      <c r="O15" s="27"/>
      <c r="P15" s="27"/>
      <c r="Q15" s="29"/>
      <c r="R15" s="29"/>
      <c r="S15" s="29"/>
      <c r="T15" s="29"/>
      <c r="U15" s="27"/>
      <c r="V15" s="29"/>
      <c r="W15" s="29"/>
      <c r="X15" s="29"/>
      <c r="Y15" s="31"/>
      <c r="Z15" s="29"/>
      <c r="AA15" s="30"/>
      <c r="AB15" s="32"/>
      <c r="AC15" s="30"/>
      <c r="AD15" s="33"/>
      <c r="AE15" s="29"/>
      <c r="AF15" s="29"/>
      <c r="AG15" s="29"/>
    </row>
    <row r="16" spans="1:33" ht="15" customHeight="1" x14ac:dyDescent="0.25">
      <c r="A16" s="5">
        <v>23</v>
      </c>
      <c r="B16" s="38">
        <v>43985</v>
      </c>
      <c r="C16" s="38">
        <v>43969</v>
      </c>
      <c r="D16" s="38">
        <v>43956</v>
      </c>
      <c r="E16" s="34">
        <v>43985</v>
      </c>
      <c r="F16" s="5">
        <v>12043</v>
      </c>
      <c r="G16" s="5"/>
      <c r="H16" s="5"/>
      <c r="I16" s="5"/>
      <c r="J16" s="21" t="s">
        <v>2997</v>
      </c>
      <c r="K16" s="21" t="s">
        <v>570</v>
      </c>
      <c r="L16" s="6" t="s">
        <v>571</v>
      </c>
      <c r="M16" s="5">
        <v>18</v>
      </c>
      <c r="N16" s="5"/>
      <c r="O16" s="5"/>
      <c r="P16" s="5"/>
      <c r="Q16" s="6"/>
      <c r="R16" s="6" t="s">
        <v>545</v>
      </c>
      <c r="S16" s="6"/>
      <c r="T16" s="6"/>
      <c r="U16" s="5"/>
      <c r="V16" s="6"/>
      <c r="W16" s="6" t="s">
        <v>572</v>
      </c>
      <c r="X16" s="6"/>
      <c r="Y16" s="22"/>
      <c r="Z16" s="6"/>
      <c r="AA16" s="21"/>
      <c r="AB16" s="23">
        <v>43965</v>
      </c>
      <c r="AC16" s="21" t="s">
        <v>30</v>
      </c>
      <c r="AD16" s="24">
        <v>5019.33</v>
      </c>
      <c r="AE16" s="6" t="s">
        <v>31</v>
      </c>
      <c r="AF16" s="6"/>
      <c r="AG16" s="6" t="s">
        <v>3039</v>
      </c>
    </row>
    <row r="17" spans="1:33" ht="7.5" customHeight="1" x14ac:dyDescent="0.25">
      <c r="A17" s="27"/>
      <c r="B17" s="39"/>
      <c r="C17" s="39"/>
      <c r="D17" s="39"/>
      <c r="E17" s="28"/>
      <c r="F17" s="27"/>
      <c r="G17" s="27"/>
      <c r="H17" s="27"/>
      <c r="I17" s="27"/>
      <c r="J17" s="30"/>
      <c r="K17" s="30"/>
      <c r="L17" s="29"/>
      <c r="M17" s="27"/>
      <c r="N17" s="27"/>
      <c r="O17" s="27"/>
      <c r="P17" s="27"/>
      <c r="Q17" s="29"/>
      <c r="R17" s="29"/>
      <c r="S17" s="29"/>
      <c r="T17" s="29"/>
      <c r="U17" s="27"/>
      <c r="V17" s="29"/>
      <c r="W17" s="29"/>
      <c r="X17" s="29"/>
      <c r="Y17" s="31"/>
      <c r="Z17" s="29"/>
      <c r="AA17" s="30"/>
      <c r="AB17" s="32"/>
      <c r="AC17" s="30"/>
      <c r="AD17" s="33"/>
      <c r="AE17" s="29"/>
      <c r="AF17" s="29"/>
      <c r="AG17" s="29"/>
    </row>
    <row r="18" spans="1:33" ht="15" customHeight="1" x14ac:dyDescent="0.25">
      <c r="A18" s="5">
        <v>24</v>
      </c>
      <c r="B18" s="38">
        <v>43994</v>
      </c>
      <c r="C18" s="38">
        <v>43969</v>
      </c>
      <c r="D18" s="38">
        <v>43958</v>
      </c>
      <c r="E18" s="35">
        <v>43994</v>
      </c>
      <c r="F18" s="5">
        <v>3001</v>
      </c>
      <c r="G18" s="5"/>
      <c r="H18" s="5"/>
      <c r="I18" s="5"/>
      <c r="J18" s="21" t="s">
        <v>93</v>
      </c>
      <c r="K18" s="21" t="s">
        <v>647</v>
      </c>
      <c r="L18" s="6" t="s">
        <v>648</v>
      </c>
      <c r="M18" s="5">
        <v>0</v>
      </c>
      <c r="N18" s="5"/>
      <c r="O18" s="5"/>
      <c r="P18" s="5"/>
      <c r="Q18" s="6"/>
      <c r="R18" s="6" t="s">
        <v>107</v>
      </c>
      <c r="S18" s="6"/>
      <c r="T18" s="6"/>
      <c r="U18" s="5"/>
      <c r="V18" s="6"/>
      <c r="W18" s="6" t="s">
        <v>107</v>
      </c>
      <c r="X18" s="6"/>
      <c r="Y18" s="22"/>
      <c r="Z18" s="6"/>
      <c r="AA18" s="21" t="s">
        <v>649</v>
      </c>
      <c r="AB18" s="23">
        <v>43964</v>
      </c>
      <c r="AC18" s="21" t="s">
        <v>33</v>
      </c>
      <c r="AD18" s="24"/>
      <c r="AE18" s="6" t="s">
        <v>31</v>
      </c>
      <c r="AF18" s="6"/>
      <c r="AG18" s="6" t="s">
        <v>3040</v>
      </c>
    </row>
    <row r="19" spans="1:33" ht="15" customHeight="1" x14ac:dyDescent="0.25">
      <c r="A19" s="5">
        <v>24</v>
      </c>
      <c r="B19" s="38">
        <v>43994</v>
      </c>
      <c r="C19" s="38">
        <v>43969</v>
      </c>
      <c r="D19" s="38">
        <v>43969</v>
      </c>
      <c r="E19" s="35">
        <v>43994</v>
      </c>
      <c r="F19" s="5">
        <v>8684</v>
      </c>
      <c r="G19" s="5"/>
      <c r="H19" s="5"/>
      <c r="I19" s="5"/>
      <c r="J19" s="21" t="s">
        <v>147</v>
      </c>
      <c r="K19" s="21" t="s">
        <v>652</v>
      </c>
      <c r="L19" s="6" t="s">
        <v>653</v>
      </c>
      <c r="M19" s="5">
        <v>0</v>
      </c>
      <c r="N19" s="5"/>
      <c r="O19" s="5"/>
      <c r="P19" s="5"/>
      <c r="Q19" s="6"/>
      <c r="R19" s="6" t="s">
        <v>654</v>
      </c>
      <c r="S19" s="6"/>
      <c r="T19" s="6"/>
      <c r="U19" s="5"/>
      <c r="V19" s="6"/>
      <c r="W19" s="6" t="s">
        <v>655</v>
      </c>
      <c r="X19" s="6"/>
      <c r="Y19" s="22"/>
      <c r="Z19" s="6"/>
      <c r="AA19" s="21"/>
      <c r="AB19" s="23">
        <v>43963</v>
      </c>
      <c r="AC19" s="21" t="s">
        <v>33</v>
      </c>
      <c r="AD19" s="24"/>
      <c r="AE19" s="6" t="s">
        <v>31</v>
      </c>
      <c r="AF19" s="6"/>
      <c r="AG19" s="6" t="s">
        <v>3042</v>
      </c>
    </row>
    <row r="20" spans="1:33" ht="7.5" customHeight="1" x14ac:dyDescent="0.25">
      <c r="A20" s="27"/>
      <c r="B20" s="39"/>
      <c r="C20" s="39"/>
      <c r="D20" s="39"/>
      <c r="E20" s="28"/>
      <c r="F20" s="27"/>
      <c r="G20" s="27"/>
      <c r="H20" s="27"/>
      <c r="I20" s="27"/>
      <c r="J20" s="30"/>
      <c r="K20" s="30"/>
      <c r="L20" s="29"/>
      <c r="M20" s="27"/>
      <c r="N20" s="27"/>
      <c r="O20" s="27"/>
      <c r="P20" s="27"/>
      <c r="Q20" s="29"/>
      <c r="R20" s="29"/>
      <c r="S20" s="29"/>
      <c r="T20" s="29"/>
      <c r="U20" s="27"/>
      <c r="V20" s="29"/>
      <c r="W20" s="29"/>
      <c r="X20" s="29"/>
      <c r="Y20" s="31"/>
      <c r="Z20" s="29"/>
      <c r="AA20" s="30"/>
      <c r="AB20" s="32"/>
      <c r="AC20" s="30"/>
      <c r="AD20" s="33"/>
      <c r="AE20" s="29"/>
      <c r="AF20" s="29"/>
      <c r="AG20" s="29"/>
    </row>
    <row r="21" spans="1:33" ht="15" customHeight="1" x14ac:dyDescent="0.25">
      <c r="A21" s="5">
        <v>23</v>
      </c>
      <c r="B21" s="38">
        <v>43986</v>
      </c>
      <c r="C21" s="38">
        <v>43970</v>
      </c>
      <c r="D21" s="38">
        <v>43907</v>
      </c>
      <c r="E21" s="34">
        <v>43986</v>
      </c>
      <c r="F21" s="5">
        <v>7720</v>
      </c>
      <c r="G21" s="5"/>
      <c r="H21" s="5"/>
      <c r="I21" s="5"/>
      <c r="J21" s="21" t="s">
        <v>214</v>
      </c>
      <c r="K21" s="21" t="s">
        <v>590</v>
      </c>
      <c r="L21" s="6" t="s">
        <v>591</v>
      </c>
      <c r="M21" s="5">
        <v>8</v>
      </c>
      <c r="N21" s="5"/>
      <c r="O21" s="5"/>
      <c r="P21" s="5"/>
      <c r="Q21" s="6"/>
      <c r="R21" s="6" t="s">
        <v>223</v>
      </c>
      <c r="S21" s="6"/>
      <c r="T21" s="6"/>
      <c r="U21" s="5"/>
      <c r="V21" s="6"/>
      <c r="W21" s="6" t="s">
        <v>592</v>
      </c>
      <c r="X21" s="6"/>
      <c r="Y21" s="22"/>
      <c r="Z21" s="6">
        <v>4.2</v>
      </c>
      <c r="AA21" s="21" t="s">
        <v>593</v>
      </c>
      <c r="AB21" s="23">
        <v>43903</v>
      </c>
      <c r="AC21" s="21" t="s">
        <v>30</v>
      </c>
      <c r="AD21" s="24">
        <v>6677.07</v>
      </c>
      <c r="AE21" s="6" t="s">
        <v>31</v>
      </c>
      <c r="AF21" s="6"/>
      <c r="AG21" s="6" t="s">
        <v>3040</v>
      </c>
    </row>
    <row r="22" spans="1:33" ht="7.5" customHeight="1" x14ac:dyDescent="0.25">
      <c r="A22" s="27"/>
      <c r="B22" s="39"/>
      <c r="C22" s="39"/>
      <c r="D22" s="39"/>
      <c r="E22" s="28"/>
      <c r="F22" s="27"/>
      <c r="G22" s="27"/>
      <c r="H22" s="27"/>
      <c r="I22" s="27"/>
      <c r="J22" s="30"/>
      <c r="K22" s="30"/>
      <c r="L22" s="29"/>
      <c r="M22" s="27"/>
      <c r="N22" s="27"/>
      <c r="O22" s="27"/>
      <c r="P22" s="27"/>
      <c r="Q22" s="29"/>
      <c r="R22" s="29"/>
      <c r="S22" s="29"/>
      <c r="T22" s="29"/>
      <c r="U22" s="27"/>
      <c r="V22" s="29"/>
      <c r="W22" s="29"/>
      <c r="X22" s="29"/>
      <c r="Y22" s="31"/>
      <c r="Z22" s="29"/>
      <c r="AA22" s="30"/>
      <c r="AB22" s="32"/>
      <c r="AC22" s="30"/>
      <c r="AD22" s="33"/>
      <c r="AE22" s="29"/>
      <c r="AF22" s="29"/>
      <c r="AG22" s="29"/>
    </row>
    <row r="23" spans="1:33" ht="15" customHeight="1" x14ac:dyDescent="0.25">
      <c r="A23" s="5">
        <v>23</v>
      </c>
      <c r="B23" s="38">
        <v>43985</v>
      </c>
      <c r="C23" s="38">
        <v>43971</v>
      </c>
      <c r="D23" s="38">
        <v>43964</v>
      </c>
      <c r="E23" s="34">
        <v>43985</v>
      </c>
      <c r="F23" s="5">
        <v>5521</v>
      </c>
      <c r="G23" s="5"/>
      <c r="H23" s="5"/>
      <c r="I23" s="5"/>
      <c r="J23" s="21" t="s">
        <v>2998</v>
      </c>
      <c r="K23" s="21" t="s">
        <v>363</v>
      </c>
      <c r="L23" s="6" t="s">
        <v>578</v>
      </c>
      <c r="M23" s="5">
        <v>12</v>
      </c>
      <c r="N23" s="5"/>
      <c r="O23" s="5"/>
      <c r="P23" s="5"/>
      <c r="Q23" s="6"/>
      <c r="R23" s="6" t="s">
        <v>545</v>
      </c>
      <c r="S23" s="6"/>
      <c r="T23" s="6"/>
      <c r="U23" s="5"/>
      <c r="V23" s="6"/>
      <c r="W23" s="6" t="s">
        <v>183</v>
      </c>
      <c r="X23" s="6"/>
      <c r="Y23" s="22"/>
      <c r="Z23" s="6"/>
      <c r="AA23" s="21"/>
      <c r="AB23" s="23">
        <v>43966</v>
      </c>
      <c r="AC23" s="21" t="s">
        <v>32</v>
      </c>
      <c r="AD23" s="24">
        <v>4272.0200000000004</v>
      </c>
      <c r="AE23" s="6" t="s">
        <v>36</v>
      </c>
      <c r="AF23" s="6"/>
      <c r="AG23" s="6" t="s">
        <v>3039</v>
      </c>
    </row>
    <row r="24" spans="1:33" ht="15" customHeight="1" x14ac:dyDescent="0.25">
      <c r="A24" s="5">
        <v>23</v>
      </c>
      <c r="B24" s="38">
        <v>43985</v>
      </c>
      <c r="C24" s="38">
        <v>43971</v>
      </c>
      <c r="D24" s="38">
        <v>43964</v>
      </c>
      <c r="E24" s="34">
        <v>43985</v>
      </c>
      <c r="F24" s="5">
        <v>6675</v>
      </c>
      <c r="G24" s="5"/>
      <c r="H24" s="5"/>
      <c r="I24" s="5"/>
      <c r="J24" s="21" t="s">
        <v>2999</v>
      </c>
      <c r="K24" s="21" t="s">
        <v>415</v>
      </c>
      <c r="L24" s="6" t="s">
        <v>579</v>
      </c>
      <c r="M24" s="5">
        <v>6</v>
      </c>
      <c r="N24" s="5"/>
      <c r="O24" s="5"/>
      <c r="P24" s="5"/>
      <c r="Q24" s="6"/>
      <c r="R24" s="6" t="s">
        <v>194</v>
      </c>
      <c r="S24" s="6"/>
      <c r="T24" s="6"/>
      <c r="U24" s="5"/>
      <c r="V24" s="6"/>
      <c r="W24" s="6" t="s">
        <v>580</v>
      </c>
      <c r="X24" s="6"/>
      <c r="Y24" s="22"/>
      <c r="Z24" s="6"/>
      <c r="AA24" s="21"/>
      <c r="AB24" s="23">
        <v>43964</v>
      </c>
      <c r="AC24" s="21" t="s">
        <v>32</v>
      </c>
      <c r="AD24" s="24">
        <v>1497.95</v>
      </c>
      <c r="AE24" s="6" t="s">
        <v>31</v>
      </c>
      <c r="AF24" s="6"/>
      <c r="AG24" s="6" t="s">
        <v>3040</v>
      </c>
    </row>
    <row r="25" spans="1:33" ht="7.5" customHeight="1" x14ac:dyDescent="0.25">
      <c r="A25" s="27"/>
      <c r="B25" s="39"/>
      <c r="C25" s="39"/>
      <c r="D25" s="39"/>
      <c r="E25" s="28"/>
      <c r="F25" s="27"/>
      <c r="G25" s="27"/>
      <c r="H25" s="27"/>
      <c r="I25" s="27"/>
      <c r="J25" s="30"/>
      <c r="K25" s="30"/>
      <c r="L25" s="29"/>
      <c r="M25" s="27"/>
      <c r="N25" s="27"/>
      <c r="O25" s="27"/>
      <c r="P25" s="27"/>
      <c r="Q25" s="29"/>
      <c r="R25" s="29"/>
      <c r="S25" s="29"/>
      <c r="T25" s="29"/>
      <c r="U25" s="27"/>
      <c r="V25" s="29"/>
      <c r="W25" s="29"/>
      <c r="X25" s="29"/>
      <c r="Y25" s="31"/>
      <c r="Z25" s="29"/>
      <c r="AA25" s="30"/>
      <c r="AB25" s="32"/>
      <c r="AC25" s="30"/>
      <c r="AD25" s="33"/>
      <c r="AE25" s="29"/>
      <c r="AF25" s="29"/>
      <c r="AG25" s="29"/>
    </row>
    <row r="26" spans="1:33" ht="15" customHeight="1" x14ac:dyDescent="0.25">
      <c r="A26" s="5">
        <v>23</v>
      </c>
      <c r="B26" s="38">
        <v>43987</v>
      </c>
      <c r="C26" s="38">
        <v>43971</v>
      </c>
      <c r="D26" s="38">
        <v>43948</v>
      </c>
      <c r="E26" s="34">
        <v>43987</v>
      </c>
      <c r="F26" s="5">
        <v>8663</v>
      </c>
      <c r="G26" s="5"/>
      <c r="H26" s="5"/>
      <c r="I26" s="5"/>
      <c r="J26" s="21" t="s">
        <v>147</v>
      </c>
      <c r="K26" s="21" t="s">
        <v>602</v>
      </c>
      <c r="L26" s="6" t="s">
        <v>603</v>
      </c>
      <c r="M26" s="5">
        <v>16</v>
      </c>
      <c r="N26" s="5"/>
      <c r="O26" s="5"/>
      <c r="P26" s="5"/>
      <c r="Q26" s="6"/>
      <c r="R26" s="6" t="s">
        <v>596</v>
      </c>
      <c r="S26" s="6"/>
      <c r="T26" s="6"/>
      <c r="U26" s="5"/>
      <c r="V26" s="6"/>
      <c r="W26" s="6" t="s">
        <v>604</v>
      </c>
      <c r="X26" s="6"/>
      <c r="Y26" s="22"/>
      <c r="Z26" s="6"/>
      <c r="AA26" s="21"/>
      <c r="AB26" s="23">
        <v>43902</v>
      </c>
      <c r="AC26" s="21" t="s">
        <v>30</v>
      </c>
      <c r="AD26" s="24"/>
      <c r="AE26" s="6" t="s">
        <v>31</v>
      </c>
      <c r="AF26" s="6"/>
      <c r="AG26" s="6" t="s">
        <v>3039</v>
      </c>
    </row>
    <row r="27" spans="1:33" ht="7.5" customHeight="1" x14ac:dyDescent="0.25">
      <c r="A27" s="27"/>
      <c r="B27" s="39"/>
      <c r="C27" s="39"/>
      <c r="D27" s="39"/>
      <c r="E27" s="28"/>
      <c r="F27" s="27"/>
      <c r="G27" s="27"/>
      <c r="H27" s="27"/>
      <c r="I27" s="27"/>
      <c r="J27" s="30"/>
      <c r="K27" s="30"/>
      <c r="L27" s="29"/>
      <c r="M27" s="27"/>
      <c r="N27" s="27"/>
      <c r="O27" s="27"/>
      <c r="P27" s="27"/>
      <c r="Q27" s="29"/>
      <c r="R27" s="29"/>
      <c r="S27" s="29"/>
      <c r="T27" s="29"/>
      <c r="U27" s="27"/>
      <c r="V27" s="29"/>
      <c r="W27" s="29"/>
      <c r="X27" s="29"/>
      <c r="Y27" s="31"/>
      <c r="Z27" s="29"/>
      <c r="AA27" s="30"/>
      <c r="AB27" s="32"/>
      <c r="AC27" s="30"/>
      <c r="AD27" s="33"/>
      <c r="AE27" s="29"/>
      <c r="AF27" s="29"/>
      <c r="AG27" s="29"/>
    </row>
    <row r="28" spans="1:33" ht="15" customHeight="1" x14ac:dyDescent="0.25">
      <c r="A28" s="5">
        <v>24</v>
      </c>
      <c r="B28" s="38">
        <v>43990</v>
      </c>
      <c r="C28" s="38">
        <v>43972</v>
      </c>
      <c r="D28" s="38">
        <v>43901</v>
      </c>
      <c r="E28" s="35">
        <v>43990</v>
      </c>
      <c r="F28" s="5">
        <v>2376</v>
      </c>
      <c r="G28" s="5"/>
      <c r="H28" s="5"/>
      <c r="I28" s="5"/>
      <c r="J28" s="21" t="s">
        <v>231</v>
      </c>
      <c r="K28" s="21" t="s">
        <v>605</v>
      </c>
      <c r="L28" s="6" t="s">
        <v>606</v>
      </c>
      <c r="M28" s="5">
        <v>8</v>
      </c>
      <c r="N28" s="5"/>
      <c r="O28" s="5"/>
      <c r="P28" s="5"/>
      <c r="Q28" s="6"/>
      <c r="R28" s="6" t="s">
        <v>545</v>
      </c>
      <c r="S28" s="6"/>
      <c r="T28" s="6"/>
      <c r="U28" s="5"/>
      <c r="V28" s="6"/>
      <c r="W28" s="6" t="s">
        <v>607</v>
      </c>
      <c r="X28" s="6"/>
      <c r="Y28" s="22"/>
      <c r="Z28" s="6"/>
      <c r="AA28" s="21" t="s">
        <v>608</v>
      </c>
      <c r="AB28" s="23">
        <v>43894</v>
      </c>
      <c r="AC28" s="21" t="s">
        <v>30</v>
      </c>
      <c r="AD28" s="24">
        <v>4914.49</v>
      </c>
      <c r="AE28" s="6" t="s">
        <v>36</v>
      </c>
      <c r="AF28" s="6"/>
      <c r="AG28" s="6" t="s">
        <v>3040</v>
      </c>
    </row>
    <row r="29" spans="1:33" ht="15" customHeight="1" x14ac:dyDescent="0.25">
      <c r="A29" s="5">
        <v>24</v>
      </c>
      <c r="B29" s="38">
        <v>43990</v>
      </c>
      <c r="C29" s="38">
        <v>43972</v>
      </c>
      <c r="D29" s="38">
        <v>43970</v>
      </c>
      <c r="E29" s="35">
        <v>43990</v>
      </c>
      <c r="F29" s="5">
        <v>8536</v>
      </c>
      <c r="G29" s="5"/>
      <c r="H29" s="5"/>
      <c r="I29" s="5"/>
      <c r="J29" s="21" t="s">
        <v>147</v>
      </c>
      <c r="K29" s="21" t="s">
        <v>626</v>
      </c>
      <c r="L29" s="6" t="s">
        <v>627</v>
      </c>
      <c r="M29" s="5">
        <v>16</v>
      </c>
      <c r="N29" s="5"/>
      <c r="O29" s="5"/>
      <c r="P29" s="5"/>
      <c r="Q29" s="6"/>
      <c r="R29" s="6" t="s">
        <v>600</v>
      </c>
      <c r="S29" s="6"/>
      <c r="T29" s="6"/>
      <c r="U29" s="5"/>
      <c r="V29" s="6"/>
      <c r="W29" s="6" t="s">
        <v>628</v>
      </c>
      <c r="X29" s="6"/>
      <c r="Y29" s="22"/>
      <c r="Z29" s="6"/>
      <c r="AA29" s="21"/>
      <c r="AB29" s="23">
        <v>43757</v>
      </c>
      <c r="AC29" s="21" t="s">
        <v>30</v>
      </c>
      <c r="AD29" s="24">
        <v>17136.689999999999</v>
      </c>
      <c r="AE29" s="6" t="s">
        <v>34</v>
      </c>
      <c r="AF29" s="6"/>
      <c r="AG29" s="6" t="s">
        <v>3042</v>
      </c>
    </row>
    <row r="30" spans="1:33" ht="15" customHeight="1" x14ac:dyDescent="0.25">
      <c r="A30" s="5">
        <v>24</v>
      </c>
      <c r="B30" s="38">
        <v>43990</v>
      </c>
      <c r="C30" s="38">
        <v>43972</v>
      </c>
      <c r="D30" s="38">
        <v>43970</v>
      </c>
      <c r="E30" s="35">
        <v>43990</v>
      </c>
      <c r="F30" s="5">
        <v>8537</v>
      </c>
      <c r="G30" s="5"/>
      <c r="H30" s="5"/>
      <c r="I30" s="5"/>
      <c r="J30" s="21" t="s">
        <v>147</v>
      </c>
      <c r="K30" s="21" t="s">
        <v>629</v>
      </c>
      <c r="L30" s="6" t="s">
        <v>627</v>
      </c>
      <c r="M30" s="5">
        <v>4</v>
      </c>
      <c r="N30" s="5"/>
      <c r="O30" s="5"/>
      <c r="P30" s="5"/>
      <c r="Q30" s="6"/>
      <c r="R30" s="6" t="s">
        <v>600</v>
      </c>
      <c r="S30" s="6"/>
      <c r="T30" s="6"/>
      <c r="U30" s="5"/>
      <c r="V30" s="6"/>
      <c r="W30" s="6" t="s">
        <v>630</v>
      </c>
      <c r="X30" s="6"/>
      <c r="Y30" s="22"/>
      <c r="Z30" s="6"/>
      <c r="AA30" s="21"/>
      <c r="AB30" s="23">
        <v>43757</v>
      </c>
      <c r="AC30" s="21" t="s">
        <v>30</v>
      </c>
      <c r="AD30" s="24">
        <v>2397.75</v>
      </c>
      <c r="AE30" s="6" t="s">
        <v>31</v>
      </c>
      <c r="AF30" s="6"/>
      <c r="AG30" s="6" t="s">
        <v>3039</v>
      </c>
    </row>
    <row r="31" spans="1:33" ht="7.5" customHeight="1" x14ac:dyDescent="0.25">
      <c r="A31" s="27"/>
      <c r="B31" s="39"/>
      <c r="C31" s="39"/>
      <c r="D31" s="39"/>
      <c r="E31" s="28"/>
      <c r="F31" s="27"/>
      <c r="G31" s="27"/>
      <c r="H31" s="27"/>
      <c r="I31" s="27"/>
      <c r="J31" s="30"/>
      <c r="K31" s="30"/>
      <c r="L31" s="29"/>
      <c r="M31" s="27"/>
      <c r="N31" s="27"/>
      <c r="O31" s="27"/>
      <c r="P31" s="27"/>
      <c r="Q31" s="29"/>
      <c r="R31" s="29"/>
      <c r="S31" s="29"/>
      <c r="T31" s="29"/>
      <c r="U31" s="27"/>
      <c r="V31" s="29"/>
      <c r="W31" s="29"/>
      <c r="X31" s="29"/>
      <c r="Y31" s="31"/>
      <c r="Z31" s="29"/>
      <c r="AA31" s="30"/>
      <c r="AB31" s="32"/>
      <c r="AC31" s="30"/>
      <c r="AD31" s="33"/>
      <c r="AE31" s="29"/>
      <c r="AF31" s="29"/>
      <c r="AG31" s="29"/>
    </row>
    <row r="32" spans="1:33" ht="15" customHeight="1" x14ac:dyDescent="0.25">
      <c r="A32" s="5">
        <v>23</v>
      </c>
      <c r="B32" s="38">
        <v>43984</v>
      </c>
      <c r="C32" s="38">
        <v>43973</v>
      </c>
      <c r="D32" s="38">
        <v>43959</v>
      </c>
      <c r="E32" s="34" t="s">
        <v>441</v>
      </c>
      <c r="F32" s="5">
        <v>10068</v>
      </c>
      <c r="G32" s="5"/>
      <c r="H32" s="5"/>
      <c r="I32" s="5"/>
      <c r="J32" s="21" t="s">
        <v>2994</v>
      </c>
      <c r="K32" s="21" t="s">
        <v>542</v>
      </c>
      <c r="L32" s="6" t="s">
        <v>543</v>
      </c>
      <c r="M32" s="5">
        <v>16</v>
      </c>
      <c r="N32" s="5"/>
      <c r="O32" s="5"/>
      <c r="P32" s="5"/>
      <c r="Q32" s="6" t="s">
        <v>544</v>
      </c>
      <c r="R32" s="6" t="s">
        <v>545</v>
      </c>
      <c r="S32" s="6" t="s">
        <v>544</v>
      </c>
      <c r="T32" s="6"/>
      <c r="U32" s="5" t="s">
        <v>544</v>
      </c>
      <c r="V32" s="6"/>
      <c r="W32" s="6" t="s">
        <v>546</v>
      </c>
      <c r="X32" s="6"/>
      <c r="Y32" s="22"/>
      <c r="Z32" s="6">
        <v>6.8</v>
      </c>
      <c r="AA32" s="21">
        <v>13570</v>
      </c>
      <c r="AB32" s="23">
        <v>43972</v>
      </c>
      <c r="AC32" s="21" t="s">
        <v>32</v>
      </c>
      <c r="AD32" s="24">
        <v>7668.99</v>
      </c>
      <c r="AE32" s="6" t="s">
        <v>34</v>
      </c>
      <c r="AF32" s="6"/>
      <c r="AG32" s="6" t="s">
        <v>3039</v>
      </c>
    </row>
    <row r="33" spans="1:33" ht="15" customHeight="1" x14ac:dyDescent="0.25">
      <c r="A33" s="5">
        <v>23</v>
      </c>
      <c r="B33" s="38">
        <v>43984</v>
      </c>
      <c r="C33" s="38">
        <v>43973</v>
      </c>
      <c r="D33" s="38">
        <v>43959</v>
      </c>
      <c r="E33" s="34" t="s">
        <v>441</v>
      </c>
      <c r="F33" s="5">
        <v>10070</v>
      </c>
      <c r="G33" s="5"/>
      <c r="H33" s="5"/>
      <c r="I33" s="5"/>
      <c r="J33" s="21" t="s">
        <v>2994</v>
      </c>
      <c r="K33" s="21" t="s">
        <v>550</v>
      </c>
      <c r="L33" s="6" t="s">
        <v>551</v>
      </c>
      <c r="M33" s="5">
        <v>0</v>
      </c>
      <c r="N33" s="5"/>
      <c r="O33" s="5"/>
      <c r="P33" s="5"/>
      <c r="Q33" s="6" t="s">
        <v>544</v>
      </c>
      <c r="R33" s="6" t="s">
        <v>545</v>
      </c>
      <c r="S33" s="6" t="s">
        <v>544</v>
      </c>
      <c r="T33" s="6"/>
      <c r="U33" s="5" t="s">
        <v>544</v>
      </c>
      <c r="V33" s="6"/>
      <c r="W33" s="6" t="s">
        <v>552</v>
      </c>
      <c r="X33" s="6"/>
      <c r="Y33" s="22"/>
      <c r="Z33" s="6"/>
      <c r="AA33" s="21" t="s">
        <v>553</v>
      </c>
      <c r="AB33" s="23">
        <v>43972</v>
      </c>
      <c r="AC33" s="21" t="s">
        <v>32</v>
      </c>
      <c r="AD33" s="24"/>
      <c r="AE33" s="6" t="s">
        <v>35</v>
      </c>
      <c r="AF33" s="6"/>
      <c r="AG33" s="6" t="s">
        <v>3041</v>
      </c>
    </row>
    <row r="34" spans="1:33" ht="15" customHeight="1" x14ac:dyDescent="0.25">
      <c r="A34" s="5">
        <v>23</v>
      </c>
      <c r="B34" s="38">
        <v>43984</v>
      </c>
      <c r="C34" s="38">
        <v>43973</v>
      </c>
      <c r="D34" s="38">
        <v>43959</v>
      </c>
      <c r="E34" s="34" t="s">
        <v>441</v>
      </c>
      <c r="F34" s="5">
        <v>10071</v>
      </c>
      <c r="G34" s="5"/>
      <c r="H34" s="5"/>
      <c r="I34" s="5"/>
      <c r="J34" s="21" t="s">
        <v>2994</v>
      </c>
      <c r="K34" s="21" t="s">
        <v>554</v>
      </c>
      <c r="L34" s="6" t="s">
        <v>555</v>
      </c>
      <c r="M34" s="5">
        <v>4</v>
      </c>
      <c r="N34" s="5"/>
      <c r="O34" s="5"/>
      <c r="P34" s="5"/>
      <c r="Q34" s="6" t="s">
        <v>544</v>
      </c>
      <c r="R34" s="6" t="s">
        <v>545</v>
      </c>
      <c r="S34" s="6" t="s">
        <v>544</v>
      </c>
      <c r="T34" s="6"/>
      <c r="U34" s="5" t="s">
        <v>544</v>
      </c>
      <c r="V34" s="6"/>
      <c r="W34" s="6" t="s">
        <v>556</v>
      </c>
      <c r="X34" s="6"/>
      <c r="Y34" s="22"/>
      <c r="Z34" s="6">
        <v>1.1000000000000001</v>
      </c>
      <c r="AA34" s="21">
        <v>13570</v>
      </c>
      <c r="AB34" s="23">
        <v>43972</v>
      </c>
      <c r="AC34" s="21" t="s">
        <v>32</v>
      </c>
      <c r="AD34" s="24">
        <v>715.78</v>
      </c>
      <c r="AE34" s="6" t="s">
        <v>34</v>
      </c>
      <c r="AF34" s="6"/>
      <c r="AG34" s="6" t="s">
        <v>3042</v>
      </c>
    </row>
    <row r="35" spans="1:33" ht="15" customHeight="1" x14ac:dyDescent="0.25">
      <c r="A35" s="5">
        <v>23</v>
      </c>
      <c r="B35" s="38">
        <v>43984</v>
      </c>
      <c r="C35" s="38">
        <v>43973</v>
      </c>
      <c r="D35" s="38">
        <v>43959</v>
      </c>
      <c r="E35" s="34" t="s">
        <v>441</v>
      </c>
      <c r="F35" s="5">
        <v>10072</v>
      </c>
      <c r="G35" s="5"/>
      <c r="H35" s="5"/>
      <c r="I35" s="5"/>
      <c r="J35" s="21" t="s">
        <v>2994</v>
      </c>
      <c r="K35" s="21">
        <v>256607</v>
      </c>
      <c r="L35" s="6" t="s">
        <v>152</v>
      </c>
      <c r="M35" s="5">
        <v>1</v>
      </c>
      <c r="N35" s="5"/>
      <c r="O35" s="5"/>
      <c r="P35" s="5"/>
      <c r="Q35" s="6" t="s">
        <v>544</v>
      </c>
      <c r="R35" s="6" t="s">
        <v>557</v>
      </c>
      <c r="S35" s="6" t="s">
        <v>544</v>
      </c>
      <c r="T35" s="6"/>
      <c r="U35" s="5" t="s">
        <v>544</v>
      </c>
      <c r="V35" s="6"/>
      <c r="W35" s="6" t="s">
        <v>558</v>
      </c>
      <c r="X35" s="6"/>
      <c r="Y35" s="22"/>
      <c r="Z35" s="6"/>
      <c r="AA35" s="21">
        <v>256608</v>
      </c>
      <c r="AB35" s="23">
        <v>43972</v>
      </c>
      <c r="AC35" s="21" t="s">
        <v>32</v>
      </c>
      <c r="AD35" s="24">
        <v>222.18</v>
      </c>
      <c r="AE35" s="6" t="s">
        <v>31</v>
      </c>
      <c r="AF35" s="6"/>
      <c r="AG35" s="6" t="s">
        <v>3039</v>
      </c>
    </row>
    <row r="36" spans="1:33" ht="7.5" customHeight="1" x14ac:dyDescent="0.25">
      <c r="A36" s="27"/>
      <c r="B36" s="39"/>
      <c r="C36" s="39"/>
      <c r="D36" s="39"/>
      <c r="E36" s="28"/>
      <c r="F36" s="27"/>
      <c r="G36" s="27"/>
      <c r="H36" s="27"/>
      <c r="I36" s="27"/>
      <c r="J36" s="30"/>
      <c r="K36" s="30"/>
      <c r="L36" s="29"/>
      <c r="M36" s="27"/>
      <c r="N36" s="27"/>
      <c r="O36" s="27"/>
      <c r="P36" s="27"/>
      <c r="Q36" s="29"/>
      <c r="R36" s="29"/>
      <c r="S36" s="29"/>
      <c r="T36" s="29"/>
      <c r="U36" s="27"/>
      <c r="V36" s="29"/>
      <c r="W36" s="29"/>
      <c r="X36" s="29"/>
      <c r="Y36" s="31"/>
      <c r="Z36" s="29"/>
      <c r="AA36" s="30"/>
      <c r="AB36" s="32"/>
      <c r="AC36" s="30"/>
      <c r="AD36" s="33"/>
      <c r="AE36" s="29"/>
      <c r="AF36" s="29"/>
      <c r="AG36" s="29"/>
    </row>
    <row r="37" spans="1:33" ht="15" customHeight="1" x14ac:dyDescent="0.25">
      <c r="A37" s="5">
        <v>25</v>
      </c>
      <c r="B37" s="38">
        <v>44000</v>
      </c>
      <c r="C37" s="38">
        <v>43973</v>
      </c>
      <c r="D37" s="38">
        <v>43901</v>
      </c>
      <c r="E37" s="36">
        <v>44000</v>
      </c>
      <c r="F37" s="5">
        <v>3985</v>
      </c>
      <c r="G37" s="5"/>
      <c r="H37" s="5"/>
      <c r="I37" s="5"/>
      <c r="J37" s="21" t="s">
        <v>93</v>
      </c>
      <c r="K37" s="21" t="s">
        <v>587</v>
      </c>
      <c r="L37" s="6" t="s">
        <v>673</v>
      </c>
      <c r="M37" s="5">
        <v>25</v>
      </c>
      <c r="N37" s="5"/>
      <c r="O37" s="5"/>
      <c r="P37" s="5"/>
      <c r="Q37" s="6"/>
      <c r="R37" s="6" t="s">
        <v>560</v>
      </c>
      <c r="S37" s="6"/>
      <c r="T37" s="6"/>
      <c r="U37" s="5"/>
      <c r="V37" s="6"/>
      <c r="W37" s="6" t="s">
        <v>674</v>
      </c>
      <c r="X37" s="6"/>
      <c r="Y37" s="22"/>
      <c r="Z37" s="6"/>
      <c r="AA37" s="21">
        <v>10035</v>
      </c>
      <c r="AB37" s="23">
        <v>43907</v>
      </c>
      <c r="AC37" s="21" t="s">
        <v>33</v>
      </c>
      <c r="AD37" s="24"/>
      <c r="AE37" s="6" t="s">
        <v>36</v>
      </c>
      <c r="AF37" s="6"/>
      <c r="AG37" s="6" t="s">
        <v>3041</v>
      </c>
    </row>
    <row r="38" spans="1:33" ht="7.5" customHeight="1" x14ac:dyDescent="0.25">
      <c r="A38" s="27"/>
      <c r="B38" s="39"/>
      <c r="C38" s="39"/>
      <c r="D38" s="39"/>
      <c r="E38" s="28"/>
      <c r="F38" s="27"/>
      <c r="G38" s="27"/>
      <c r="H38" s="27"/>
      <c r="I38" s="27"/>
      <c r="J38" s="30"/>
      <c r="K38" s="30"/>
      <c r="L38" s="29"/>
      <c r="M38" s="27"/>
      <c r="N38" s="27"/>
      <c r="O38" s="27"/>
      <c r="P38" s="27"/>
      <c r="Q38" s="29"/>
      <c r="R38" s="29"/>
      <c r="S38" s="29"/>
      <c r="T38" s="29"/>
      <c r="U38" s="27"/>
      <c r="V38" s="29"/>
      <c r="W38" s="29"/>
      <c r="X38" s="29"/>
      <c r="Y38" s="31"/>
      <c r="Z38" s="29"/>
      <c r="AA38" s="30"/>
      <c r="AB38" s="32"/>
      <c r="AC38" s="30"/>
      <c r="AD38" s="33"/>
      <c r="AE38" s="29"/>
      <c r="AF38" s="29"/>
      <c r="AG38" s="29"/>
    </row>
    <row r="39" spans="1:33" ht="15" customHeight="1" x14ac:dyDescent="0.25">
      <c r="A39" s="5">
        <v>24</v>
      </c>
      <c r="B39" s="38">
        <v>43992</v>
      </c>
      <c r="C39" s="38">
        <v>43976</v>
      </c>
      <c r="D39" s="38">
        <v>43914</v>
      </c>
      <c r="E39" s="35">
        <v>43992</v>
      </c>
      <c r="F39" s="5">
        <v>1598</v>
      </c>
      <c r="G39" s="5"/>
      <c r="H39" s="5"/>
      <c r="I39" s="5"/>
      <c r="J39" s="21" t="s">
        <v>372</v>
      </c>
      <c r="K39" s="21" t="s">
        <v>635</v>
      </c>
      <c r="L39" s="6" t="s">
        <v>636</v>
      </c>
      <c r="M39" s="5">
        <v>11</v>
      </c>
      <c r="N39" s="5"/>
      <c r="O39" s="5"/>
      <c r="P39" s="5"/>
      <c r="Q39" s="6"/>
      <c r="R39" s="6" t="s">
        <v>545</v>
      </c>
      <c r="S39" s="6"/>
      <c r="T39" s="6"/>
      <c r="U39" s="5"/>
      <c r="V39" s="6"/>
      <c r="W39" s="6" t="s">
        <v>637</v>
      </c>
      <c r="X39" s="6"/>
      <c r="Y39" s="22"/>
      <c r="Z39" s="6"/>
      <c r="AA39" s="21" t="s">
        <v>638</v>
      </c>
      <c r="AB39" s="23">
        <v>43894</v>
      </c>
      <c r="AC39" s="21" t="s">
        <v>30</v>
      </c>
      <c r="AD39" s="24">
        <v>12923.79</v>
      </c>
      <c r="AE39" s="6" t="s">
        <v>31</v>
      </c>
      <c r="AF39" s="6"/>
      <c r="AG39" s="6" t="s">
        <v>3042</v>
      </c>
    </row>
    <row r="40" spans="1:33" ht="7.5" customHeight="1" x14ac:dyDescent="0.25">
      <c r="A40" s="27"/>
      <c r="B40" s="39"/>
      <c r="C40" s="39"/>
      <c r="D40" s="39"/>
      <c r="E40" s="28"/>
      <c r="F40" s="27"/>
      <c r="G40" s="27"/>
      <c r="H40" s="27"/>
      <c r="I40" s="27"/>
      <c r="J40" s="30"/>
      <c r="K40" s="30"/>
      <c r="L40" s="29"/>
      <c r="M40" s="27"/>
      <c r="N40" s="27"/>
      <c r="O40" s="27"/>
      <c r="P40" s="27"/>
      <c r="Q40" s="29"/>
      <c r="R40" s="29"/>
      <c r="S40" s="29"/>
      <c r="T40" s="29"/>
      <c r="U40" s="27"/>
      <c r="V40" s="29"/>
      <c r="W40" s="29"/>
      <c r="X40" s="29"/>
      <c r="Y40" s="31"/>
      <c r="Z40" s="29"/>
      <c r="AA40" s="30"/>
      <c r="AB40" s="32"/>
      <c r="AC40" s="30"/>
      <c r="AD40" s="33"/>
      <c r="AE40" s="29"/>
      <c r="AF40" s="29"/>
      <c r="AG40" s="29"/>
    </row>
    <row r="41" spans="1:33" ht="15" customHeight="1" x14ac:dyDescent="0.25">
      <c r="A41" s="5">
        <v>23</v>
      </c>
      <c r="B41" s="38">
        <v>43985</v>
      </c>
      <c r="C41" s="38">
        <v>43976</v>
      </c>
      <c r="D41" s="38">
        <v>43962</v>
      </c>
      <c r="E41" s="34" t="s">
        <v>441</v>
      </c>
      <c r="F41" s="5">
        <v>10074</v>
      </c>
      <c r="G41" s="5"/>
      <c r="H41" s="5"/>
      <c r="I41" s="5"/>
      <c r="J41" s="21" t="s">
        <v>2995</v>
      </c>
      <c r="K41" s="21" t="s">
        <v>561</v>
      </c>
      <c r="L41" s="6" t="s">
        <v>562</v>
      </c>
      <c r="M41" s="5">
        <v>1</v>
      </c>
      <c r="N41" s="5"/>
      <c r="O41" s="5"/>
      <c r="P41" s="5"/>
      <c r="Q41" s="6" t="s">
        <v>544</v>
      </c>
      <c r="R41" s="6" t="s">
        <v>545</v>
      </c>
      <c r="S41" s="6" t="s">
        <v>544</v>
      </c>
      <c r="T41" s="6"/>
      <c r="U41" s="5" t="s">
        <v>544</v>
      </c>
      <c r="V41" s="6"/>
      <c r="W41" s="6" t="s">
        <v>563</v>
      </c>
      <c r="X41" s="6"/>
      <c r="Y41" s="22"/>
      <c r="Z41" s="6">
        <v>1</v>
      </c>
      <c r="AA41" s="21" t="s">
        <v>564</v>
      </c>
      <c r="AB41" s="23">
        <v>43972</v>
      </c>
      <c r="AC41" s="21" t="s">
        <v>32</v>
      </c>
      <c r="AD41" s="24">
        <v>463.21</v>
      </c>
      <c r="AE41" s="6" t="s">
        <v>36</v>
      </c>
      <c r="AF41" s="6"/>
      <c r="AG41" s="6" t="s">
        <v>3041</v>
      </c>
    </row>
    <row r="42" spans="1:33" ht="7.5" customHeight="1" x14ac:dyDescent="0.25">
      <c r="A42" s="27"/>
      <c r="B42" s="39"/>
      <c r="C42" s="39"/>
      <c r="D42" s="39"/>
      <c r="E42" s="28"/>
      <c r="F42" s="27"/>
      <c r="G42" s="27"/>
      <c r="H42" s="27"/>
      <c r="I42" s="27"/>
      <c r="J42" s="30"/>
      <c r="K42" s="30"/>
      <c r="L42" s="29"/>
      <c r="M42" s="27"/>
      <c r="N42" s="27"/>
      <c r="O42" s="27"/>
      <c r="P42" s="27"/>
      <c r="Q42" s="29"/>
      <c r="R42" s="29"/>
      <c r="S42" s="29"/>
      <c r="T42" s="29"/>
      <c r="U42" s="27"/>
      <c r="V42" s="29"/>
      <c r="W42" s="29"/>
      <c r="X42" s="29"/>
      <c r="Y42" s="31"/>
      <c r="Z42" s="29"/>
      <c r="AA42" s="30"/>
      <c r="AB42" s="32"/>
      <c r="AC42" s="30"/>
      <c r="AD42" s="33"/>
      <c r="AE42" s="29"/>
      <c r="AF42" s="29"/>
      <c r="AG42" s="29"/>
    </row>
    <row r="43" spans="1:33" ht="15" customHeight="1" x14ac:dyDescent="0.25">
      <c r="A43" s="5">
        <v>24</v>
      </c>
      <c r="B43" s="38">
        <v>43990</v>
      </c>
      <c r="C43" s="38">
        <v>43976</v>
      </c>
      <c r="D43" s="38">
        <v>43969</v>
      </c>
      <c r="E43" s="35">
        <v>43990</v>
      </c>
      <c r="F43" s="5">
        <v>10657</v>
      </c>
      <c r="G43" s="5"/>
      <c r="H43" s="5"/>
      <c r="I43" s="5"/>
      <c r="J43" s="21" t="s">
        <v>170</v>
      </c>
      <c r="K43" s="21" t="s">
        <v>613</v>
      </c>
      <c r="L43" s="6" t="s">
        <v>614</v>
      </c>
      <c r="M43" s="5">
        <v>10</v>
      </c>
      <c r="N43" s="5"/>
      <c r="O43" s="5"/>
      <c r="P43" s="5"/>
      <c r="Q43" s="6"/>
      <c r="R43" s="6" t="s">
        <v>545</v>
      </c>
      <c r="S43" s="6"/>
      <c r="T43" s="6"/>
      <c r="U43" s="5"/>
      <c r="V43" s="6"/>
      <c r="W43" s="6" t="s">
        <v>615</v>
      </c>
      <c r="X43" s="6"/>
      <c r="Y43" s="22"/>
      <c r="Z43" s="6">
        <v>0.28999999999999998</v>
      </c>
      <c r="AA43" s="21" t="s">
        <v>616</v>
      </c>
      <c r="AB43" s="23"/>
      <c r="AC43" s="21" t="s">
        <v>32</v>
      </c>
      <c r="AD43" s="24">
        <v>2722.51</v>
      </c>
      <c r="AE43" s="6" t="s">
        <v>31</v>
      </c>
      <c r="AF43" s="6"/>
      <c r="AG43" s="6" t="s">
        <v>3042</v>
      </c>
    </row>
    <row r="44" spans="1:33" ht="7.5" customHeight="1" x14ac:dyDescent="0.25">
      <c r="A44" s="27"/>
      <c r="B44" s="39"/>
      <c r="C44" s="39"/>
      <c r="D44" s="39"/>
      <c r="E44" s="28"/>
      <c r="F44" s="27"/>
      <c r="G44" s="27"/>
      <c r="H44" s="27"/>
      <c r="I44" s="27"/>
      <c r="J44" s="30"/>
      <c r="K44" s="30"/>
      <c r="L44" s="29"/>
      <c r="M44" s="27"/>
      <c r="N44" s="27"/>
      <c r="O44" s="27"/>
      <c r="P44" s="27"/>
      <c r="Q44" s="29"/>
      <c r="R44" s="29"/>
      <c r="S44" s="29"/>
      <c r="T44" s="29"/>
      <c r="U44" s="27"/>
      <c r="V44" s="29"/>
      <c r="W44" s="29"/>
      <c r="X44" s="29"/>
      <c r="Y44" s="31"/>
      <c r="Z44" s="29"/>
      <c r="AA44" s="30"/>
      <c r="AB44" s="32"/>
      <c r="AC44" s="30"/>
      <c r="AD44" s="33"/>
      <c r="AE44" s="29"/>
      <c r="AF44" s="29"/>
      <c r="AG44" s="29"/>
    </row>
    <row r="45" spans="1:33" ht="15" customHeight="1" x14ac:dyDescent="0.25">
      <c r="A45" s="5">
        <v>25</v>
      </c>
      <c r="B45" s="38">
        <v>44001</v>
      </c>
      <c r="C45" s="38">
        <v>43976</v>
      </c>
      <c r="D45" s="38">
        <v>43965</v>
      </c>
      <c r="E45" s="36">
        <v>44001</v>
      </c>
      <c r="F45" s="5">
        <v>3004</v>
      </c>
      <c r="G45" s="5"/>
      <c r="H45" s="5"/>
      <c r="I45" s="5"/>
      <c r="J45" s="21" t="s">
        <v>93</v>
      </c>
      <c r="K45" s="21" t="s">
        <v>675</v>
      </c>
      <c r="L45" s="6" t="s">
        <v>676</v>
      </c>
      <c r="M45" s="5" t="s">
        <v>677</v>
      </c>
      <c r="N45" s="5"/>
      <c r="O45" s="5"/>
      <c r="P45" s="5"/>
      <c r="Q45" s="6" t="s">
        <v>541</v>
      </c>
      <c r="R45" s="6" t="s">
        <v>678</v>
      </c>
      <c r="S45" s="6" t="s">
        <v>541</v>
      </c>
      <c r="T45" s="6" t="s">
        <v>541</v>
      </c>
      <c r="U45" s="5" t="s">
        <v>541</v>
      </c>
      <c r="V45" s="6" t="s">
        <v>541</v>
      </c>
      <c r="W45" s="6" t="s">
        <v>107</v>
      </c>
      <c r="X45" s="6" t="s">
        <v>541</v>
      </c>
      <c r="Y45" s="22" t="s">
        <v>541</v>
      </c>
      <c r="Z45" s="6" t="s">
        <v>541</v>
      </c>
      <c r="AA45" s="21" t="s">
        <v>679</v>
      </c>
      <c r="AB45" s="23"/>
      <c r="AC45" s="21" t="s">
        <v>33</v>
      </c>
      <c r="AD45" s="24" t="s">
        <v>680</v>
      </c>
      <c r="AE45" s="6" t="s">
        <v>38</v>
      </c>
      <c r="AF45" s="6"/>
      <c r="AG45" s="6" t="s">
        <v>3042</v>
      </c>
    </row>
    <row r="46" spans="1:33" ht="7.5" customHeight="1" x14ac:dyDescent="0.25">
      <c r="A46" s="27"/>
      <c r="B46" s="39"/>
      <c r="C46" s="39"/>
      <c r="D46" s="39"/>
      <c r="E46" s="28"/>
      <c r="F46" s="27"/>
      <c r="G46" s="27"/>
      <c r="H46" s="27"/>
      <c r="I46" s="27"/>
      <c r="J46" s="30"/>
      <c r="K46" s="30"/>
      <c r="L46" s="29"/>
      <c r="M46" s="27"/>
      <c r="N46" s="27"/>
      <c r="O46" s="27"/>
      <c r="P46" s="27"/>
      <c r="Q46" s="29"/>
      <c r="R46" s="29"/>
      <c r="S46" s="29"/>
      <c r="T46" s="29"/>
      <c r="U46" s="27"/>
      <c r="V46" s="29"/>
      <c r="W46" s="29"/>
      <c r="X46" s="29"/>
      <c r="Y46" s="31"/>
      <c r="Z46" s="29"/>
      <c r="AA46" s="30"/>
      <c r="AB46" s="32"/>
      <c r="AC46" s="30"/>
      <c r="AD46" s="33"/>
      <c r="AE46" s="29"/>
      <c r="AF46" s="29"/>
      <c r="AG46" s="29"/>
    </row>
    <row r="47" spans="1:33" ht="15" customHeight="1" x14ac:dyDescent="0.25">
      <c r="A47" s="5">
        <v>24</v>
      </c>
      <c r="B47" s="38">
        <v>43990</v>
      </c>
      <c r="C47" s="38">
        <v>43976</v>
      </c>
      <c r="D47" s="38">
        <v>43969</v>
      </c>
      <c r="E47" s="35">
        <v>43990</v>
      </c>
      <c r="F47" s="5">
        <v>4756</v>
      </c>
      <c r="G47" s="5"/>
      <c r="H47" s="5"/>
      <c r="I47" s="5"/>
      <c r="J47" s="21" t="s">
        <v>109</v>
      </c>
      <c r="K47" s="21" t="s">
        <v>617</v>
      </c>
      <c r="L47" s="6" t="s">
        <v>618</v>
      </c>
      <c r="M47" s="5">
        <v>11</v>
      </c>
      <c r="N47" s="5"/>
      <c r="O47" s="5"/>
      <c r="P47" s="5"/>
      <c r="Q47" s="6"/>
      <c r="R47" s="6" t="s">
        <v>545</v>
      </c>
      <c r="S47" s="6"/>
      <c r="T47" s="6"/>
      <c r="U47" s="5"/>
      <c r="V47" s="6"/>
      <c r="W47" s="6" t="s">
        <v>619</v>
      </c>
      <c r="X47" s="6"/>
      <c r="Y47" s="22"/>
      <c r="Z47" s="6">
        <v>4.5</v>
      </c>
      <c r="AA47" s="21">
        <v>13869</v>
      </c>
      <c r="AB47" s="23">
        <v>43959</v>
      </c>
      <c r="AC47" s="21" t="s">
        <v>32</v>
      </c>
      <c r="AD47" s="24">
        <v>4762.49</v>
      </c>
      <c r="AE47" s="6" t="s">
        <v>37</v>
      </c>
      <c r="AF47" s="6"/>
      <c r="AG47" s="6" t="s">
        <v>3039</v>
      </c>
    </row>
    <row r="48" spans="1:33" ht="7.5" customHeight="1" x14ac:dyDescent="0.25">
      <c r="A48" s="27"/>
      <c r="B48" s="39"/>
      <c r="C48" s="39"/>
      <c r="D48" s="39"/>
      <c r="E48" s="28"/>
      <c r="F48" s="27"/>
      <c r="G48" s="27"/>
      <c r="H48" s="27"/>
      <c r="I48" s="27"/>
      <c r="J48" s="30"/>
      <c r="K48" s="30"/>
      <c r="L48" s="29"/>
      <c r="M48" s="27"/>
      <c r="N48" s="27"/>
      <c r="O48" s="27"/>
      <c r="P48" s="27"/>
      <c r="Q48" s="29"/>
      <c r="R48" s="29"/>
      <c r="S48" s="29"/>
      <c r="T48" s="29"/>
      <c r="U48" s="27"/>
      <c r="V48" s="29"/>
      <c r="W48" s="29"/>
      <c r="X48" s="29"/>
      <c r="Y48" s="31"/>
      <c r="Z48" s="29"/>
      <c r="AA48" s="30"/>
      <c r="AB48" s="32"/>
      <c r="AC48" s="30"/>
      <c r="AD48" s="33"/>
      <c r="AE48" s="29"/>
      <c r="AF48" s="29"/>
      <c r="AG48" s="29"/>
    </row>
    <row r="49" spans="1:33" ht="15" customHeight="1" x14ac:dyDescent="0.25">
      <c r="A49" s="5">
        <v>25</v>
      </c>
      <c r="B49" s="38">
        <v>43997</v>
      </c>
      <c r="C49" s="38">
        <v>43976</v>
      </c>
      <c r="D49" s="38">
        <v>43969</v>
      </c>
      <c r="E49" s="36">
        <v>43997</v>
      </c>
      <c r="F49" s="5">
        <v>5531</v>
      </c>
      <c r="G49" s="5"/>
      <c r="H49" s="5"/>
      <c r="I49" s="5"/>
      <c r="J49" s="21" t="s">
        <v>131</v>
      </c>
      <c r="K49" s="21" t="s">
        <v>659</v>
      </c>
      <c r="L49" s="6" t="s">
        <v>660</v>
      </c>
      <c r="M49" s="5">
        <v>2</v>
      </c>
      <c r="N49" s="5"/>
      <c r="O49" s="5"/>
      <c r="P49" s="5"/>
      <c r="Q49" s="6"/>
      <c r="R49" s="6" t="s">
        <v>545</v>
      </c>
      <c r="S49" s="6"/>
      <c r="T49" s="6"/>
      <c r="U49" s="5"/>
      <c r="V49" s="6"/>
      <c r="W49" s="6" t="s">
        <v>183</v>
      </c>
      <c r="X49" s="6"/>
      <c r="Y49" s="22"/>
      <c r="Z49" s="6"/>
      <c r="AA49" s="21"/>
      <c r="AB49" s="23"/>
      <c r="AC49" s="21" t="s">
        <v>30</v>
      </c>
      <c r="AD49" s="24">
        <v>779.79</v>
      </c>
      <c r="AE49" s="6" t="s">
        <v>38</v>
      </c>
      <c r="AF49" s="6"/>
      <c r="AG49" s="6" t="s">
        <v>3040</v>
      </c>
    </row>
    <row r="50" spans="1:33" ht="7.5" customHeight="1" x14ac:dyDescent="0.25">
      <c r="A50" s="27"/>
      <c r="B50" s="39"/>
      <c r="C50" s="39"/>
      <c r="D50" s="39"/>
      <c r="E50" s="28"/>
      <c r="F50" s="27"/>
      <c r="G50" s="27"/>
      <c r="H50" s="27"/>
      <c r="I50" s="27"/>
      <c r="J50" s="30"/>
      <c r="K50" s="30"/>
      <c r="L50" s="29"/>
      <c r="M50" s="27"/>
      <c r="N50" s="27"/>
      <c r="O50" s="27"/>
      <c r="P50" s="27"/>
      <c r="Q50" s="29"/>
      <c r="R50" s="29"/>
      <c r="S50" s="29"/>
      <c r="T50" s="29"/>
      <c r="U50" s="27"/>
      <c r="V50" s="29"/>
      <c r="W50" s="29"/>
      <c r="X50" s="29"/>
      <c r="Y50" s="31"/>
      <c r="Z50" s="29"/>
      <c r="AA50" s="30"/>
      <c r="AB50" s="32"/>
      <c r="AC50" s="30"/>
      <c r="AD50" s="33"/>
      <c r="AE50" s="29"/>
      <c r="AF50" s="29"/>
      <c r="AG50" s="29"/>
    </row>
    <row r="51" spans="1:33" ht="15" customHeight="1" x14ac:dyDescent="0.25">
      <c r="A51" s="5">
        <v>24</v>
      </c>
      <c r="B51" s="38">
        <v>43990</v>
      </c>
      <c r="C51" s="38">
        <v>43976</v>
      </c>
      <c r="D51" s="38">
        <v>43969</v>
      </c>
      <c r="E51" s="35">
        <v>43990</v>
      </c>
      <c r="F51" s="5">
        <v>7732</v>
      </c>
      <c r="G51" s="5"/>
      <c r="H51" s="5"/>
      <c r="I51" s="5"/>
      <c r="J51" s="21" t="s">
        <v>214</v>
      </c>
      <c r="K51" s="21" t="s">
        <v>622</v>
      </c>
      <c r="L51" s="6" t="s">
        <v>623</v>
      </c>
      <c r="M51" s="5">
        <v>7</v>
      </c>
      <c r="N51" s="5"/>
      <c r="O51" s="5"/>
      <c r="P51" s="5"/>
      <c r="Q51" s="6"/>
      <c r="R51" s="6" t="s">
        <v>223</v>
      </c>
      <c r="S51" s="6"/>
      <c r="T51" s="6"/>
      <c r="U51" s="5"/>
      <c r="V51" s="6"/>
      <c r="W51" s="6" t="s">
        <v>624</v>
      </c>
      <c r="X51" s="6"/>
      <c r="Y51" s="22"/>
      <c r="Z51" s="6">
        <v>2.2200000000000002</v>
      </c>
      <c r="AA51" s="21" t="s">
        <v>625</v>
      </c>
      <c r="AB51" s="23">
        <v>43970</v>
      </c>
      <c r="AC51" s="21" t="s">
        <v>32</v>
      </c>
      <c r="AD51" s="24">
        <v>2255.4899999999998</v>
      </c>
      <c r="AE51" s="6" t="s">
        <v>31</v>
      </c>
      <c r="AF51" s="6"/>
      <c r="AG51" s="6" t="s">
        <v>3041</v>
      </c>
    </row>
    <row r="52" spans="1:33" ht="7.5" customHeight="1" x14ac:dyDescent="0.25">
      <c r="A52" s="27"/>
      <c r="B52" s="39"/>
      <c r="C52" s="39"/>
      <c r="D52" s="39"/>
      <c r="E52" s="28"/>
      <c r="F52" s="27"/>
      <c r="G52" s="27"/>
      <c r="H52" s="27"/>
      <c r="I52" s="27"/>
      <c r="J52" s="30"/>
      <c r="K52" s="30"/>
      <c r="L52" s="29"/>
      <c r="M52" s="27"/>
      <c r="N52" s="27"/>
      <c r="O52" s="27"/>
      <c r="P52" s="27"/>
      <c r="Q52" s="29"/>
      <c r="R52" s="29"/>
      <c r="S52" s="29"/>
      <c r="T52" s="29"/>
      <c r="U52" s="27"/>
      <c r="V52" s="29"/>
      <c r="W52" s="29"/>
      <c r="X52" s="29"/>
      <c r="Y52" s="31"/>
      <c r="Z52" s="29"/>
      <c r="AA52" s="30"/>
      <c r="AB52" s="32"/>
      <c r="AC52" s="30"/>
      <c r="AD52" s="33"/>
      <c r="AE52" s="29"/>
      <c r="AF52" s="29"/>
      <c r="AG52" s="29"/>
    </row>
    <row r="53" spans="1:33" ht="15" customHeight="1" x14ac:dyDescent="0.25">
      <c r="A53" s="5">
        <v>23</v>
      </c>
      <c r="B53" s="38">
        <v>43985</v>
      </c>
      <c r="C53" s="38">
        <v>43976</v>
      </c>
      <c r="D53" s="38">
        <v>43900</v>
      </c>
      <c r="E53" s="34">
        <v>43985</v>
      </c>
      <c r="F53" s="5">
        <v>8609</v>
      </c>
      <c r="G53" s="5"/>
      <c r="H53" s="5"/>
      <c r="I53" s="5"/>
      <c r="J53" s="21" t="s">
        <v>147</v>
      </c>
      <c r="K53" s="21" t="s">
        <v>584</v>
      </c>
      <c r="L53" s="6" t="s">
        <v>585</v>
      </c>
      <c r="M53" s="5">
        <v>4</v>
      </c>
      <c r="N53" s="5"/>
      <c r="O53" s="5"/>
      <c r="P53" s="5"/>
      <c r="Q53" s="6"/>
      <c r="R53" s="6" t="s">
        <v>560</v>
      </c>
      <c r="S53" s="6"/>
      <c r="T53" s="6"/>
      <c r="U53" s="5"/>
      <c r="V53" s="6"/>
      <c r="W53" s="6" t="s">
        <v>586</v>
      </c>
      <c r="X53" s="6"/>
      <c r="Y53" s="22"/>
      <c r="Z53" s="6"/>
      <c r="AA53" s="21"/>
      <c r="AB53" s="23">
        <v>43850</v>
      </c>
      <c r="AC53" s="21" t="s">
        <v>32</v>
      </c>
      <c r="AD53" s="24">
        <v>20218.490000000002</v>
      </c>
      <c r="AE53" s="6" t="s">
        <v>37</v>
      </c>
      <c r="AF53" s="6"/>
      <c r="AG53" s="6" t="s">
        <v>3042</v>
      </c>
    </row>
    <row r="54" spans="1:33" ht="7.5" customHeight="1" x14ac:dyDescent="0.25">
      <c r="A54" s="27"/>
      <c r="B54" s="39"/>
      <c r="C54" s="39"/>
      <c r="D54" s="39"/>
      <c r="E54" s="28"/>
      <c r="F54" s="27"/>
      <c r="G54" s="27"/>
      <c r="H54" s="27"/>
      <c r="I54" s="27"/>
      <c r="J54" s="30"/>
      <c r="K54" s="30"/>
      <c r="L54" s="29"/>
      <c r="M54" s="27"/>
      <c r="N54" s="27"/>
      <c r="O54" s="27"/>
      <c r="P54" s="27"/>
      <c r="Q54" s="29"/>
      <c r="R54" s="29"/>
      <c r="S54" s="29"/>
      <c r="T54" s="29"/>
      <c r="U54" s="27"/>
      <c r="V54" s="29"/>
      <c r="W54" s="29"/>
      <c r="X54" s="29"/>
      <c r="Y54" s="31"/>
      <c r="Z54" s="29"/>
      <c r="AA54" s="30"/>
      <c r="AB54" s="32"/>
      <c r="AC54" s="30"/>
      <c r="AD54" s="33"/>
      <c r="AE54" s="29"/>
      <c r="AF54" s="29"/>
      <c r="AG54" s="29"/>
    </row>
    <row r="55" spans="1:33" ht="15" customHeight="1" x14ac:dyDescent="0.25">
      <c r="A55" s="5">
        <v>26</v>
      </c>
      <c r="B55" s="38">
        <v>44006</v>
      </c>
      <c r="C55" s="38">
        <v>43976</v>
      </c>
      <c r="D55" s="38">
        <v>43969</v>
      </c>
      <c r="E55" s="28">
        <v>44006</v>
      </c>
      <c r="F55" s="5">
        <v>8684</v>
      </c>
      <c r="G55" s="5"/>
      <c r="H55" s="5"/>
      <c r="I55" s="5"/>
      <c r="J55" s="21" t="s">
        <v>147</v>
      </c>
      <c r="K55" s="21" t="s">
        <v>652</v>
      </c>
      <c r="L55" s="6" t="s">
        <v>653</v>
      </c>
      <c r="M55" s="5">
        <v>3</v>
      </c>
      <c r="N55" s="5"/>
      <c r="O55" s="5"/>
      <c r="P55" s="5"/>
      <c r="Q55" s="6"/>
      <c r="R55" s="6" t="s">
        <v>560</v>
      </c>
      <c r="S55" s="6"/>
      <c r="T55" s="6"/>
      <c r="U55" s="5"/>
      <c r="V55" s="6"/>
      <c r="W55" s="6" t="s">
        <v>655</v>
      </c>
      <c r="X55" s="6"/>
      <c r="Y55" s="22"/>
      <c r="Z55" s="6"/>
      <c r="AA55" s="21"/>
      <c r="AB55" s="23">
        <v>43963</v>
      </c>
      <c r="AC55" s="21" t="s">
        <v>33</v>
      </c>
      <c r="AD55" s="24">
        <v>5921.03</v>
      </c>
      <c r="AE55" s="6" t="s">
        <v>35</v>
      </c>
      <c r="AF55" s="6"/>
      <c r="AG55" s="6" t="s">
        <v>3039</v>
      </c>
    </row>
    <row r="56" spans="1:33" ht="7.5" customHeight="1" x14ac:dyDescent="0.25">
      <c r="A56" s="27"/>
      <c r="B56" s="39"/>
      <c r="C56" s="39"/>
      <c r="D56" s="39"/>
      <c r="E56" s="28"/>
      <c r="F56" s="27"/>
      <c r="G56" s="27"/>
      <c r="H56" s="27"/>
      <c r="I56" s="27"/>
      <c r="J56" s="30"/>
      <c r="K56" s="30"/>
      <c r="L56" s="29"/>
      <c r="M56" s="27"/>
      <c r="N56" s="27"/>
      <c r="O56" s="27"/>
      <c r="P56" s="27"/>
      <c r="Q56" s="29"/>
      <c r="R56" s="29"/>
      <c r="S56" s="29"/>
      <c r="T56" s="29"/>
      <c r="U56" s="27"/>
      <c r="V56" s="29"/>
      <c r="W56" s="29"/>
      <c r="X56" s="29"/>
      <c r="Y56" s="31"/>
      <c r="Z56" s="29"/>
      <c r="AA56" s="30"/>
      <c r="AB56" s="32"/>
      <c r="AC56" s="30"/>
      <c r="AD56" s="33"/>
      <c r="AE56" s="29"/>
      <c r="AF56" s="29"/>
      <c r="AG56" s="29"/>
    </row>
    <row r="57" spans="1:33" ht="15" customHeight="1" x14ac:dyDescent="0.25">
      <c r="A57" s="5">
        <v>24</v>
      </c>
      <c r="B57" s="38">
        <v>43990</v>
      </c>
      <c r="C57" s="38">
        <v>43976</v>
      </c>
      <c r="D57" s="38">
        <v>43969</v>
      </c>
      <c r="E57" s="35">
        <v>43990</v>
      </c>
      <c r="F57" s="5">
        <v>9636</v>
      </c>
      <c r="G57" s="5"/>
      <c r="H57" s="5"/>
      <c r="I57" s="5"/>
      <c r="J57" s="21" t="s">
        <v>159</v>
      </c>
      <c r="K57" s="21">
        <v>256631</v>
      </c>
      <c r="L57" s="6" t="s">
        <v>631</v>
      </c>
      <c r="M57" s="5">
        <v>10</v>
      </c>
      <c r="N57" s="5"/>
      <c r="O57" s="5"/>
      <c r="P57" s="5"/>
      <c r="Q57" s="6"/>
      <c r="R57" s="6" t="s">
        <v>107</v>
      </c>
      <c r="S57" s="6"/>
      <c r="T57" s="6"/>
      <c r="U57" s="5"/>
      <c r="V57" s="6"/>
      <c r="W57" s="6" t="s">
        <v>107</v>
      </c>
      <c r="X57" s="6"/>
      <c r="Y57" s="22"/>
      <c r="Z57" s="6"/>
      <c r="AA57" s="21">
        <v>256631</v>
      </c>
      <c r="AB57" s="23"/>
      <c r="AC57" s="21" t="s">
        <v>32</v>
      </c>
      <c r="AD57" s="24">
        <v>3424.93</v>
      </c>
      <c r="AE57" s="6" t="s">
        <v>35</v>
      </c>
      <c r="AF57" s="6"/>
      <c r="AG57" s="6" t="s">
        <v>3040</v>
      </c>
    </row>
    <row r="58" spans="1:33" ht="7.5" customHeight="1" x14ac:dyDescent="0.25">
      <c r="A58" s="27"/>
      <c r="B58" s="39"/>
      <c r="C58" s="39"/>
      <c r="D58" s="39"/>
      <c r="E58" s="28"/>
      <c r="F58" s="27"/>
      <c r="G58" s="27"/>
      <c r="H58" s="27"/>
      <c r="I58" s="27"/>
      <c r="J58" s="30"/>
      <c r="K58" s="30"/>
      <c r="L58" s="29"/>
      <c r="M58" s="27"/>
      <c r="N58" s="27"/>
      <c r="O58" s="27"/>
      <c r="P58" s="27"/>
      <c r="Q58" s="29"/>
      <c r="R58" s="29"/>
      <c r="S58" s="29"/>
      <c r="T58" s="29"/>
      <c r="U58" s="27"/>
      <c r="V58" s="29"/>
      <c r="W58" s="29"/>
      <c r="X58" s="29"/>
      <c r="Y58" s="31"/>
      <c r="Z58" s="29"/>
      <c r="AA58" s="30"/>
      <c r="AB58" s="32"/>
      <c r="AC58" s="30"/>
      <c r="AD58" s="33"/>
      <c r="AE58" s="29"/>
      <c r="AF58" s="29"/>
      <c r="AG58" s="29"/>
    </row>
    <row r="59" spans="1:33" ht="15" customHeight="1" x14ac:dyDescent="0.25">
      <c r="A59" s="5">
        <v>24</v>
      </c>
      <c r="B59" s="38">
        <v>43994</v>
      </c>
      <c r="C59" s="38">
        <v>43978</v>
      </c>
      <c r="D59" s="38">
        <v>43894</v>
      </c>
      <c r="E59" s="35">
        <v>43994</v>
      </c>
      <c r="F59" s="5">
        <v>2375</v>
      </c>
      <c r="G59" s="5"/>
      <c r="H59" s="5"/>
      <c r="I59" s="5"/>
      <c r="J59" s="21" t="s">
        <v>231</v>
      </c>
      <c r="K59" s="21" t="s">
        <v>644</v>
      </c>
      <c r="L59" s="6" t="s">
        <v>645</v>
      </c>
      <c r="M59" s="5">
        <v>12</v>
      </c>
      <c r="N59" s="5"/>
      <c r="O59" s="5"/>
      <c r="P59" s="5"/>
      <c r="Q59" s="6"/>
      <c r="R59" s="6" t="s">
        <v>545</v>
      </c>
      <c r="S59" s="6"/>
      <c r="T59" s="6"/>
      <c r="U59" s="5"/>
      <c r="V59" s="6"/>
      <c r="W59" s="6" t="s">
        <v>646</v>
      </c>
      <c r="X59" s="6"/>
      <c r="Y59" s="22"/>
      <c r="Z59" s="6"/>
      <c r="AA59" s="21"/>
      <c r="AB59" s="23">
        <v>43893</v>
      </c>
      <c r="AC59" s="21" t="s">
        <v>30</v>
      </c>
      <c r="AD59" s="24">
        <v>7977.22</v>
      </c>
      <c r="AE59" s="6" t="s">
        <v>38</v>
      </c>
      <c r="AF59" s="6"/>
      <c r="AG59" s="6" t="s">
        <v>3039</v>
      </c>
    </row>
    <row r="60" spans="1:33" ht="7.5" customHeight="1" x14ac:dyDescent="0.25">
      <c r="A60" s="27"/>
      <c r="B60" s="39"/>
      <c r="C60" s="39"/>
      <c r="D60" s="39"/>
      <c r="E60" s="28"/>
      <c r="F60" s="27"/>
      <c r="G60" s="27"/>
      <c r="H60" s="27"/>
      <c r="I60" s="27"/>
      <c r="J60" s="30"/>
      <c r="K60" s="30"/>
      <c r="L60" s="29"/>
      <c r="M60" s="27"/>
      <c r="N60" s="27"/>
      <c r="O60" s="27"/>
      <c r="P60" s="27"/>
      <c r="Q60" s="29"/>
      <c r="R60" s="29"/>
      <c r="S60" s="29"/>
      <c r="T60" s="29"/>
      <c r="U60" s="27"/>
      <c r="V60" s="29"/>
      <c r="W60" s="29"/>
      <c r="X60" s="29"/>
      <c r="Y60" s="31"/>
      <c r="Z60" s="29"/>
      <c r="AA60" s="30"/>
      <c r="AB60" s="32"/>
      <c r="AC60" s="30"/>
      <c r="AD60" s="33"/>
      <c r="AE60" s="29"/>
      <c r="AF60" s="29"/>
      <c r="AG60" s="29"/>
    </row>
    <row r="61" spans="1:33" ht="15" customHeight="1" x14ac:dyDescent="0.25">
      <c r="A61" s="5">
        <v>24</v>
      </c>
      <c r="B61" s="38">
        <v>43992</v>
      </c>
      <c r="C61" s="38">
        <v>43978</v>
      </c>
      <c r="D61" s="38">
        <v>43971</v>
      </c>
      <c r="E61" s="35">
        <v>43992</v>
      </c>
      <c r="F61" s="5">
        <v>10656</v>
      </c>
      <c r="G61" s="5"/>
      <c r="H61" s="5"/>
      <c r="I61" s="5"/>
      <c r="J61" s="21" t="s">
        <v>170</v>
      </c>
      <c r="K61" s="21" t="s">
        <v>639</v>
      </c>
      <c r="L61" s="6" t="s">
        <v>640</v>
      </c>
      <c r="M61" s="5">
        <v>11</v>
      </c>
      <c r="N61" s="5"/>
      <c r="O61" s="5"/>
      <c r="P61" s="5"/>
      <c r="Q61" s="6"/>
      <c r="R61" s="6" t="s">
        <v>545</v>
      </c>
      <c r="S61" s="6"/>
      <c r="T61" s="6"/>
      <c r="U61" s="5"/>
      <c r="V61" s="6"/>
      <c r="W61" s="6" t="s">
        <v>173</v>
      </c>
      <c r="X61" s="6"/>
      <c r="Y61" s="22"/>
      <c r="Z61" s="6">
        <v>2</v>
      </c>
      <c r="AA61" s="21" t="s">
        <v>641</v>
      </c>
      <c r="AB61" s="23">
        <v>43970</v>
      </c>
      <c r="AC61" s="21" t="s">
        <v>32</v>
      </c>
      <c r="AD61" s="24">
        <v>3028.02</v>
      </c>
      <c r="AE61" s="6" t="s">
        <v>36</v>
      </c>
      <c r="AF61" s="6"/>
      <c r="AG61" s="6" t="s">
        <v>3040</v>
      </c>
    </row>
    <row r="62" spans="1:33" ht="15" customHeight="1" x14ac:dyDescent="0.25">
      <c r="A62" s="5">
        <v>24</v>
      </c>
      <c r="B62" s="38">
        <v>43992</v>
      </c>
      <c r="C62" s="38">
        <v>43978</v>
      </c>
      <c r="D62" s="38">
        <v>43971</v>
      </c>
      <c r="E62" s="35">
        <v>43992</v>
      </c>
      <c r="F62" s="5">
        <v>6674</v>
      </c>
      <c r="G62" s="5"/>
      <c r="H62" s="5"/>
      <c r="I62" s="5"/>
      <c r="J62" s="21" t="s">
        <v>191</v>
      </c>
      <c r="K62" s="21" t="s">
        <v>642</v>
      </c>
      <c r="L62" s="6" t="s">
        <v>250</v>
      </c>
      <c r="M62" s="5">
        <v>14</v>
      </c>
      <c r="N62" s="5"/>
      <c r="O62" s="5"/>
      <c r="P62" s="5"/>
      <c r="Q62" s="6"/>
      <c r="R62" s="6" t="s">
        <v>194</v>
      </c>
      <c r="S62" s="6"/>
      <c r="T62" s="6"/>
      <c r="U62" s="5"/>
      <c r="V62" s="6"/>
      <c r="W62" s="6" t="s">
        <v>347</v>
      </c>
      <c r="X62" s="6"/>
      <c r="Y62" s="22"/>
      <c r="Z62" s="6">
        <v>4.5</v>
      </c>
      <c r="AA62" s="21"/>
      <c r="AB62" s="23">
        <v>43963</v>
      </c>
      <c r="AC62" s="21" t="s">
        <v>32</v>
      </c>
      <c r="AD62" s="24">
        <v>5685.66</v>
      </c>
      <c r="AE62" s="6" t="s">
        <v>31</v>
      </c>
      <c r="AF62" s="6"/>
      <c r="AG62" s="6" t="s">
        <v>3041</v>
      </c>
    </row>
    <row r="63" spans="1:33" ht="7.5" customHeight="1" x14ac:dyDescent="0.25">
      <c r="A63" s="27"/>
      <c r="B63" s="39"/>
      <c r="C63" s="39"/>
      <c r="D63" s="39"/>
      <c r="E63" s="28"/>
      <c r="F63" s="27"/>
      <c r="G63" s="27"/>
      <c r="H63" s="27"/>
      <c r="I63" s="27"/>
      <c r="J63" s="30"/>
      <c r="K63" s="30"/>
      <c r="L63" s="29"/>
      <c r="M63" s="27"/>
      <c r="N63" s="27"/>
      <c r="O63" s="27"/>
      <c r="P63" s="27"/>
      <c r="Q63" s="29"/>
      <c r="R63" s="29"/>
      <c r="S63" s="29"/>
      <c r="T63" s="29"/>
      <c r="U63" s="27"/>
      <c r="V63" s="29"/>
      <c r="W63" s="29"/>
      <c r="X63" s="29"/>
      <c r="Y63" s="31"/>
      <c r="Z63" s="29"/>
      <c r="AA63" s="30"/>
      <c r="AB63" s="32"/>
      <c r="AC63" s="30"/>
      <c r="AD63" s="33"/>
      <c r="AE63" s="29"/>
      <c r="AF63" s="29"/>
      <c r="AG63" s="29"/>
    </row>
    <row r="64" spans="1:33" ht="15" customHeight="1" x14ac:dyDescent="0.25">
      <c r="A64" s="5">
        <v>24</v>
      </c>
      <c r="B64" s="38">
        <v>43994</v>
      </c>
      <c r="C64" s="38">
        <v>43978</v>
      </c>
      <c r="D64" s="38">
        <v>43950</v>
      </c>
      <c r="E64" s="35">
        <v>43994</v>
      </c>
      <c r="F64" s="5">
        <v>8662</v>
      </c>
      <c r="G64" s="5"/>
      <c r="H64" s="5"/>
      <c r="I64" s="5"/>
      <c r="J64" s="21" t="s">
        <v>147</v>
      </c>
      <c r="K64" s="21" t="s">
        <v>650</v>
      </c>
      <c r="L64" s="6" t="s">
        <v>603</v>
      </c>
      <c r="M64" s="5">
        <v>16</v>
      </c>
      <c r="N64" s="5"/>
      <c r="O64" s="5"/>
      <c r="P64" s="5"/>
      <c r="Q64" s="6"/>
      <c r="R64" s="6" t="s">
        <v>651</v>
      </c>
      <c r="S64" s="6"/>
      <c r="T64" s="6"/>
      <c r="U64" s="5"/>
      <c r="V64" s="6"/>
      <c r="W64" s="6" t="s">
        <v>604</v>
      </c>
      <c r="X64" s="6"/>
      <c r="Y64" s="22"/>
      <c r="Z64" s="6"/>
      <c r="AA64" s="21"/>
      <c r="AB64" s="23">
        <v>43902</v>
      </c>
      <c r="AC64" s="21" t="s">
        <v>30</v>
      </c>
      <c r="AD64" s="24"/>
      <c r="AE64" s="6" t="s">
        <v>36</v>
      </c>
      <c r="AF64" s="6"/>
      <c r="AG64" s="6" t="s">
        <v>3041</v>
      </c>
    </row>
    <row r="65" spans="1:33" ht="7.5" customHeight="1" x14ac:dyDescent="0.25">
      <c r="A65" s="27"/>
      <c r="B65" s="39"/>
      <c r="C65" s="39"/>
      <c r="D65" s="39"/>
      <c r="E65" s="28"/>
      <c r="F65" s="27"/>
      <c r="G65" s="27"/>
      <c r="H65" s="27"/>
      <c r="I65" s="27"/>
      <c r="J65" s="30"/>
      <c r="K65" s="30"/>
      <c r="L65" s="29"/>
      <c r="M65" s="27"/>
      <c r="N65" s="27"/>
      <c r="O65" s="27"/>
      <c r="P65" s="27"/>
      <c r="Q65" s="29"/>
      <c r="R65" s="29"/>
      <c r="S65" s="29"/>
      <c r="T65" s="29"/>
      <c r="U65" s="27"/>
      <c r="V65" s="29"/>
      <c r="W65" s="29"/>
      <c r="X65" s="29"/>
      <c r="Y65" s="31"/>
      <c r="Z65" s="29"/>
      <c r="AA65" s="30"/>
      <c r="AB65" s="32"/>
      <c r="AC65" s="30"/>
      <c r="AD65" s="33"/>
      <c r="AE65" s="29"/>
      <c r="AF65" s="29"/>
      <c r="AG65" s="29"/>
    </row>
    <row r="66" spans="1:33" ht="15" customHeight="1" x14ac:dyDescent="0.25">
      <c r="A66" s="5">
        <v>24</v>
      </c>
      <c r="B66" s="38">
        <v>43990</v>
      </c>
      <c r="C66" s="38">
        <v>43979</v>
      </c>
      <c r="D66" s="38">
        <v>43970</v>
      </c>
      <c r="E66" s="35">
        <v>43990</v>
      </c>
      <c r="F66" s="5">
        <v>2377</v>
      </c>
      <c r="G66" s="5"/>
      <c r="H66" s="5"/>
      <c r="I66" s="5"/>
      <c r="J66" s="21" t="s">
        <v>231</v>
      </c>
      <c r="K66" s="21" t="s">
        <v>609</v>
      </c>
      <c r="L66" s="6" t="s">
        <v>610</v>
      </c>
      <c r="M66" s="5">
        <v>14</v>
      </c>
      <c r="N66" s="5"/>
      <c r="O66" s="5"/>
      <c r="P66" s="5"/>
      <c r="Q66" s="6"/>
      <c r="R66" s="6" t="s">
        <v>545</v>
      </c>
      <c r="S66" s="6"/>
      <c r="T66" s="6"/>
      <c r="U66" s="5"/>
      <c r="V66" s="6"/>
      <c r="W66" s="6" t="s">
        <v>611</v>
      </c>
      <c r="X66" s="6"/>
      <c r="Y66" s="22"/>
      <c r="Z66" s="6"/>
      <c r="AA66" s="21" t="s">
        <v>612</v>
      </c>
      <c r="AB66" s="23">
        <v>43962</v>
      </c>
      <c r="AC66" s="21" t="s">
        <v>32</v>
      </c>
      <c r="AD66" s="24">
        <v>15330.32</v>
      </c>
      <c r="AE66" s="6" t="s">
        <v>31</v>
      </c>
      <c r="AF66" s="6"/>
      <c r="AG66" s="6" t="s">
        <v>3041</v>
      </c>
    </row>
    <row r="67" spans="1:33" ht="7.5" customHeight="1" x14ac:dyDescent="0.25">
      <c r="A67" s="27"/>
      <c r="B67" s="39"/>
      <c r="C67" s="39"/>
      <c r="D67" s="39"/>
      <c r="E67" s="28"/>
      <c r="F67" s="27"/>
      <c r="G67" s="27"/>
      <c r="H67" s="27"/>
      <c r="I67" s="27"/>
      <c r="J67" s="30"/>
      <c r="K67" s="30"/>
      <c r="L67" s="29"/>
      <c r="M67" s="27"/>
      <c r="N67" s="27"/>
      <c r="O67" s="27"/>
      <c r="P67" s="27"/>
      <c r="Q67" s="29"/>
      <c r="R67" s="29"/>
      <c r="S67" s="29"/>
      <c r="T67" s="29"/>
      <c r="U67" s="27"/>
      <c r="V67" s="29"/>
      <c r="W67" s="29"/>
      <c r="X67" s="29"/>
      <c r="Y67" s="31"/>
      <c r="Z67" s="29"/>
      <c r="AA67" s="30"/>
      <c r="AB67" s="32"/>
      <c r="AC67" s="30"/>
      <c r="AD67" s="33"/>
      <c r="AE67" s="29"/>
      <c r="AF67" s="29"/>
      <c r="AG67" s="29"/>
    </row>
    <row r="68" spans="1:33" ht="15" customHeight="1" x14ac:dyDescent="0.25">
      <c r="A68" s="5">
        <v>25</v>
      </c>
      <c r="B68" s="38">
        <v>43998</v>
      </c>
      <c r="C68" s="38">
        <v>43980</v>
      </c>
      <c r="D68" s="38">
        <v>43965</v>
      </c>
      <c r="E68" s="36">
        <v>43998</v>
      </c>
      <c r="F68" s="5">
        <v>1600</v>
      </c>
      <c r="G68" s="5"/>
      <c r="H68" s="5"/>
      <c r="I68" s="5"/>
      <c r="J68" s="21" t="s">
        <v>372</v>
      </c>
      <c r="K68" s="21" t="s">
        <v>661</v>
      </c>
      <c r="L68" s="6" t="s">
        <v>662</v>
      </c>
      <c r="M68" s="5">
        <v>10</v>
      </c>
      <c r="N68" s="5"/>
      <c r="O68" s="5"/>
      <c r="P68" s="5"/>
      <c r="Q68" s="6"/>
      <c r="R68" s="6" t="s">
        <v>560</v>
      </c>
      <c r="S68" s="6"/>
      <c r="T68" s="6"/>
      <c r="U68" s="5"/>
      <c r="V68" s="6"/>
      <c r="W68" s="6" t="s">
        <v>663</v>
      </c>
      <c r="X68" s="6"/>
      <c r="Y68" s="22"/>
      <c r="Z68" s="6"/>
      <c r="AA68" s="21" t="s">
        <v>664</v>
      </c>
      <c r="AB68" s="23">
        <v>43907</v>
      </c>
      <c r="AC68" s="21" t="s">
        <v>30</v>
      </c>
      <c r="AD68" s="24">
        <v>11633.35</v>
      </c>
      <c r="AE68" s="6" t="s">
        <v>31</v>
      </c>
      <c r="AF68" s="6"/>
      <c r="AG68" s="6" t="s">
        <v>3041</v>
      </c>
    </row>
    <row r="69" spans="1:33" ht="15" customHeight="1" x14ac:dyDescent="0.25">
      <c r="A69" s="5">
        <v>25</v>
      </c>
      <c r="B69" s="38">
        <v>43998</v>
      </c>
      <c r="C69" s="38">
        <v>43980</v>
      </c>
      <c r="D69" s="38">
        <v>43965</v>
      </c>
      <c r="E69" s="36">
        <v>43998</v>
      </c>
      <c r="F69" s="5">
        <v>1601</v>
      </c>
      <c r="G69" s="5"/>
      <c r="H69" s="5"/>
      <c r="I69" s="5"/>
      <c r="J69" s="21" t="s">
        <v>372</v>
      </c>
      <c r="K69" s="21" t="s">
        <v>665</v>
      </c>
      <c r="L69" s="6" t="s">
        <v>577</v>
      </c>
      <c r="M69" s="5">
        <v>9</v>
      </c>
      <c r="N69" s="5"/>
      <c r="O69" s="5"/>
      <c r="P69" s="5"/>
      <c r="Q69" s="6"/>
      <c r="R69" s="6" t="s">
        <v>560</v>
      </c>
      <c r="S69" s="6"/>
      <c r="T69" s="6"/>
      <c r="U69" s="5"/>
      <c r="V69" s="6"/>
      <c r="W69" s="6" t="s">
        <v>666</v>
      </c>
      <c r="X69" s="6"/>
      <c r="Y69" s="22"/>
      <c r="Z69" s="6"/>
      <c r="AA69" s="21" t="s">
        <v>664</v>
      </c>
      <c r="AB69" s="23">
        <v>43907</v>
      </c>
      <c r="AC69" s="21" t="s">
        <v>30</v>
      </c>
      <c r="AD69" s="24">
        <v>2775.81</v>
      </c>
      <c r="AE69" s="6" t="s">
        <v>35</v>
      </c>
      <c r="AF69" s="6"/>
      <c r="AG69" s="6" t="s">
        <v>3042</v>
      </c>
    </row>
    <row r="70" spans="1:33" ht="7.5" customHeight="1" x14ac:dyDescent="0.25">
      <c r="A70" s="27"/>
      <c r="B70" s="39"/>
      <c r="C70" s="39"/>
      <c r="D70" s="39"/>
      <c r="E70" s="28"/>
      <c r="F70" s="27"/>
      <c r="G70" s="27"/>
      <c r="H70" s="27"/>
      <c r="I70" s="27"/>
      <c r="J70" s="30"/>
      <c r="K70" s="30"/>
      <c r="L70" s="29"/>
      <c r="M70" s="27"/>
      <c r="N70" s="27"/>
      <c r="O70" s="27"/>
      <c r="P70" s="27"/>
      <c r="Q70" s="29"/>
      <c r="R70" s="29"/>
      <c r="S70" s="29"/>
      <c r="T70" s="29"/>
      <c r="U70" s="27"/>
      <c r="V70" s="29"/>
      <c r="W70" s="29"/>
      <c r="X70" s="29"/>
      <c r="Y70" s="31"/>
      <c r="Z70" s="29"/>
      <c r="AA70" s="30"/>
      <c r="AB70" s="32"/>
      <c r="AC70" s="30"/>
      <c r="AD70" s="33"/>
      <c r="AE70" s="29"/>
      <c r="AF70" s="29"/>
      <c r="AG70" s="29"/>
    </row>
    <row r="71" spans="1:33" ht="15" customHeight="1" x14ac:dyDescent="0.25">
      <c r="A71" s="5">
        <v>24</v>
      </c>
      <c r="B71" s="38">
        <v>43992</v>
      </c>
      <c r="C71" s="38">
        <v>43983</v>
      </c>
      <c r="D71" s="38">
        <v>43941</v>
      </c>
      <c r="E71" s="35">
        <v>43992</v>
      </c>
      <c r="F71" s="5">
        <v>6672</v>
      </c>
      <c r="G71" s="5"/>
      <c r="H71" s="5"/>
      <c r="I71" s="5"/>
      <c r="J71" s="21" t="s">
        <v>191</v>
      </c>
      <c r="K71" s="21" t="s">
        <v>643</v>
      </c>
      <c r="L71" s="6" t="s">
        <v>95</v>
      </c>
      <c r="M71" s="5">
        <v>14</v>
      </c>
      <c r="N71" s="5"/>
      <c r="O71" s="5"/>
      <c r="P71" s="5"/>
      <c r="Q71" s="6"/>
      <c r="R71" s="6" t="s">
        <v>194</v>
      </c>
      <c r="S71" s="6"/>
      <c r="T71" s="6"/>
      <c r="U71" s="5"/>
      <c r="V71" s="6"/>
      <c r="W71" s="6" t="s">
        <v>347</v>
      </c>
      <c r="X71" s="6"/>
      <c r="Y71" s="22"/>
      <c r="Z71" s="6">
        <v>2</v>
      </c>
      <c r="AA71" s="21"/>
      <c r="AB71" s="23">
        <v>43913</v>
      </c>
      <c r="AC71" s="21" t="s">
        <v>32</v>
      </c>
      <c r="AD71" s="24">
        <v>4911.18</v>
      </c>
      <c r="AE71" s="6" t="s">
        <v>31</v>
      </c>
      <c r="AF71" s="6"/>
      <c r="AG71" s="6" t="s">
        <v>3042</v>
      </c>
    </row>
    <row r="72" spans="1:33" ht="7.5" customHeight="1" x14ac:dyDescent="0.25">
      <c r="A72" s="27"/>
      <c r="B72" s="39"/>
      <c r="C72" s="39"/>
      <c r="D72" s="39"/>
      <c r="E72" s="28"/>
      <c r="F72" s="27"/>
      <c r="G72" s="27"/>
      <c r="H72" s="27"/>
      <c r="I72" s="27"/>
      <c r="J72" s="30"/>
      <c r="K72" s="30"/>
      <c r="L72" s="29"/>
      <c r="M72" s="27"/>
      <c r="N72" s="27"/>
      <c r="O72" s="27"/>
      <c r="P72" s="27"/>
      <c r="Q72" s="29"/>
      <c r="R72" s="29"/>
      <c r="S72" s="29"/>
      <c r="T72" s="29"/>
      <c r="U72" s="27"/>
      <c r="V72" s="29"/>
      <c r="W72" s="29"/>
      <c r="X72" s="29"/>
      <c r="Y72" s="31"/>
      <c r="Z72" s="29"/>
      <c r="AA72" s="30"/>
      <c r="AB72" s="32"/>
      <c r="AC72" s="30"/>
      <c r="AD72" s="33"/>
      <c r="AE72" s="29"/>
      <c r="AF72" s="29"/>
      <c r="AG72" s="29"/>
    </row>
    <row r="73" spans="1:33" ht="15" customHeight="1" x14ac:dyDescent="0.25">
      <c r="A73" s="5">
        <v>27</v>
      </c>
      <c r="B73" s="38">
        <v>44013</v>
      </c>
      <c r="C73" s="38">
        <v>43983</v>
      </c>
      <c r="D73" s="38">
        <v>43992</v>
      </c>
      <c r="E73" s="37">
        <v>44013</v>
      </c>
      <c r="F73" s="5">
        <v>8700</v>
      </c>
      <c r="G73" s="5" t="s">
        <v>91</v>
      </c>
      <c r="H73" s="5" t="s">
        <v>40</v>
      </c>
      <c r="I73" s="5" t="s">
        <v>92</v>
      </c>
      <c r="J73" s="21" t="s">
        <v>147</v>
      </c>
      <c r="K73" s="21" t="s">
        <v>744</v>
      </c>
      <c r="L73" s="6" t="s">
        <v>745</v>
      </c>
      <c r="M73" s="5">
        <v>5</v>
      </c>
      <c r="N73" s="5" t="s">
        <v>91</v>
      </c>
      <c r="O73" s="5" t="s">
        <v>91</v>
      </c>
      <c r="P73" s="5" t="s">
        <v>91</v>
      </c>
      <c r="Q73" s="6" t="s">
        <v>746</v>
      </c>
      <c r="R73" s="6" t="s">
        <v>747</v>
      </c>
      <c r="S73" s="6" t="s">
        <v>748</v>
      </c>
      <c r="T73" s="6"/>
      <c r="U73" s="5" t="s">
        <v>749</v>
      </c>
      <c r="V73" s="6"/>
      <c r="W73" s="6" t="s">
        <v>750</v>
      </c>
      <c r="X73" s="6" t="s">
        <v>751</v>
      </c>
      <c r="Y73" s="22" t="s">
        <v>752</v>
      </c>
      <c r="Z73" s="6"/>
      <c r="AA73" s="21"/>
      <c r="AB73" s="23">
        <v>44001</v>
      </c>
      <c r="AC73" s="21" t="s">
        <v>30</v>
      </c>
      <c r="AD73" s="24" t="s">
        <v>753</v>
      </c>
      <c r="AE73" s="6" t="s">
        <v>37</v>
      </c>
      <c r="AF73" s="6"/>
      <c r="AG73" s="6" t="s">
        <v>3042</v>
      </c>
    </row>
    <row r="74" spans="1:33" ht="7.5" customHeight="1" x14ac:dyDescent="0.25">
      <c r="A74" s="27"/>
      <c r="B74" s="39"/>
      <c r="C74" s="39"/>
      <c r="D74" s="39"/>
      <c r="E74" s="28"/>
      <c r="F74" s="27"/>
      <c r="G74" s="27"/>
      <c r="H74" s="27"/>
      <c r="I74" s="27"/>
      <c r="J74" s="30"/>
      <c r="K74" s="30"/>
      <c r="L74" s="29"/>
      <c r="M74" s="27"/>
      <c r="N74" s="27"/>
      <c r="O74" s="27"/>
      <c r="P74" s="27"/>
      <c r="Q74" s="29"/>
      <c r="R74" s="29"/>
      <c r="S74" s="29"/>
      <c r="T74" s="29"/>
      <c r="U74" s="27"/>
      <c r="V74" s="29"/>
      <c r="W74" s="29"/>
      <c r="X74" s="29"/>
      <c r="Y74" s="31"/>
      <c r="Z74" s="29"/>
      <c r="AA74" s="30"/>
      <c r="AB74" s="32"/>
      <c r="AC74" s="30"/>
      <c r="AD74" s="33"/>
      <c r="AE74" s="29"/>
      <c r="AF74" s="29"/>
      <c r="AG74" s="29"/>
    </row>
    <row r="75" spans="1:33" ht="15" customHeight="1" x14ac:dyDescent="0.25">
      <c r="A75" s="5">
        <v>25</v>
      </c>
      <c r="B75" s="38">
        <v>44001</v>
      </c>
      <c r="C75" s="38">
        <v>43985</v>
      </c>
      <c r="D75" s="38">
        <v>43964</v>
      </c>
      <c r="E75" s="36">
        <v>44001</v>
      </c>
      <c r="F75" s="5">
        <v>8661</v>
      </c>
      <c r="G75" s="5"/>
      <c r="H75" s="5"/>
      <c r="I75" s="5"/>
      <c r="J75" s="21" t="s">
        <v>147</v>
      </c>
      <c r="K75" s="21" t="s">
        <v>681</v>
      </c>
      <c r="L75" s="6" t="s">
        <v>682</v>
      </c>
      <c r="M75" s="5">
        <v>16</v>
      </c>
      <c r="N75" s="5"/>
      <c r="O75" s="5"/>
      <c r="P75" s="5"/>
      <c r="Q75" s="6"/>
      <c r="R75" s="6" t="s">
        <v>596</v>
      </c>
      <c r="S75" s="6"/>
      <c r="T75" s="6"/>
      <c r="U75" s="5"/>
      <c r="V75" s="6"/>
      <c r="W75" s="6" t="s">
        <v>683</v>
      </c>
      <c r="X75" s="6"/>
      <c r="Y75" s="22"/>
      <c r="Z75" s="6"/>
      <c r="AA75" s="21"/>
      <c r="AB75" s="23">
        <v>43902</v>
      </c>
      <c r="AC75" s="21" t="s">
        <v>30</v>
      </c>
      <c r="AD75" s="24"/>
      <c r="AE75" s="6" t="s">
        <v>31</v>
      </c>
      <c r="AF75" s="6"/>
      <c r="AG75" s="6" t="s">
        <v>3039</v>
      </c>
    </row>
    <row r="76" spans="1:33" ht="15" customHeight="1" x14ac:dyDescent="0.25">
      <c r="A76" s="5">
        <v>25</v>
      </c>
      <c r="B76" s="38">
        <v>44001</v>
      </c>
      <c r="C76" s="38">
        <v>43985</v>
      </c>
      <c r="D76" s="38">
        <v>43969</v>
      </c>
      <c r="E76" s="36">
        <v>44001</v>
      </c>
      <c r="F76" s="5">
        <v>8650</v>
      </c>
      <c r="G76" s="5"/>
      <c r="H76" s="5"/>
      <c r="I76" s="5"/>
      <c r="J76" s="21" t="s">
        <v>147</v>
      </c>
      <c r="K76" s="21" t="s">
        <v>684</v>
      </c>
      <c r="L76" s="6" t="s">
        <v>685</v>
      </c>
      <c r="M76" s="5">
        <v>24</v>
      </c>
      <c r="N76" s="5"/>
      <c r="O76" s="5"/>
      <c r="P76" s="5"/>
      <c r="Q76" s="6"/>
      <c r="R76" s="6" t="s">
        <v>686</v>
      </c>
      <c r="S76" s="6"/>
      <c r="T76" s="6"/>
      <c r="U76" s="5"/>
      <c r="V76" s="6"/>
      <c r="W76" s="6" t="s">
        <v>687</v>
      </c>
      <c r="X76" s="6"/>
      <c r="Y76" s="22"/>
      <c r="Z76" s="6"/>
      <c r="AA76" s="21"/>
      <c r="AB76" s="23">
        <v>43893</v>
      </c>
      <c r="AC76" s="21" t="s">
        <v>30</v>
      </c>
      <c r="AD76" s="24">
        <v>23992.11</v>
      </c>
      <c r="AE76" s="6" t="s">
        <v>37</v>
      </c>
      <c r="AF76" s="6"/>
      <c r="AG76" s="6" t="s">
        <v>3040</v>
      </c>
    </row>
    <row r="77" spans="1:33" ht="7.5" customHeight="1" x14ac:dyDescent="0.25">
      <c r="A77" s="27"/>
      <c r="B77" s="39"/>
      <c r="C77" s="39"/>
      <c r="D77" s="39"/>
      <c r="E77" s="28"/>
      <c r="F77" s="27"/>
      <c r="G77" s="27"/>
      <c r="H77" s="27"/>
      <c r="I77" s="27"/>
      <c r="J77" s="30"/>
      <c r="K77" s="30"/>
      <c r="L77" s="29"/>
      <c r="M77" s="27"/>
      <c r="N77" s="27"/>
      <c r="O77" s="27"/>
      <c r="P77" s="27"/>
      <c r="Q77" s="29"/>
      <c r="R77" s="29"/>
      <c r="S77" s="29"/>
      <c r="T77" s="29"/>
      <c r="U77" s="27"/>
      <c r="V77" s="29"/>
      <c r="W77" s="29"/>
      <c r="X77" s="29"/>
      <c r="Y77" s="31"/>
      <c r="Z77" s="29"/>
      <c r="AA77" s="30"/>
      <c r="AB77" s="32"/>
      <c r="AC77" s="30"/>
      <c r="AD77" s="33"/>
      <c r="AE77" s="29"/>
      <c r="AF77" s="29"/>
      <c r="AG77" s="29"/>
    </row>
    <row r="78" spans="1:33" ht="15" customHeight="1" x14ac:dyDescent="0.25">
      <c r="A78" s="5">
        <v>26</v>
      </c>
      <c r="B78" s="38">
        <v>44004</v>
      </c>
      <c r="C78" s="38">
        <v>43986</v>
      </c>
      <c r="D78" s="38">
        <v>43965</v>
      </c>
      <c r="E78" s="28">
        <v>44004</v>
      </c>
      <c r="F78" s="5">
        <v>1602</v>
      </c>
      <c r="G78" s="5"/>
      <c r="H78" s="5"/>
      <c r="I78" s="5"/>
      <c r="J78" s="21" t="s">
        <v>372</v>
      </c>
      <c r="K78" s="21" t="s">
        <v>688</v>
      </c>
      <c r="L78" s="6" t="s">
        <v>306</v>
      </c>
      <c r="M78" s="5" t="s">
        <v>689</v>
      </c>
      <c r="N78" s="5"/>
      <c r="O78" s="5"/>
      <c r="P78" s="5"/>
      <c r="Q78" s="6" t="s">
        <v>541</v>
      </c>
      <c r="R78" s="6" t="s">
        <v>560</v>
      </c>
      <c r="S78" s="6" t="s">
        <v>541</v>
      </c>
      <c r="T78" s="6" t="s">
        <v>541</v>
      </c>
      <c r="U78" s="5" t="s">
        <v>541</v>
      </c>
      <c r="V78" s="6" t="s">
        <v>541</v>
      </c>
      <c r="W78" s="6" t="s">
        <v>690</v>
      </c>
      <c r="X78" s="6" t="s">
        <v>541</v>
      </c>
      <c r="Y78" s="22" t="s">
        <v>541</v>
      </c>
      <c r="Z78" s="6" t="s">
        <v>541</v>
      </c>
      <c r="AA78" s="21" t="s">
        <v>691</v>
      </c>
      <c r="AB78" s="23">
        <v>43907</v>
      </c>
      <c r="AC78" s="21" t="s">
        <v>30</v>
      </c>
      <c r="AD78" s="24" t="s">
        <v>692</v>
      </c>
      <c r="AE78" s="6" t="s">
        <v>31</v>
      </c>
      <c r="AF78" s="6"/>
      <c r="AG78" s="6" t="s">
        <v>3041</v>
      </c>
    </row>
    <row r="79" spans="1:33" ht="15" customHeight="1" x14ac:dyDescent="0.25">
      <c r="A79" s="5">
        <v>26</v>
      </c>
      <c r="B79" s="38">
        <v>44004</v>
      </c>
      <c r="C79" s="38">
        <v>43986</v>
      </c>
      <c r="D79" s="38">
        <v>43965</v>
      </c>
      <c r="E79" s="28">
        <v>44004</v>
      </c>
      <c r="F79" s="5">
        <v>1603</v>
      </c>
      <c r="G79" s="5"/>
      <c r="H79" s="5"/>
      <c r="I79" s="5"/>
      <c r="J79" s="21" t="s">
        <v>372</v>
      </c>
      <c r="K79" s="21" t="s">
        <v>693</v>
      </c>
      <c r="L79" s="6" t="s">
        <v>577</v>
      </c>
      <c r="M79" s="5" t="s">
        <v>694</v>
      </c>
      <c r="N79" s="5"/>
      <c r="O79" s="5"/>
      <c r="P79" s="5"/>
      <c r="Q79" s="6" t="s">
        <v>541</v>
      </c>
      <c r="R79" s="6" t="s">
        <v>560</v>
      </c>
      <c r="S79" s="6" t="s">
        <v>541</v>
      </c>
      <c r="T79" s="6" t="s">
        <v>541</v>
      </c>
      <c r="U79" s="5" t="s">
        <v>541</v>
      </c>
      <c r="V79" s="6" t="s">
        <v>541</v>
      </c>
      <c r="W79" s="6" t="s">
        <v>690</v>
      </c>
      <c r="X79" s="6" t="s">
        <v>541</v>
      </c>
      <c r="Y79" s="22" t="s">
        <v>541</v>
      </c>
      <c r="Z79" s="6" t="s">
        <v>541</v>
      </c>
      <c r="AA79" s="21" t="s">
        <v>691</v>
      </c>
      <c r="AB79" s="23">
        <v>43907</v>
      </c>
      <c r="AC79" s="21" t="s">
        <v>30</v>
      </c>
      <c r="AD79" s="24" t="s">
        <v>695</v>
      </c>
      <c r="AE79" s="6" t="s">
        <v>31</v>
      </c>
      <c r="AF79" s="6"/>
      <c r="AG79" s="6" t="s">
        <v>3042</v>
      </c>
    </row>
    <row r="80" spans="1:33" ht="15" customHeight="1" x14ac:dyDescent="0.25">
      <c r="A80" s="5">
        <v>26</v>
      </c>
      <c r="B80" s="38">
        <v>44004</v>
      </c>
      <c r="C80" s="38">
        <v>43986</v>
      </c>
      <c r="D80" s="38">
        <v>43965</v>
      </c>
      <c r="E80" s="28">
        <v>44004</v>
      </c>
      <c r="F80" s="5">
        <v>1604</v>
      </c>
      <c r="G80" s="5"/>
      <c r="H80" s="5"/>
      <c r="I80" s="5"/>
      <c r="J80" s="21" t="s">
        <v>372</v>
      </c>
      <c r="K80" s="21" t="s">
        <v>696</v>
      </c>
      <c r="L80" s="6" t="s">
        <v>577</v>
      </c>
      <c r="M80" s="5">
        <v>9</v>
      </c>
      <c r="N80" s="5"/>
      <c r="O80" s="5"/>
      <c r="P80" s="5"/>
      <c r="Q80" s="6"/>
      <c r="R80" s="6" t="s">
        <v>560</v>
      </c>
      <c r="S80" s="6"/>
      <c r="T80" s="6"/>
      <c r="U80" s="5"/>
      <c r="V80" s="6"/>
      <c r="W80" s="6" t="s">
        <v>697</v>
      </c>
      <c r="X80" s="6"/>
      <c r="Y80" s="22"/>
      <c r="Z80" s="6"/>
      <c r="AA80" s="21" t="s">
        <v>691</v>
      </c>
      <c r="AB80" s="23">
        <v>43907</v>
      </c>
      <c r="AC80" s="21" t="s">
        <v>30</v>
      </c>
      <c r="AD80" s="24">
        <v>2383.96</v>
      </c>
      <c r="AE80" s="6" t="s">
        <v>37</v>
      </c>
      <c r="AF80" s="6"/>
      <c r="AG80" s="6" t="s">
        <v>3039</v>
      </c>
    </row>
    <row r="81" spans="1:33" ht="7.5" customHeight="1" x14ac:dyDescent="0.25">
      <c r="A81" s="27"/>
      <c r="B81" s="39"/>
      <c r="C81" s="39"/>
      <c r="D81" s="39"/>
      <c r="E81" s="28"/>
      <c r="F81" s="27"/>
      <c r="G81" s="27"/>
      <c r="H81" s="27"/>
      <c r="I81" s="27"/>
      <c r="J81" s="30"/>
      <c r="K81" s="30"/>
      <c r="L81" s="29"/>
      <c r="M81" s="27"/>
      <c r="N81" s="27"/>
      <c r="O81" s="27"/>
      <c r="P81" s="27"/>
      <c r="Q81" s="29"/>
      <c r="R81" s="29"/>
      <c r="S81" s="29"/>
      <c r="T81" s="29"/>
      <c r="U81" s="27"/>
      <c r="V81" s="29"/>
      <c r="W81" s="29"/>
      <c r="X81" s="29"/>
      <c r="Y81" s="31"/>
      <c r="Z81" s="29"/>
      <c r="AA81" s="30"/>
      <c r="AB81" s="32"/>
      <c r="AC81" s="30"/>
      <c r="AD81" s="33"/>
      <c r="AE81" s="29"/>
      <c r="AF81" s="29"/>
      <c r="AG81" s="29"/>
    </row>
    <row r="82" spans="1:33" ht="15" customHeight="1" x14ac:dyDescent="0.25">
      <c r="A82" s="5">
        <v>25</v>
      </c>
      <c r="B82" s="38">
        <v>43997</v>
      </c>
      <c r="C82" s="38">
        <v>43986</v>
      </c>
      <c r="D82" s="38">
        <v>43920</v>
      </c>
      <c r="E82" s="36">
        <v>43997</v>
      </c>
      <c r="F82" s="5">
        <v>10650</v>
      </c>
      <c r="G82" s="5"/>
      <c r="H82" s="5"/>
      <c r="I82" s="5"/>
      <c r="J82" s="21" t="s">
        <v>170</v>
      </c>
      <c r="K82" s="21" t="s">
        <v>656</v>
      </c>
      <c r="L82" s="6" t="s">
        <v>657</v>
      </c>
      <c r="M82" s="5">
        <v>23</v>
      </c>
      <c r="N82" s="5"/>
      <c r="O82" s="5"/>
      <c r="P82" s="5"/>
      <c r="Q82" s="6"/>
      <c r="R82" s="6" t="s">
        <v>545</v>
      </c>
      <c r="S82" s="6"/>
      <c r="T82" s="6"/>
      <c r="U82" s="5"/>
      <c r="V82" s="6"/>
      <c r="W82" s="6" t="s">
        <v>658</v>
      </c>
      <c r="X82" s="6"/>
      <c r="Y82" s="22"/>
      <c r="Z82" s="6">
        <v>6</v>
      </c>
      <c r="AA82" s="21"/>
      <c r="AB82" s="23">
        <v>43908</v>
      </c>
      <c r="AC82" s="21" t="s">
        <v>32</v>
      </c>
      <c r="AD82" s="24">
        <v>6691.52</v>
      </c>
      <c r="AE82" s="6" t="s">
        <v>37</v>
      </c>
      <c r="AF82" s="6"/>
      <c r="AG82" s="6" t="s">
        <v>3039</v>
      </c>
    </row>
    <row r="83" spans="1:33" ht="7.5" customHeight="1" x14ac:dyDescent="0.25">
      <c r="A83" s="27"/>
      <c r="B83" s="39"/>
      <c r="C83" s="39"/>
      <c r="D83" s="39"/>
      <c r="E83" s="28"/>
      <c r="F83" s="27"/>
      <c r="G83" s="27"/>
      <c r="H83" s="27"/>
      <c r="I83" s="27"/>
      <c r="J83" s="30"/>
      <c r="K83" s="30"/>
      <c r="L83" s="29"/>
      <c r="M83" s="27"/>
      <c r="N83" s="27"/>
      <c r="O83" s="27"/>
      <c r="P83" s="27"/>
      <c r="Q83" s="29"/>
      <c r="R83" s="29"/>
      <c r="S83" s="29"/>
      <c r="T83" s="29"/>
      <c r="U83" s="27"/>
      <c r="V83" s="29"/>
      <c r="W83" s="29"/>
      <c r="X83" s="29"/>
      <c r="Y83" s="31"/>
      <c r="Z83" s="29"/>
      <c r="AA83" s="30"/>
      <c r="AB83" s="32"/>
      <c r="AC83" s="30"/>
      <c r="AD83" s="33"/>
      <c r="AE83" s="29"/>
      <c r="AF83" s="29"/>
      <c r="AG83" s="29"/>
    </row>
    <row r="84" spans="1:33" ht="15" customHeight="1" x14ac:dyDescent="0.25">
      <c r="A84" s="5">
        <v>26</v>
      </c>
      <c r="B84" s="38">
        <v>44004</v>
      </c>
      <c r="C84" s="38">
        <v>43986</v>
      </c>
      <c r="D84" s="38">
        <v>43969</v>
      </c>
      <c r="E84" s="28">
        <v>44004</v>
      </c>
      <c r="F84" s="5">
        <v>8651</v>
      </c>
      <c r="G84" s="5"/>
      <c r="H84" s="5"/>
      <c r="I84" s="5"/>
      <c r="J84" s="21" t="s">
        <v>147</v>
      </c>
      <c r="K84" s="21" t="s">
        <v>698</v>
      </c>
      <c r="L84" s="6" t="s">
        <v>685</v>
      </c>
      <c r="M84" s="5" t="s">
        <v>699</v>
      </c>
      <c r="N84" s="5"/>
      <c r="O84" s="5"/>
      <c r="P84" s="5"/>
      <c r="Q84" s="6" t="s">
        <v>541</v>
      </c>
      <c r="R84" s="6" t="s">
        <v>686</v>
      </c>
      <c r="S84" s="6" t="s">
        <v>541</v>
      </c>
      <c r="T84" s="6" t="s">
        <v>541</v>
      </c>
      <c r="U84" s="5" t="s">
        <v>541</v>
      </c>
      <c r="V84" s="6" t="s">
        <v>541</v>
      </c>
      <c r="W84" s="6" t="s">
        <v>700</v>
      </c>
      <c r="X84" s="6" t="s">
        <v>541</v>
      </c>
      <c r="Y84" s="22" t="s">
        <v>541</v>
      </c>
      <c r="Z84" s="6" t="s">
        <v>541</v>
      </c>
      <c r="AA84" s="21" t="s">
        <v>541</v>
      </c>
      <c r="AB84" s="23">
        <v>43893</v>
      </c>
      <c r="AC84" s="21" t="s">
        <v>30</v>
      </c>
      <c r="AD84" s="24" t="s">
        <v>701</v>
      </c>
      <c r="AE84" s="6" t="s">
        <v>36</v>
      </c>
      <c r="AF84" s="6"/>
      <c r="AG84" s="6" t="s">
        <v>3040</v>
      </c>
    </row>
    <row r="85" spans="1:33" ht="15" customHeight="1" x14ac:dyDescent="0.25">
      <c r="A85" s="5">
        <v>26</v>
      </c>
      <c r="B85" s="38">
        <v>44004</v>
      </c>
      <c r="C85" s="38">
        <v>43986</v>
      </c>
      <c r="D85" s="38">
        <v>43983</v>
      </c>
      <c r="E85" s="28">
        <v>44004</v>
      </c>
      <c r="F85" s="5">
        <v>8666</v>
      </c>
      <c r="G85" s="5"/>
      <c r="H85" s="5"/>
      <c r="I85" s="5"/>
      <c r="J85" s="21" t="s">
        <v>147</v>
      </c>
      <c r="K85" s="21" t="s">
        <v>702</v>
      </c>
      <c r="L85" s="6" t="s">
        <v>703</v>
      </c>
      <c r="M85" s="5" t="s">
        <v>704</v>
      </c>
      <c r="N85" s="5"/>
      <c r="O85" s="5"/>
      <c r="P85" s="5"/>
      <c r="Q85" s="6" t="s">
        <v>541</v>
      </c>
      <c r="R85" s="6" t="s">
        <v>651</v>
      </c>
      <c r="S85" s="6" t="s">
        <v>541</v>
      </c>
      <c r="T85" s="6" t="s">
        <v>541</v>
      </c>
      <c r="U85" s="5" t="s">
        <v>541</v>
      </c>
      <c r="V85" s="6" t="s">
        <v>541</v>
      </c>
      <c r="W85" s="6" t="s">
        <v>705</v>
      </c>
      <c r="X85" s="6" t="s">
        <v>541</v>
      </c>
      <c r="Y85" s="22" t="s">
        <v>541</v>
      </c>
      <c r="Z85" s="6" t="s">
        <v>541</v>
      </c>
      <c r="AA85" s="21" t="s">
        <v>541</v>
      </c>
      <c r="AB85" s="23">
        <v>43902</v>
      </c>
      <c r="AC85" s="21" t="s">
        <v>30</v>
      </c>
      <c r="AD85" s="24" t="s">
        <v>541</v>
      </c>
      <c r="AE85" s="6" t="s">
        <v>38</v>
      </c>
      <c r="AF85" s="6"/>
      <c r="AG85" s="6" t="s">
        <v>3041</v>
      </c>
    </row>
    <row r="86" spans="1:33" ht="7.5" customHeight="1" x14ac:dyDescent="0.25">
      <c r="A86" s="27"/>
      <c r="B86" s="39"/>
      <c r="C86" s="39"/>
      <c r="D86" s="39"/>
      <c r="E86" s="28"/>
      <c r="F86" s="27"/>
      <c r="G86" s="27"/>
      <c r="H86" s="27"/>
      <c r="I86" s="27"/>
      <c r="J86" s="30"/>
      <c r="K86" s="30"/>
      <c r="L86" s="29"/>
      <c r="M86" s="27"/>
      <c r="N86" s="27"/>
      <c r="O86" s="27"/>
      <c r="P86" s="27"/>
      <c r="Q86" s="29"/>
      <c r="R86" s="29"/>
      <c r="S86" s="29"/>
      <c r="T86" s="29"/>
      <c r="U86" s="27"/>
      <c r="V86" s="29"/>
      <c r="W86" s="29"/>
      <c r="X86" s="29"/>
      <c r="Y86" s="31"/>
      <c r="Z86" s="29"/>
      <c r="AA86" s="30"/>
      <c r="AB86" s="32"/>
      <c r="AC86" s="30"/>
      <c r="AD86" s="33"/>
      <c r="AE86" s="29"/>
      <c r="AF86" s="29"/>
      <c r="AG86" s="29"/>
    </row>
    <row r="87" spans="1:33" ht="15" customHeight="1" x14ac:dyDescent="0.25">
      <c r="A87" s="5">
        <v>25</v>
      </c>
      <c r="B87" s="38">
        <v>43998</v>
      </c>
      <c r="C87" s="38">
        <v>43987</v>
      </c>
      <c r="D87" s="38">
        <v>43973</v>
      </c>
      <c r="E87" s="36" t="s">
        <v>441</v>
      </c>
      <c r="F87" s="5">
        <v>4762</v>
      </c>
      <c r="G87" s="5"/>
      <c r="H87" s="5"/>
      <c r="I87" s="5"/>
      <c r="J87" s="21" t="s">
        <v>109</v>
      </c>
      <c r="K87" s="21" t="s">
        <v>215</v>
      </c>
      <c r="L87" s="6" t="s">
        <v>667</v>
      </c>
      <c r="M87" s="5">
        <v>11</v>
      </c>
      <c r="N87" s="5"/>
      <c r="O87" s="5"/>
      <c r="P87" s="5"/>
      <c r="Q87" s="6"/>
      <c r="R87" s="6" t="s">
        <v>545</v>
      </c>
      <c r="S87" s="6" t="s">
        <v>668</v>
      </c>
      <c r="T87" s="6"/>
      <c r="U87" s="5"/>
      <c r="V87" s="6"/>
      <c r="W87" s="6" t="s">
        <v>669</v>
      </c>
      <c r="X87" s="6"/>
      <c r="Y87" s="22"/>
      <c r="Z87" s="6">
        <v>5.6</v>
      </c>
      <c r="AA87" s="21">
        <v>13934</v>
      </c>
      <c r="AB87" s="23"/>
      <c r="AC87" s="21" t="s">
        <v>32</v>
      </c>
      <c r="AD87" s="24">
        <v>4580.32</v>
      </c>
      <c r="AE87" s="6" t="s">
        <v>34</v>
      </c>
      <c r="AF87" s="6"/>
      <c r="AG87" s="6" t="s">
        <v>3039</v>
      </c>
    </row>
    <row r="88" spans="1:33" ht="7.5" customHeight="1" x14ac:dyDescent="0.25">
      <c r="A88" s="27"/>
      <c r="B88" s="39"/>
      <c r="C88" s="39"/>
      <c r="D88" s="39"/>
      <c r="E88" s="28"/>
      <c r="F88" s="27"/>
      <c r="G88" s="27"/>
      <c r="H88" s="27"/>
      <c r="I88" s="27"/>
      <c r="J88" s="30"/>
      <c r="K88" s="30"/>
      <c r="L88" s="29"/>
      <c r="M88" s="27"/>
      <c r="N88" s="27"/>
      <c r="O88" s="27"/>
      <c r="P88" s="27"/>
      <c r="Q88" s="29"/>
      <c r="R88" s="29"/>
      <c r="S88" s="29"/>
      <c r="T88" s="29"/>
      <c r="U88" s="27"/>
      <c r="V88" s="29"/>
      <c r="W88" s="29"/>
      <c r="X88" s="29"/>
      <c r="Y88" s="31"/>
      <c r="Z88" s="29"/>
      <c r="AA88" s="30"/>
      <c r="AB88" s="32"/>
      <c r="AC88" s="30"/>
      <c r="AD88" s="33"/>
      <c r="AE88" s="29"/>
      <c r="AF88" s="29"/>
      <c r="AG88" s="29"/>
    </row>
    <row r="89" spans="1:33" ht="15" customHeight="1" x14ac:dyDescent="0.25">
      <c r="A89" s="5">
        <v>25</v>
      </c>
      <c r="B89" s="38">
        <v>43999</v>
      </c>
      <c r="C89" s="38">
        <v>43990</v>
      </c>
      <c r="D89" s="38">
        <v>43976</v>
      </c>
      <c r="E89" s="36" t="s">
        <v>441</v>
      </c>
      <c r="F89" s="5">
        <v>6677</v>
      </c>
      <c r="G89" s="5"/>
      <c r="H89" s="5"/>
      <c r="I89" s="5"/>
      <c r="J89" s="21" t="s">
        <v>191</v>
      </c>
      <c r="K89" s="21" t="s">
        <v>670</v>
      </c>
      <c r="L89" s="6" t="s">
        <v>671</v>
      </c>
      <c r="M89" s="5">
        <v>6</v>
      </c>
      <c r="N89" s="5"/>
      <c r="O89" s="5"/>
      <c r="P89" s="5"/>
      <c r="Q89" s="6"/>
      <c r="R89" s="6" t="s">
        <v>194</v>
      </c>
      <c r="S89" s="6"/>
      <c r="T89" s="6"/>
      <c r="U89" s="5"/>
      <c r="V89" s="6"/>
      <c r="W89" s="6" t="s">
        <v>672</v>
      </c>
      <c r="X89" s="6"/>
      <c r="Y89" s="22"/>
      <c r="Z89" s="6">
        <v>3</v>
      </c>
      <c r="AA89" s="21"/>
      <c r="AB89" s="23">
        <v>43969</v>
      </c>
      <c r="AC89" s="21" t="s">
        <v>33</v>
      </c>
      <c r="AD89" s="24">
        <v>1842.96</v>
      </c>
      <c r="AE89" s="6" t="s">
        <v>31</v>
      </c>
      <c r="AF89" s="6"/>
      <c r="AG89" s="6" t="s">
        <v>3040</v>
      </c>
    </row>
    <row r="90" spans="1:33" ht="7.5" customHeight="1" x14ac:dyDescent="0.25">
      <c r="A90" s="27"/>
      <c r="B90" s="39"/>
      <c r="C90" s="39"/>
      <c r="D90" s="39"/>
      <c r="E90" s="28"/>
      <c r="F90" s="27"/>
      <c r="G90" s="27"/>
      <c r="H90" s="27"/>
      <c r="I90" s="27"/>
      <c r="J90" s="30"/>
      <c r="K90" s="30"/>
      <c r="L90" s="29"/>
      <c r="M90" s="27"/>
      <c r="N90" s="27"/>
      <c r="O90" s="27"/>
      <c r="P90" s="27"/>
      <c r="Q90" s="29"/>
      <c r="R90" s="29"/>
      <c r="S90" s="29"/>
      <c r="T90" s="29"/>
      <c r="U90" s="27"/>
      <c r="V90" s="29"/>
      <c r="W90" s="29"/>
      <c r="X90" s="29"/>
      <c r="Y90" s="31"/>
      <c r="Z90" s="29"/>
      <c r="AA90" s="30"/>
      <c r="AB90" s="32"/>
      <c r="AC90" s="30"/>
      <c r="AD90" s="33"/>
      <c r="AE90" s="29"/>
      <c r="AF90" s="29"/>
      <c r="AG90" s="29"/>
    </row>
    <row r="91" spans="1:33" ht="15" customHeight="1" x14ac:dyDescent="0.25">
      <c r="A91" s="5">
        <v>26</v>
      </c>
      <c r="B91" s="38">
        <v>44006</v>
      </c>
      <c r="C91" s="38">
        <v>43990</v>
      </c>
      <c r="D91" s="38">
        <v>43970</v>
      </c>
      <c r="E91" s="28">
        <v>44006</v>
      </c>
      <c r="F91" s="5">
        <v>8660</v>
      </c>
      <c r="G91" s="5"/>
      <c r="H91" s="5"/>
      <c r="I91" s="5"/>
      <c r="J91" s="21" t="s">
        <v>147</v>
      </c>
      <c r="K91" s="21" t="s">
        <v>706</v>
      </c>
      <c r="L91" s="6" t="s">
        <v>707</v>
      </c>
      <c r="M91" s="5">
        <v>16</v>
      </c>
      <c r="N91" s="5"/>
      <c r="O91" s="5"/>
      <c r="P91" s="5"/>
      <c r="Q91" s="6"/>
      <c r="R91" s="6" t="s">
        <v>651</v>
      </c>
      <c r="S91" s="6"/>
      <c r="T91" s="6"/>
      <c r="U91" s="5"/>
      <c r="V91" s="6"/>
      <c r="W91" s="6" t="s">
        <v>708</v>
      </c>
      <c r="X91" s="6"/>
      <c r="Y91" s="22"/>
      <c r="Z91" s="6"/>
      <c r="AA91" s="21"/>
      <c r="AB91" s="23">
        <v>43902</v>
      </c>
      <c r="AC91" s="21" t="s">
        <v>30</v>
      </c>
      <c r="AD91" s="24"/>
      <c r="AE91" s="6" t="s">
        <v>31</v>
      </c>
      <c r="AF91" s="6"/>
      <c r="AG91" s="6" t="s">
        <v>3042</v>
      </c>
    </row>
    <row r="92" spans="1:33" ht="7.5" customHeight="1" x14ac:dyDescent="0.25">
      <c r="A92" s="27"/>
      <c r="B92" s="39"/>
      <c r="C92" s="39"/>
      <c r="D92" s="39"/>
      <c r="E92" s="28"/>
      <c r="F92" s="27"/>
      <c r="G92" s="27"/>
      <c r="H92" s="27"/>
      <c r="I92" s="27"/>
      <c r="J92" s="30"/>
      <c r="K92" s="30"/>
      <c r="L92" s="29"/>
      <c r="M92" s="27"/>
      <c r="N92" s="27"/>
      <c r="O92" s="27"/>
      <c r="P92" s="27"/>
      <c r="Q92" s="29"/>
      <c r="R92" s="29"/>
      <c r="S92" s="29"/>
      <c r="T92" s="29"/>
      <c r="U92" s="27"/>
      <c r="V92" s="29"/>
      <c r="W92" s="29"/>
      <c r="X92" s="29"/>
      <c r="Y92" s="31"/>
      <c r="Z92" s="29"/>
      <c r="AA92" s="30"/>
      <c r="AB92" s="32"/>
      <c r="AC92" s="30"/>
      <c r="AD92" s="33"/>
      <c r="AE92" s="29"/>
      <c r="AF92" s="29"/>
      <c r="AG92" s="29"/>
    </row>
    <row r="93" spans="1:33" ht="15" customHeight="1" x14ac:dyDescent="0.25">
      <c r="A93" s="5">
        <v>27</v>
      </c>
      <c r="B93" s="38">
        <v>44012</v>
      </c>
      <c r="C93" s="38">
        <v>43991</v>
      </c>
      <c r="D93" s="38">
        <v>43991</v>
      </c>
      <c r="E93" s="37">
        <v>44012</v>
      </c>
      <c r="F93" s="5">
        <v>8665</v>
      </c>
      <c r="G93" s="5"/>
      <c r="H93" s="5"/>
      <c r="I93" s="5"/>
      <c r="J93" s="21" t="s">
        <v>147</v>
      </c>
      <c r="K93" s="21" t="s">
        <v>711</v>
      </c>
      <c r="L93" s="6" t="s">
        <v>703</v>
      </c>
      <c r="M93" s="5">
        <v>16</v>
      </c>
      <c r="N93" s="5"/>
      <c r="O93" s="5"/>
      <c r="P93" s="5"/>
      <c r="Q93" s="6"/>
      <c r="R93" s="6" t="s">
        <v>560</v>
      </c>
      <c r="S93" s="6"/>
      <c r="T93" s="6"/>
      <c r="U93" s="5"/>
      <c r="V93" s="6"/>
      <c r="W93" s="6" t="s">
        <v>712</v>
      </c>
      <c r="X93" s="6"/>
      <c r="Y93" s="22"/>
      <c r="Z93" s="6"/>
      <c r="AA93" s="21"/>
      <c r="AB93" s="23">
        <v>43902</v>
      </c>
      <c r="AC93" s="21" t="s">
        <v>30</v>
      </c>
      <c r="AD93" s="24"/>
      <c r="AE93" s="6" t="s">
        <v>31</v>
      </c>
      <c r="AF93" s="6"/>
      <c r="AG93" s="6" t="s">
        <v>3041</v>
      </c>
    </row>
    <row r="94" spans="1:33" ht="7.5" customHeight="1" x14ac:dyDescent="0.25">
      <c r="A94" s="27"/>
      <c r="B94" s="39"/>
      <c r="C94" s="39"/>
      <c r="D94" s="39"/>
      <c r="E94" s="28"/>
      <c r="F94" s="27"/>
      <c r="G94" s="27"/>
      <c r="H94" s="27"/>
      <c r="I94" s="27"/>
      <c r="J94" s="30"/>
      <c r="K94" s="30"/>
      <c r="L94" s="29"/>
      <c r="M94" s="27"/>
      <c r="N94" s="27"/>
      <c r="O94" s="27"/>
      <c r="P94" s="27"/>
      <c r="Q94" s="29"/>
      <c r="R94" s="29"/>
      <c r="S94" s="29"/>
      <c r="T94" s="29"/>
      <c r="U94" s="27"/>
      <c r="V94" s="29"/>
      <c r="W94" s="29"/>
      <c r="X94" s="29"/>
      <c r="Y94" s="31"/>
      <c r="Z94" s="29"/>
      <c r="AA94" s="30"/>
      <c r="AB94" s="32"/>
      <c r="AC94" s="30"/>
      <c r="AD94" s="33"/>
      <c r="AE94" s="29"/>
      <c r="AF94" s="29"/>
      <c r="AG94" s="29"/>
    </row>
    <row r="95" spans="1:33" ht="15" customHeight="1" x14ac:dyDescent="0.25">
      <c r="A95" s="5">
        <v>28</v>
      </c>
      <c r="B95" s="38">
        <v>44020</v>
      </c>
      <c r="C95" s="38">
        <v>43992</v>
      </c>
      <c r="D95" s="38">
        <v>43985</v>
      </c>
      <c r="E95" s="34">
        <v>44020</v>
      </c>
      <c r="F95" s="5">
        <v>10659</v>
      </c>
      <c r="G95" s="5" t="s">
        <v>91</v>
      </c>
      <c r="H95" s="5" t="s">
        <v>40</v>
      </c>
      <c r="I95" s="5" t="s">
        <v>92</v>
      </c>
      <c r="J95" s="21" t="s">
        <v>170</v>
      </c>
      <c r="K95" s="21" t="s">
        <v>819</v>
      </c>
      <c r="L95" s="6" t="s">
        <v>820</v>
      </c>
      <c r="M95" s="5">
        <v>18</v>
      </c>
      <c r="N95" s="5" t="s">
        <v>91</v>
      </c>
      <c r="O95" s="5" t="s">
        <v>91</v>
      </c>
      <c r="P95" s="5" t="s">
        <v>91</v>
      </c>
      <c r="Q95" s="6" t="s">
        <v>559</v>
      </c>
      <c r="R95" s="6" t="s">
        <v>123</v>
      </c>
      <c r="S95" s="6"/>
      <c r="T95" s="6"/>
      <c r="U95" s="5"/>
      <c r="V95" s="6" t="s">
        <v>821</v>
      </c>
      <c r="W95" s="6" t="s">
        <v>822</v>
      </c>
      <c r="X95" s="6" t="s">
        <v>823</v>
      </c>
      <c r="Y95" s="22">
        <v>273088510</v>
      </c>
      <c r="Z95" s="6">
        <v>8.6999999999999993</v>
      </c>
      <c r="AA95" s="21" t="s">
        <v>824</v>
      </c>
      <c r="AB95" s="23"/>
      <c r="AC95" s="21" t="s">
        <v>30</v>
      </c>
      <c r="AD95" s="24" t="s">
        <v>825</v>
      </c>
      <c r="AE95" s="6" t="s">
        <v>35</v>
      </c>
      <c r="AF95" s="6"/>
      <c r="AG95" s="6" t="s">
        <v>3042</v>
      </c>
    </row>
    <row r="96" spans="1:33" ht="7.5" customHeight="1" x14ac:dyDescent="0.25">
      <c r="A96" s="27"/>
      <c r="B96" s="39"/>
      <c r="C96" s="39"/>
      <c r="D96" s="39"/>
      <c r="E96" s="28"/>
      <c r="F96" s="27"/>
      <c r="G96" s="27"/>
      <c r="H96" s="27"/>
      <c r="I96" s="27"/>
      <c r="J96" s="30"/>
      <c r="K96" s="30"/>
      <c r="L96" s="29"/>
      <c r="M96" s="27"/>
      <c r="N96" s="27"/>
      <c r="O96" s="27"/>
      <c r="P96" s="27"/>
      <c r="Q96" s="29"/>
      <c r="R96" s="29"/>
      <c r="S96" s="29"/>
      <c r="T96" s="29"/>
      <c r="U96" s="27"/>
      <c r="V96" s="29"/>
      <c r="W96" s="29"/>
      <c r="X96" s="29"/>
      <c r="Y96" s="31"/>
      <c r="Z96" s="29"/>
      <c r="AA96" s="30"/>
      <c r="AB96" s="32"/>
      <c r="AC96" s="30"/>
      <c r="AD96" s="33"/>
      <c r="AE96" s="29"/>
      <c r="AF96" s="29"/>
      <c r="AG96" s="29"/>
    </row>
    <row r="97" spans="1:33" ht="15" customHeight="1" x14ac:dyDescent="0.25">
      <c r="A97" s="5">
        <v>27</v>
      </c>
      <c r="B97" s="38">
        <v>44013</v>
      </c>
      <c r="C97" s="38">
        <v>43992</v>
      </c>
      <c r="D97" s="38">
        <v>43985</v>
      </c>
      <c r="E97" s="37">
        <v>44013</v>
      </c>
      <c r="F97" s="5">
        <v>5552</v>
      </c>
      <c r="G97" s="5" t="s">
        <v>91</v>
      </c>
      <c r="H97" s="5" t="s">
        <v>41</v>
      </c>
      <c r="I97" s="5" t="s">
        <v>92</v>
      </c>
      <c r="J97" s="21" t="s">
        <v>131</v>
      </c>
      <c r="K97" s="21" t="s">
        <v>725</v>
      </c>
      <c r="L97" s="6" t="s">
        <v>726</v>
      </c>
      <c r="M97" s="5">
        <v>10</v>
      </c>
      <c r="N97" s="5" t="s">
        <v>91</v>
      </c>
      <c r="O97" s="5" t="s">
        <v>91</v>
      </c>
      <c r="P97" s="5" t="s">
        <v>91</v>
      </c>
      <c r="Q97" s="6" t="s">
        <v>559</v>
      </c>
      <c r="R97" s="6" t="s">
        <v>112</v>
      </c>
      <c r="S97" s="6"/>
      <c r="T97" s="6"/>
      <c r="U97" s="5"/>
      <c r="V97" s="6"/>
      <c r="W97" s="6" t="s">
        <v>183</v>
      </c>
      <c r="X97" s="6"/>
      <c r="Y97" s="22"/>
      <c r="Z97" s="6">
        <v>5.5</v>
      </c>
      <c r="AA97" s="21"/>
      <c r="AB97" s="23"/>
      <c r="AC97" s="21" t="s">
        <v>32</v>
      </c>
      <c r="AD97" s="24" t="s">
        <v>727</v>
      </c>
      <c r="AE97" s="6" t="s">
        <v>31</v>
      </c>
      <c r="AF97" s="6"/>
      <c r="AG97" s="6" t="s">
        <v>3041</v>
      </c>
    </row>
    <row r="98" spans="1:33" ht="15" customHeight="1" x14ac:dyDescent="0.25">
      <c r="A98" s="5">
        <v>27</v>
      </c>
      <c r="B98" s="38">
        <v>44013</v>
      </c>
      <c r="C98" s="38">
        <v>43992</v>
      </c>
      <c r="D98" s="38">
        <v>43985</v>
      </c>
      <c r="E98" s="37">
        <v>44013</v>
      </c>
      <c r="F98" s="5">
        <v>6688</v>
      </c>
      <c r="G98" s="5" t="s">
        <v>91</v>
      </c>
      <c r="H98" s="5" t="s">
        <v>40</v>
      </c>
      <c r="I98" s="5" t="s">
        <v>92</v>
      </c>
      <c r="J98" s="21" t="s">
        <v>191</v>
      </c>
      <c r="K98" s="21" t="s">
        <v>737</v>
      </c>
      <c r="L98" s="6" t="s">
        <v>738</v>
      </c>
      <c r="M98" s="5">
        <v>13</v>
      </c>
      <c r="N98" s="5" t="s">
        <v>91</v>
      </c>
      <c r="O98" s="5" t="s">
        <v>91</v>
      </c>
      <c r="P98" s="5" t="s">
        <v>91</v>
      </c>
      <c r="Q98" s="6" t="s">
        <v>559</v>
      </c>
      <c r="R98" s="6" t="s">
        <v>194</v>
      </c>
      <c r="S98" s="6"/>
      <c r="T98" s="6"/>
      <c r="U98" s="5"/>
      <c r="V98" s="6"/>
      <c r="W98" s="6" t="s">
        <v>739</v>
      </c>
      <c r="X98" s="6"/>
      <c r="Y98" s="22"/>
      <c r="Z98" s="6">
        <v>2.5</v>
      </c>
      <c r="AA98" s="21"/>
      <c r="AB98" s="23"/>
      <c r="AC98" s="21" t="s">
        <v>30</v>
      </c>
      <c r="AD98" s="24" t="s">
        <v>740</v>
      </c>
      <c r="AE98" s="6" t="s">
        <v>31</v>
      </c>
      <c r="AF98" s="6"/>
      <c r="AG98" s="6" t="s">
        <v>3040</v>
      </c>
    </row>
    <row r="99" spans="1:33" ht="7.5" customHeight="1" x14ac:dyDescent="0.25">
      <c r="A99" s="27"/>
      <c r="B99" s="39"/>
      <c r="C99" s="39"/>
      <c r="D99" s="39"/>
      <c r="E99" s="28"/>
      <c r="F99" s="27"/>
      <c r="G99" s="27"/>
      <c r="H99" s="27"/>
      <c r="I99" s="27"/>
      <c r="J99" s="30"/>
      <c r="K99" s="30"/>
      <c r="L99" s="29"/>
      <c r="M99" s="27"/>
      <c r="N99" s="27"/>
      <c r="O99" s="27"/>
      <c r="P99" s="27"/>
      <c r="Q99" s="29"/>
      <c r="R99" s="29"/>
      <c r="S99" s="29"/>
      <c r="T99" s="29"/>
      <c r="U99" s="27"/>
      <c r="V99" s="29"/>
      <c r="W99" s="29"/>
      <c r="X99" s="29"/>
      <c r="Y99" s="31"/>
      <c r="Z99" s="29"/>
      <c r="AA99" s="30"/>
      <c r="AB99" s="32"/>
      <c r="AC99" s="30"/>
      <c r="AD99" s="33"/>
      <c r="AE99" s="29"/>
      <c r="AF99" s="29"/>
      <c r="AG99" s="29"/>
    </row>
    <row r="100" spans="1:33" ht="15" customHeight="1" x14ac:dyDescent="0.25">
      <c r="A100" s="5">
        <v>28</v>
      </c>
      <c r="B100" s="38">
        <v>44020</v>
      </c>
      <c r="C100" s="38">
        <v>43993</v>
      </c>
      <c r="D100" s="38">
        <v>43901</v>
      </c>
      <c r="E100" s="34">
        <v>44020</v>
      </c>
      <c r="F100" s="5">
        <v>3985</v>
      </c>
      <c r="G100" s="5" t="s">
        <v>91</v>
      </c>
      <c r="H100" s="5" t="s">
        <v>41</v>
      </c>
      <c r="I100" s="5" t="s">
        <v>92</v>
      </c>
      <c r="J100" s="21" t="s">
        <v>93</v>
      </c>
      <c r="K100" s="21" t="s">
        <v>841</v>
      </c>
      <c r="L100" s="6" t="s">
        <v>673</v>
      </c>
      <c r="M100" s="5">
        <v>0</v>
      </c>
      <c r="N100" s="5" t="s">
        <v>91</v>
      </c>
      <c r="O100" s="5" t="s">
        <v>91</v>
      </c>
      <c r="P100" s="5" t="s">
        <v>91</v>
      </c>
      <c r="Q100" s="6" t="s">
        <v>741</v>
      </c>
      <c r="R100" s="6" t="s">
        <v>106</v>
      </c>
      <c r="S100" s="6"/>
      <c r="T100" s="6"/>
      <c r="U100" s="5"/>
      <c r="V100" s="6" t="s">
        <v>842</v>
      </c>
      <c r="W100" s="6" t="s">
        <v>674</v>
      </c>
      <c r="X100" s="6"/>
      <c r="Y100" s="22"/>
      <c r="Z100" s="6"/>
      <c r="AA100" s="21">
        <v>10035</v>
      </c>
      <c r="AB100" s="23">
        <v>43907</v>
      </c>
      <c r="AC100" s="21" t="s">
        <v>30</v>
      </c>
      <c r="AD100" s="24" t="s">
        <v>115</v>
      </c>
      <c r="AE100" s="6" t="s">
        <v>31</v>
      </c>
      <c r="AF100" s="6"/>
      <c r="AG100" s="6" t="s">
        <v>3042</v>
      </c>
    </row>
    <row r="101" spans="1:33" ht="15" customHeight="1" x14ac:dyDescent="0.25">
      <c r="A101" s="5">
        <v>28</v>
      </c>
      <c r="B101" s="38">
        <v>44020</v>
      </c>
      <c r="C101" s="38">
        <v>43993</v>
      </c>
      <c r="D101" s="38">
        <v>43901</v>
      </c>
      <c r="E101" s="34">
        <v>44020</v>
      </c>
      <c r="F101" s="5">
        <v>3985</v>
      </c>
      <c r="G101" s="5" t="s">
        <v>91</v>
      </c>
      <c r="H101" s="5" t="s">
        <v>41</v>
      </c>
      <c r="I101" s="5" t="s">
        <v>92</v>
      </c>
      <c r="J101" s="21" t="s">
        <v>93</v>
      </c>
      <c r="K101" s="21" t="s">
        <v>841</v>
      </c>
      <c r="L101" s="6" t="s">
        <v>673</v>
      </c>
      <c r="M101" s="5">
        <v>0</v>
      </c>
      <c r="N101" s="5" t="s">
        <v>91</v>
      </c>
      <c r="O101" s="5" t="s">
        <v>91</v>
      </c>
      <c r="P101" s="5" t="s">
        <v>91</v>
      </c>
      <c r="Q101" s="6" t="s">
        <v>741</v>
      </c>
      <c r="R101" s="6" t="s">
        <v>106</v>
      </c>
      <c r="S101" s="6"/>
      <c r="T101" s="6"/>
      <c r="U101" s="5"/>
      <c r="V101" s="6" t="s">
        <v>843</v>
      </c>
      <c r="W101" s="6" t="s">
        <v>674</v>
      </c>
      <c r="X101" s="6"/>
      <c r="Y101" s="22"/>
      <c r="Z101" s="6"/>
      <c r="AA101" s="21">
        <v>10035</v>
      </c>
      <c r="AB101" s="23">
        <v>43907</v>
      </c>
      <c r="AC101" s="21" t="s">
        <v>32</v>
      </c>
      <c r="AD101" s="24" t="s">
        <v>115</v>
      </c>
      <c r="AE101" s="6" t="s">
        <v>31</v>
      </c>
      <c r="AF101" s="6"/>
      <c r="AG101" s="6" t="s">
        <v>3039</v>
      </c>
    </row>
    <row r="102" spans="1:33" ht="7.5" customHeight="1" x14ac:dyDescent="0.25">
      <c r="A102" s="27"/>
      <c r="B102" s="39"/>
      <c r="C102" s="39"/>
      <c r="D102" s="39"/>
      <c r="E102" s="28"/>
      <c r="F102" s="27"/>
      <c r="G102" s="27"/>
      <c r="H102" s="27"/>
      <c r="I102" s="27"/>
      <c r="J102" s="30"/>
      <c r="K102" s="30"/>
      <c r="L102" s="29"/>
      <c r="M102" s="27"/>
      <c r="N102" s="27"/>
      <c r="O102" s="27"/>
      <c r="P102" s="27"/>
      <c r="Q102" s="29"/>
      <c r="R102" s="29"/>
      <c r="S102" s="29"/>
      <c r="T102" s="29"/>
      <c r="U102" s="27"/>
      <c r="V102" s="29"/>
      <c r="W102" s="29"/>
      <c r="X102" s="29"/>
      <c r="Y102" s="31"/>
      <c r="Z102" s="29"/>
      <c r="AA102" s="30"/>
      <c r="AB102" s="32"/>
      <c r="AC102" s="30"/>
      <c r="AD102" s="33"/>
      <c r="AE102" s="29"/>
      <c r="AF102" s="29"/>
      <c r="AG102" s="29"/>
    </row>
    <row r="103" spans="1:33" ht="15" customHeight="1" x14ac:dyDescent="0.25">
      <c r="A103" s="5">
        <v>29</v>
      </c>
      <c r="B103" s="38">
        <v>44025</v>
      </c>
      <c r="C103" s="38">
        <v>43993</v>
      </c>
      <c r="D103" s="38">
        <v>43986</v>
      </c>
      <c r="E103" s="35">
        <v>44025</v>
      </c>
      <c r="F103" s="5">
        <v>5549</v>
      </c>
      <c r="G103" s="5" t="s">
        <v>91</v>
      </c>
      <c r="H103" s="5" t="s">
        <v>40</v>
      </c>
      <c r="I103" s="5" t="s">
        <v>92</v>
      </c>
      <c r="J103" s="21" t="s">
        <v>131</v>
      </c>
      <c r="K103" s="21" t="s">
        <v>504</v>
      </c>
      <c r="L103" s="6" t="s">
        <v>927</v>
      </c>
      <c r="M103" s="5">
        <v>20</v>
      </c>
      <c r="N103" s="5" t="s">
        <v>91</v>
      </c>
      <c r="O103" s="5" t="s">
        <v>91</v>
      </c>
      <c r="P103" s="5" t="s">
        <v>91</v>
      </c>
      <c r="Q103" s="6" t="s">
        <v>559</v>
      </c>
      <c r="R103" s="6" t="s">
        <v>123</v>
      </c>
      <c r="S103" s="6"/>
      <c r="T103" s="6"/>
      <c r="U103" s="5"/>
      <c r="V103" s="6"/>
      <c r="W103" s="6" t="s">
        <v>183</v>
      </c>
      <c r="X103" s="6"/>
      <c r="Y103" s="22"/>
      <c r="Z103" s="6">
        <v>6.2</v>
      </c>
      <c r="AA103" s="21"/>
      <c r="AB103" s="23"/>
      <c r="AC103" s="21" t="s">
        <v>30</v>
      </c>
      <c r="AD103" s="24" t="s">
        <v>928</v>
      </c>
      <c r="AE103" s="6" t="s">
        <v>31</v>
      </c>
      <c r="AF103" s="6"/>
      <c r="AG103" s="6" t="s">
        <v>3042</v>
      </c>
    </row>
    <row r="104" spans="1:33" ht="7.5" customHeight="1" x14ac:dyDescent="0.25">
      <c r="A104" s="27"/>
      <c r="B104" s="39"/>
      <c r="C104" s="39"/>
      <c r="D104" s="39"/>
      <c r="E104" s="28"/>
      <c r="F104" s="27"/>
      <c r="G104" s="27"/>
      <c r="H104" s="27"/>
      <c r="I104" s="27"/>
      <c r="J104" s="30"/>
      <c r="K104" s="30"/>
      <c r="L104" s="29"/>
      <c r="M104" s="27"/>
      <c r="N104" s="27"/>
      <c r="O104" s="27"/>
      <c r="P104" s="27"/>
      <c r="Q104" s="29"/>
      <c r="R104" s="29"/>
      <c r="S104" s="29"/>
      <c r="T104" s="29"/>
      <c r="U104" s="27"/>
      <c r="V104" s="29"/>
      <c r="W104" s="29"/>
      <c r="X104" s="29"/>
      <c r="Y104" s="31"/>
      <c r="Z104" s="29"/>
      <c r="AA104" s="30"/>
      <c r="AB104" s="32"/>
      <c r="AC104" s="30"/>
      <c r="AD104" s="33"/>
      <c r="AE104" s="29"/>
      <c r="AF104" s="29"/>
      <c r="AG104" s="29"/>
    </row>
    <row r="105" spans="1:33" ht="15" customHeight="1" x14ac:dyDescent="0.25">
      <c r="A105" s="5">
        <v>27</v>
      </c>
      <c r="B105" s="38">
        <v>44012</v>
      </c>
      <c r="C105" s="38">
        <v>43994</v>
      </c>
      <c r="D105" s="38">
        <v>43980</v>
      </c>
      <c r="E105" s="37">
        <v>44012</v>
      </c>
      <c r="F105" s="5">
        <v>8659</v>
      </c>
      <c r="G105" s="5"/>
      <c r="H105" s="5"/>
      <c r="I105" s="5"/>
      <c r="J105" s="21" t="s">
        <v>147</v>
      </c>
      <c r="K105" s="21" t="s">
        <v>709</v>
      </c>
      <c r="L105" s="6" t="s">
        <v>710</v>
      </c>
      <c r="M105" s="5">
        <v>16</v>
      </c>
      <c r="N105" s="5"/>
      <c r="O105" s="5"/>
      <c r="P105" s="5"/>
      <c r="Q105" s="6"/>
      <c r="R105" s="6" t="s">
        <v>560</v>
      </c>
      <c r="S105" s="6"/>
      <c r="T105" s="6"/>
      <c r="U105" s="5"/>
      <c r="V105" s="6"/>
      <c r="W105" s="6" t="s">
        <v>708</v>
      </c>
      <c r="X105" s="6"/>
      <c r="Y105" s="22"/>
      <c r="Z105" s="6"/>
      <c r="AA105" s="21"/>
      <c r="AB105" s="23">
        <v>43902</v>
      </c>
      <c r="AC105" s="21" t="s">
        <v>30</v>
      </c>
      <c r="AD105" s="24"/>
      <c r="AE105" s="6" t="s">
        <v>31</v>
      </c>
      <c r="AF105" s="6"/>
      <c r="AG105" s="6" t="s">
        <v>3040</v>
      </c>
    </row>
    <row r="106" spans="1:33" ht="7.5" customHeight="1" x14ac:dyDescent="0.25">
      <c r="A106" s="27"/>
      <c r="B106" s="39"/>
      <c r="C106" s="39"/>
      <c r="D106" s="39"/>
      <c r="E106" s="28"/>
      <c r="F106" s="27"/>
      <c r="G106" s="27"/>
      <c r="H106" s="27"/>
      <c r="I106" s="27"/>
      <c r="J106" s="30"/>
      <c r="K106" s="30"/>
      <c r="L106" s="29"/>
      <c r="M106" s="27"/>
      <c r="N106" s="27"/>
      <c r="O106" s="27"/>
      <c r="P106" s="27"/>
      <c r="Q106" s="29"/>
      <c r="R106" s="29"/>
      <c r="S106" s="29"/>
      <c r="T106" s="29"/>
      <c r="U106" s="27"/>
      <c r="V106" s="29"/>
      <c r="W106" s="29"/>
      <c r="X106" s="29"/>
      <c r="Y106" s="31"/>
      <c r="Z106" s="29"/>
      <c r="AA106" s="30"/>
      <c r="AB106" s="32"/>
      <c r="AC106" s="30"/>
      <c r="AD106" s="33"/>
      <c r="AE106" s="29"/>
      <c r="AF106" s="29"/>
      <c r="AG106" s="29"/>
    </row>
    <row r="107" spans="1:33" ht="15" customHeight="1" x14ac:dyDescent="0.25">
      <c r="A107" s="5">
        <v>27</v>
      </c>
      <c r="B107" s="38">
        <v>44013</v>
      </c>
      <c r="C107" s="38">
        <v>43997</v>
      </c>
      <c r="D107" s="38">
        <v>43914</v>
      </c>
      <c r="E107" s="37">
        <v>44013</v>
      </c>
      <c r="F107" s="5">
        <v>1598</v>
      </c>
      <c r="G107" s="5" t="s">
        <v>91</v>
      </c>
      <c r="H107" s="5" t="s">
        <v>40</v>
      </c>
      <c r="I107" s="5" t="s">
        <v>92</v>
      </c>
      <c r="J107" s="21" t="s">
        <v>372</v>
      </c>
      <c r="K107" s="21" t="s">
        <v>635</v>
      </c>
      <c r="L107" s="6" t="s">
        <v>636</v>
      </c>
      <c r="M107" s="5">
        <v>11</v>
      </c>
      <c r="N107" s="5" t="s">
        <v>91</v>
      </c>
      <c r="O107" s="5" t="s">
        <v>91</v>
      </c>
      <c r="P107" s="5" t="s">
        <v>91</v>
      </c>
      <c r="Q107" s="6" t="s">
        <v>559</v>
      </c>
      <c r="R107" s="6" t="s">
        <v>112</v>
      </c>
      <c r="S107" s="6" t="s">
        <v>668</v>
      </c>
      <c r="T107" s="6"/>
      <c r="U107" s="5"/>
      <c r="V107" s="6"/>
      <c r="W107" s="6" t="s">
        <v>637</v>
      </c>
      <c r="X107" s="6" t="s">
        <v>713</v>
      </c>
      <c r="Y107" s="22">
        <v>272770748</v>
      </c>
      <c r="Z107" s="6" t="s">
        <v>714</v>
      </c>
      <c r="AA107" s="21" t="s">
        <v>638</v>
      </c>
      <c r="AB107" s="23">
        <v>43894</v>
      </c>
      <c r="AC107" s="21" t="s">
        <v>30</v>
      </c>
      <c r="AD107" s="24" t="s">
        <v>715</v>
      </c>
      <c r="AE107" s="6" t="s">
        <v>31</v>
      </c>
      <c r="AF107" s="6"/>
      <c r="AG107" s="6" t="s">
        <v>3042</v>
      </c>
    </row>
    <row r="108" spans="1:33" ht="15" customHeight="1" x14ac:dyDescent="0.25">
      <c r="A108" s="5">
        <v>27</v>
      </c>
      <c r="B108" s="38">
        <v>44013</v>
      </c>
      <c r="C108" s="38">
        <v>43997</v>
      </c>
      <c r="D108" s="38">
        <v>43894</v>
      </c>
      <c r="E108" s="37">
        <v>44013</v>
      </c>
      <c r="F108" s="5">
        <v>2375</v>
      </c>
      <c r="G108" s="5" t="s">
        <v>91</v>
      </c>
      <c r="H108" s="5" t="s">
        <v>41</v>
      </c>
      <c r="I108" s="5" t="s">
        <v>92</v>
      </c>
      <c r="J108" s="21" t="s">
        <v>231</v>
      </c>
      <c r="K108" s="21" t="s">
        <v>716</v>
      </c>
      <c r="L108" s="6" t="s">
        <v>717</v>
      </c>
      <c r="M108" s="5">
        <v>0</v>
      </c>
      <c r="N108" s="5" t="s">
        <v>91</v>
      </c>
      <c r="O108" s="5" t="s">
        <v>91</v>
      </c>
      <c r="P108" s="5" t="s">
        <v>91</v>
      </c>
      <c r="Q108" s="6" t="s">
        <v>559</v>
      </c>
      <c r="R108" s="6" t="s">
        <v>112</v>
      </c>
      <c r="S108" s="6"/>
      <c r="T108" s="6"/>
      <c r="U108" s="5"/>
      <c r="V108" s="6" t="s">
        <v>718</v>
      </c>
      <c r="W108" s="6" t="s">
        <v>646</v>
      </c>
      <c r="X108" s="6" t="s">
        <v>719</v>
      </c>
      <c r="Y108" s="22" t="s">
        <v>720</v>
      </c>
      <c r="Z108" s="6"/>
      <c r="AA108" s="21"/>
      <c r="AB108" s="23">
        <v>43893</v>
      </c>
      <c r="AC108" s="21" t="s">
        <v>32</v>
      </c>
      <c r="AD108" s="24" t="s">
        <v>174</v>
      </c>
      <c r="AE108" s="6" t="s">
        <v>35</v>
      </c>
      <c r="AF108" s="6"/>
      <c r="AG108" s="6" t="s">
        <v>3039</v>
      </c>
    </row>
    <row r="109" spans="1:33" ht="7.5" customHeight="1" x14ac:dyDescent="0.25">
      <c r="A109" s="27"/>
      <c r="B109" s="39"/>
      <c r="C109" s="39"/>
      <c r="D109" s="39"/>
      <c r="E109" s="28"/>
      <c r="F109" s="27"/>
      <c r="G109" s="27"/>
      <c r="H109" s="27"/>
      <c r="I109" s="27"/>
      <c r="J109" s="30"/>
      <c r="K109" s="30"/>
      <c r="L109" s="29"/>
      <c r="M109" s="27"/>
      <c r="N109" s="27"/>
      <c r="O109" s="27"/>
      <c r="P109" s="27"/>
      <c r="Q109" s="29"/>
      <c r="R109" s="29"/>
      <c r="S109" s="29"/>
      <c r="T109" s="29"/>
      <c r="U109" s="27"/>
      <c r="V109" s="29"/>
      <c r="W109" s="29"/>
      <c r="X109" s="29"/>
      <c r="Y109" s="31"/>
      <c r="Z109" s="29"/>
      <c r="AA109" s="30"/>
      <c r="AB109" s="32"/>
      <c r="AC109" s="30"/>
      <c r="AD109" s="33"/>
      <c r="AE109" s="29"/>
      <c r="AF109" s="29"/>
      <c r="AG109" s="29"/>
    </row>
    <row r="110" spans="1:33" ht="15" customHeight="1" x14ac:dyDescent="0.25">
      <c r="A110" s="5">
        <v>23</v>
      </c>
      <c r="B110" s="38">
        <v>43986</v>
      </c>
      <c r="C110" s="38">
        <v>43997</v>
      </c>
      <c r="D110" s="38">
        <v>44011</v>
      </c>
      <c r="E110" s="34" t="s">
        <v>2987</v>
      </c>
      <c r="F110" s="5">
        <v>5524</v>
      </c>
      <c r="G110" s="5"/>
      <c r="H110" s="5"/>
      <c r="I110" s="5"/>
      <c r="J110" s="21" t="s">
        <v>2998</v>
      </c>
      <c r="K110" s="21" t="s">
        <v>576</v>
      </c>
      <c r="L110" s="6" t="s">
        <v>577</v>
      </c>
      <c r="M110" s="5">
        <v>2</v>
      </c>
      <c r="N110" s="5"/>
      <c r="O110" s="5"/>
      <c r="P110" s="5"/>
      <c r="Q110" s="6"/>
      <c r="R110" s="6" t="s">
        <v>545</v>
      </c>
      <c r="S110" s="6"/>
      <c r="T110" s="6"/>
      <c r="U110" s="5"/>
      <c r="V110" s="6"/>
      <c r="W110" s="6" t="s">
        <v>183</v>
      </c>
      <c r="X110" s="6"/>
      <c r="Y110" s="22"/>
      <c r="Z110" s="6"/>
      <c r="AA110" s="21"/>
      <c r="AB110" s="23">
        <v>43966</v>
      </c>
      <c r="AC110" s="21" t="s">
        <v>32</v>
      </c>
      <c r="AD110" s="24"/>
      <c r="AE110" s="6" t="s">
        <v>31</v>
      </c>
      <c r="AF110" s="6"/>
      <c r="AG110" s="6" t="s">
        <v>3042</v>
      </c>
    </row>
    <row r="111" spans="1:33" ht="7.5" customHeight="1" x14ac:dyDescent="0.25">
      <c r="A111" s="27"/>
      <c r="B111" s="39"/>
      <c r="C111" s="39"/>
      <c r="D111" s="39"/>
      <c r="E111" s="28"/>
      <c r="F111" s="27"/>
      <c r="G111" s="27"/>
      <c r="H111" s="27"/>
      <c r="I111" s="27"/>
      <c r="J111" s="30"/>
      <c r="K111" s="30"/>
      <c r="L111" s="29"/>
      <c r="M111" s="27"/>
      <c r="N111" s="27"/>
      <c r="O111" s="27"/>
      <c r="P111" s="27"/>
      <c r="Q111" s="29"/>
      <c r="R111" s="29"/>
      <c r="S111" s="29"/>
      <c r="T111" s="29"/>
      <c r="U111" s="27"/>
      <c r="V111" s="29"/>
      <c r="W111" s="29"/>
      <c r="X111" s="29"/>
      <c r="Y111" s="31"/>
      <c r="Z111" s="29"/>
      <c r="AA111" s="30"/>
      <c r="AB111" s="32"/>
      <c r="AC111" s="30"/>
      <c r="AD111" s="33"/>
      <c r="AE111" s="29"/>
      <c r="AF111" s="29"/>
      <c r="AG111" s="29"/>
    </row>
    <row r="112" spans="1:33" ht="15" customHeight="1" x14ac:dyDescent="0.25">
      <c r="A112" s="5">
        <v>27</v>
      </c>
      <c r="B112" s="38">
        <v>44013</v>
      </c>
      <c r="C112" s="38">
        <v>43997</v>
      </c>
      <c r="D112" s="38">
        <v>43990</v>
      </c>
      <c r="E112" s="37">
        <v>44013</v>
      </c>
      <c r="F112" s="5">
        <v>5568</v>
      </c>
      <c r="G112" s="5" t="s">
        <v>91</v>
      </c>
      <c r="H112" s="5" t="s">
        <v>41</v>
      </c>
      <c r="I112" s="5" t="s">
        <v>92</v>
      </c>
      <c r="J112" s="21" t="s">
        <v>131</v>
      </c>
      <c r="K112" s="21" t="s">
        <v>732</v>
      </c>
      <c r="L112" s="6" t="s">
        <v>733</v>
      </c>
      <c r="M112" s="5">
        <v>1</v>
      </c>
      <c r="N112" s="5" t="s">
        <v>91</v>
      </c>
      <c r="O112" s="5" t="s">
        <v>91</v>
      </c>
      <c r="P112" s="5" t="s">
        <v>91</v>
      </c>
      <c r="Q112" s="6"/>
      <c r="R112" s="6" t="s">
        <v>734</v>
      </c>
      <c r="S112" s="6"/>
      <c r="T112" s="6"/>
      <c r="U112" s="5"/>
      <c r="V112" s="6"/>
      <c r="W112" s="6" t="s">
        <v>735</v>
      </c>
      <c r="X112" s="6"/>
      <c r="Y112" s="22"/>
      <c r="Z112" s="6"/>
      <c r="AA112" s="21"/>
      <c r="AB112" s="23"/>
      <c r="AC112" s="21" t="s">
        <v>32</v>
      </c>
      <c r="AD112" s="24" t="s">
        <v>736</v>
      </c>
      <c r="AE112" s="6" t="s">
        <v>36</v>
      </c>
      <c r="AF112" s="6"/>
      <c r="AG112" s="6" t="s">
        <v>3039</v>
      </c>
    </row>
    <row r="113" spans="1:33" ht="7.5" customHeight="1" x14ac:dyDescent="0.25">
      <c r="A113" s="27"/>
      <c r="B113" s="39"/>
      <c r="C113" s="39"/>
      <c r="D113" s="39"/>
      <c r="E113" s="28"/>
      <c r="F113" s="27"/>
      <c r="G113" s="27"/>
      <c r="H113" s="27"/>
      <c r="I113" s="27"/>
      <c r="J113" s="30"/>
      <c r="K113" s="30"/>
      <c r="L113" s="29"/>
      <c r="M113" s="27"/>
      <c r="N113" s="27"/>
      <c r="O113" s="27"/>
      <c r="P113" s="27"/>
      <c r="Q113" s="29"/>
      <c r="R113" s="29"/>
      <c r="S113" s="29"/>
      <c r="T113" s="29"/>
      <c r="U113" s="27"/>
      <c r="V113" s="29"/>
      <c r="W113" s="29"/>
      <c r="X113" s="29"/>
      <c r="Y113" s="31"/>
      <c r="Z113" s="29"/>
      <c r="AA113" s="30"/>
      <c r="AB113" s="32"/>
      <c r="AC113" s="30"/>
      <c r="AD113" s="33"/>
      <c r="AE113" s="29"/>
      <c r="AF113" s="29"/>
      <c r="AG113" s="29"/>
    </row>
    <row r="114" spans="1:33" ht="15" customHeight="1" x14ac:dyDescent="0.25">
      <c r="A114" s="5">
        <v>28</v>
      </c>
      <c r="B114" s="38">
        <v>44018</v>
      </c>
      <c r="C114" s="38">
        <v>43997</v>
      </c>
      <c r="D114" s="38">
        <v>43990</v>
      </c>
      <c r="E114" s="34">
        <v>44018</v>
      </c>
      <c r="F114" s="5">
        <v>5560</v>
      </c>
      <c r="G114" s="5" t="s">
        <v>91</v>
      </c>
      <c r="H114" s="5" t="s">
        <v>41</v>
      </c>
      <c r="I114" s="5" t="s">
        <v>92</v>
      </c>
      <c r="J114" s="21" t="s">
        <v>131</v>
      </c>
      <c r="K114" s="21" t="s">
        <v>788</v>
      </c>
      <c r="L114" s="6" t="s">
        <v>789</v>
      </c>
      <c r="M114" s="5">
        <v>2</v>
      </c>
      <c r="N114" s="5" t="s">
        <v>91</v>
      </c>
      <c r="O114" s="5" t="s">
        <v>91</v>
      </c>
      <c r="P114" s="5" t="s">
        <v>91</v>
      </c>
      <c r="Q114" s="6" t="s">
        <v>559</v>
      </c>
      <c r="R114" s="6" t="s">
        <v>112</v>
      </c>
      <c r="S114" s="6"/>
      <c r="T114" s="6"/>
      <c r="U114" s="5"/>
      <c r="V114" s="6"/>
      <c r="W114" s="6" t="s">
        <v>183</v>
      </c>
      <c r="X114" s="6"/>
      <c r="Y114" s="22"/>
      <c r="Z114" s="6">
        <v>2.5</v>
      </c>
      <c r="AA114" s="21"/>
      <c r="AB114" s="23"/>
      <c r="AC114" s="21" t="s">
        <v>30</v>
      </c>
      <c r="AD114" s="24" t="s">
        <v>790</v>
      </c>
      <c r="AE114" s="6" t="s">
        <v>31</v>
      </c>
      <c r="AF114" s="6"/>
      <c r="AG114" s="6" t="s">
        <v>3040</v>
      </c>
    </row>
    <row r="115" spans="1:33" ht="15" customHeight="1" x14ac:dyDescent="0.25">
      <c r="A115" s="5">
        <v>28</v>
      </c>
      <c r="B115" s="38">
        <v>44018</v>
      </c>
      <c r="C115" s="38">
        <v>43997</v>
      </c>
      <c r="D115" s="38">
        <v>43990</v>
      </c>
      <c r="E115" s="34">
        <v>44018</v>
      </c>
      <c r="F115" s="5">
        <v>6685</v>
      </c>
      <c r="G115" s="5" t="s">
        <v>91</v>
      </c>
      <c r="H115" s="5" t="s">
        <v>41</v>
      </c>
      <c r="I115" s="5" t="s">
        <v>92</v>
      </c>
      <c r="J115" s="21" t="s">
        <v>191</v>
      </c>
      <c r="K115" s="21" t="s">
        <v>812</v>
      </c>
      <c r="L115" s="6" t="s">
        <v>813</v>
      </c>
      <c r="M115" s="5">
        <v>14</v>
      </c>
      <c r="N115" s="5" t="s">
        <v>91</v>
      </c>
      <c r="O115" s="5" t="s">
        <v>91</v>
      </c>
      <c r="P115" s="5" t="s">
        <v>91</v>
      </c>
      <c r="Q115" s="6" t="s">
        <v>559</v>
      </c>
      <c r="R115" s="6" t="s">
        <v>194</v>
      </c>
      <c r="S115" s="6"/>
      <c r="T115" s="6"/>
      <c r="U115" s="5"/>
      <c r="V115" s="6"/>
      <c r="W115" s="6" t="s">
        <v>580</v>
      </c>
      <c r="X115" s="6"/>
      <c r="Y115" s="22"/>
      <c r="Z115" s="6">
        <v>4</v>
      </c>
      <c r="AA115" s="21"/>
      <c r="AB115" s="23"/>
      <c r="AC115" s="21" t="s">
        <v>32</v>
      </c>
      <c r="AD115" s="24" t="s">
        <v>814</v>
      </c>
      <c r="AE115" s="6" t="s">
        <v>31</v>
      </c>
      <c r="AF115" s="6"/>
      <c r="AG115" s="6" t="s">
        <v>3039</v>
      </c>
    </row>
    <row r="116" spans="1:33" ht="7.5" customHeight="1" x14ac:dyDescent="0.25">
      <c r="A116" s="27"/>
      <c r="B116" s="39"/>
      <c r="C116" s="39"/>
      <c r="D116" s="39"/>
      <c r="E116" s="28"/>
      <c r="F116" s="27"/>
      <c r="G116" s="27"/>
      <c r="H116" s="27"/>
      <c r="I116" s="27"/>
      <c r="J116" s="30"/>
      <c r="K116" s="30"/>
      <c r="L116" s="29"/>
      <c r="M116" s="27"/>
      <c r="N116" s="27"/>
      <c r="O116" s="27"/>
      <c r="P116" s="27"/>
      <c r="Q116" s="29"/>
      <c r="R116" s="29"/>
      <c r="S116" s="29"/>
      <c r="T116" s="29"/>
      <c r="U116" s="27"/>
      <c r="V116" s="29"/>
      <c r="W116" s="29"/>
      <c r="X116" s="29"/>
      <c r="Y116" s="31"/>
      <c r="Z116" s="29"/>
      <c r="AA116" s="30"/>
      <c r="AB116" s="32"/>
      <c r="AC116" s="30"/>
      <c r="AD116" s="33"/>
      <c r="AE116" s="29"/>
      <c r="AF116" s="29"/>
      <c r="AG116" s="29"/>
    </row>
    <row r="117" spans="1:33" ht="15" customHeight="1" x14ac:dyDescent="0.25">
      <c r="A117" s="5">
        <v>27</v>
      </c>
      <c r="B117" s="38">
        <v>44013</v>
      </c>
      <c r="C117" s="38">
        <v>43997</v>
      </c>
      <c r="D117" s="38">
        <v>43983</v>
      </c>
      <c r="E117" s="37">
        <v>44013</v>
      </c>
      <c r="F117" s="5">
        <v>8666</v>
      </c>
      <c r="G117" s="5" t="s">
        <v>91</v>
      </c>
      <c r="H117" s="5" t="s">
        <v>41</v>
      </c>
      <c r="I117" s="5" t="s">
        <v>92</v>
      </c>
      <c r="J117" s="21" t="s">
        <v>147</v>
      </c>
      <c r="K117" s="21" t="s">
        <v>702</v>
      </c>
      <c r="L117" s="6" t="s">
        <v>703</v>
      </c>
      <c r="M117" s="5">
        <v>16</v>
      </c>
      <c r="N117" s="5" t="s">
        <v>91</v>
      </c>
      <c r="O117" s="5" t="s">
        <v>91</v>
      </c>
      <c r="P117" s="5" t="s">
        <v>91</v>
      </c>
      <c r="Q117" s="6" t="s">
        <v>741</v>
      </c>
      <c r="R117" s="6" t="s">
        <v>742</v>
      </c>
      <c r="S117" s="6" t="s">
        <v>265</v>
      </c>
      <c r="T117" s="6"/>
      <c r="U117" s="5"/>
      <c r="V117" s="6"/>
      <c r="W117" s="6" t="s">
        <v>705</v>
      </c>
      <c r="X117" s="6"/>
      <c r="Y117" s="22"/>
      <c r="Z117" s="6"/>
      <c r="AA117" s="21"/>
      <c r="AB117" s="23">
        <v>43902</v>
      </c>
      <c r="AC117" s="21" t="s">
        <v>32</v>
      </c>
      <c r="AD117" s="24" t="s">
        <v>743</v>
      </c>
      <c r="AE117" s="6" t="s">
        <v>31</v>
      </c>
      <c r="AF117" s="6"/>
      <c r="AG117" s="6" t="s">
        <v>3041</v>
      </c>
    </row>
    <row r="118" spans="1:33" ht="7.5" customHeight="1" x14ac:dyDescent="0.25">
      <c r="A118" s="27"/>
      <c r="B118" s="39"/>
      <c r="C118" s="39"/>
      <c r="D118" s="39"/>
      <c r="E118" s="28"/>
      <c r="F118" s="27"/>
      <c r="G118" s="27"/>
      <c r="H118" s="27"/>
      <c r="I118" s="27"/>
      <c r="J118" s="30"/>
      <c r="K118" s="30"/>
      <c r="L118" s="29"/>
      <c r="M118" s="27"/>
      <c r="N118" s="27"/>
      <c r="O118" s="27"/>
      <c r="P118" s="27"/>
      <c r="Q118" s="29"/>
      <c r="R118" s="29"/>
      <c r="S118" s="29"/>
      <c r="T118" s="29"/>
      <c r="U118" s="27"/>
      <c r="V118" s="29"/>
      <c r="W118" s="29"/>
      <c r="X118" s="29"/>
      <c r="Y118" s="31"/>
      <c r="Z118" s="29"/>
      <c r="AA118" s="30"/>
      <c r="AB118" s="32"/>
      <c r="AC118" s="30"/>
      <c r="AD118" s="33"/>
      <c r="AE118" s="29"/>
      <c r="AF118" s="29"/>
      <c r="AG118" s="29"/>
    </row>
    <row r="119" spans="1:33" ht="15" customHeight="1" x14ac:dyDescent="0.25">
      <c r="A119" s="5">
        <v>29</v>
      </c>
      <c r="B119" s="38">
        <v>44025</v>
      </c>
      <c r="C119" s="38">
        <v>43998</v>
      </c>
      <c r="D119" s="38">
        <v>43986</v>
      </c>
      <c r="E119" s="35">
        <v>44025</v>
      </c>
      <c r="F119" s="5">
        <v>6689</v>
      </c>
      <c r="G119" s="5" t="s">
        <v>91</v>
      </c>
      <c r="H119" s="5" t="s">
        <v>41</v>
      </c>
      <c r="I119" s="5" t="s">
        <v>92</v>
      </c>
      <c r="J119" s="21" t="s">
        <v>191</v>
      </c>
      <c r="K119" s="21" t="s">
        <v>940</v>
      </c>
      <c r="L119" s="6" t="s">
        <v>941</v>
      </c>
      <c r="M119" s="5">
        <v>12</v>
      </c>
      <c r="N119" s="5" t="s">
        <v>91</v>
      </c>
      <c r="O119" s="5" t="s">
        <v>91</v>
      </c>
      <c r="P119" s="5" t="s">
        <v>91</v>
      </c>
      <c r="Q119" s="6" t="s">
        <v>559</v>
      </c>
      <c r="R119" s="6" t="s">
        <v>194</v>
      </c>
      <c r="S119" s="6"/>
      <c r="T119" s="6"/>
      <c r="U119" s="5"/>
      <c r="V119" s="6"/>
      <c r="W119" s="6" t="s">
        <v>942</v>
      </c>
      <c r="X119" s="6"/>
      <c r="Y119" s="22"/>
      <c r="Z119" s="6">
        <v>3</v>
      </c>
      <c r="AA119" s="21"/>
      <c r="AB119" s="23"/>
      <c r="AC119" s="21" t="s">
        <v>32</v>
      </c>
      <c r="AD119" s="24" t="s">
        <v>943</v>
      </c>
      <c r="AE119" s="6" t="s">
        <v>31</v>
      </c>
      <c r="AF119" s="6"/>
      <c r="AG119" s="6" t="s">
        <v>3039</v>
      </c>
    </row>
    <row r="120" spans="1:33" ht="7.5" customHeight="1" x14ac:dyDescent="0.25">
      <c r="A120" s="27"/>
      <c r="B120" s="39"/>
      <c r="C120" s="39"/>
      <c r="D120" s="39"/>
      <c r="E120" s="28"/>
      <c r="F120" s="27"/>
      <c r="G120" s="27"/>
      <c r="H120" s="27"/>
      <c r="I120" s="27"/>
      <c r="J120" s="30"/>
      <c r="K120" s="30"/>
      <c r="L120" s="29"/>
      <c r="M120" s="27"/>
      <c r="N120" s="27"/>
      <c r="O120" s="27"/>
      <c r="P120" s="27"/>
      <c r="Q120" s="29"/>
      <c r="R120" s="29"/>
      <c r="S120" s="29"/>
      <c r="T120" s="29"/>
      <c r="U120" s="27"/>
      <c r="V120" s="29"/>
      <c r="W120" s="29"/>
      <c r="X120" s="29"/>
      <c r="Y120" s="31"/>
      <c r="Z120" s="29"/>
      <c r="AA120" s="30"/>
      <c r="AB120" s="32"/>
      <c r="AC120" s="30"/>
      <c r="AD120" s="33"/>
      <c r="AE120" s="29"/>
      <c r="AF120" s="29"/>
      <c r="AG120" s="29"/>
    </row>
    <row r="121" spans="1:33" ht="15" customHeight="1" x14ac:dyDescent="0.25">
      <c r="A121" s="5">
        <v>28</v>
      </c>
      <c r="B121" s="38">
        <v>44020</v>
      </c>
      <c r="C121" s="38">
        <v>43999</v>
      </c>
      <c r="D121" s="38">
        <v>43992</v>
      </c>
      <c r="E121" s="34">
        <v>44020</v>
      </c>
      <c r="F121" s="5">
        <v>10660</v>
      </c>
      <c r="G121" s="5" t="s">
        <v>91</v>
      </c>
      <c r="H121" s="5" t="s">
        <v>40</v>
      </c>
      <c r="I121" s="5" t="s">
        <v>92</v>
      </c>
      <c r="J121" s="21" t="s">
        <v>170</v>
      </c>
      <c r="K121" s="21" t="s">
        <v>826</v>
      </c>
      <c r="L121" s="6" t="s">
        <v>827</v>
      </c>
      <c r="M121" s="5">
        <v>12</v>
      </c>
      <c r="N121" s="5" t="s">
        <v>91</v>
      </c>
      <c r="O121" s="5" t="s">
        <v>91</v>
      </c>
      <c r="P121" s="5" t="s">
        <v>91</v>
      </c>
      <c r="Q121" s="6" t="s">
        <v>559</v>
      </c>
      <c r="R121" s="6" t="s">
        <v>112</v>
      </c>
      <c r="S121" s="6"/>
      <c r="T121" s="6"/>
      <c r="U121" s="5"/>
      <c r="V121" s="6"/>
      <c r="W121" s="6" t="s">
        <v>828</v>
      </c>
      <c r="X121" s="6"/>
      <c r="Y121" s="22"/>
      <c r="Z121" s="6"/>
      <c r="AA121" s="21"/>
      <c r="AB121" s="23"/>
      <c r="AC121" s="21" t="s">
        <v>30</v>
      </c>
      <c r="AD121" s="24" t="s">
        <v>829</v>
      </c>
      <c r="AE121" s="6" t="s">
        <v>31</v>
      </c>
      <c r="AF121" s="6"/>
      <c r="AG121" s="6" t="s">
        <v>3039</v>
      </c>
    </row>
    <row r="122" spans="1:33" ht="7.5" customHeight="1" x14ac:dyDescent="0.25">
      <c r="A122" s="27"/>
      <c r="B122" s="39"/>
      <c r="C122" s="39"/>
      <c r="D122" s="39"/>
      <c r="E122" s="28"/>
      <c r="F122" s="27"/>
      <c r="G122" s="27"/>
      <c r="H122" s="27"/>
      <c r="I122" s="27"/>
      <c r="J122" s="30"/>
      <c r="K122" s="30"/>
      <c r="L122" s="29"/>
      <c r="M122" s="27"/>
      <c r="N122" s="27"/>
      <c r="O122" s="27"/>
      <c r="P122" s="27"/>
      <c r="Q122" s="29"/>
      <c r="R122" s="29"/>
      <c r="S122" s="29"/>
      <c r="T122" s="29"/>
      <c r="U122" s="27"/>
      <c r="V122" s="29"/>
      <c r="W122" s="29"/>
      <c r="X122" s="29"/>
      <c r="Y122" s="31"/>
      <c r="Z122" s="29"/>
      <c r="AA122" s="30"/>
      <c r="AB122" s="32"/>
      <c r="AC122" s="30"/>
      <c r="AD122" s="33"/>
      <c r="AE122" s="29"/>
      <c r="AF122" s="29"/>
      <c r="AG122" s="29"/>
    </row>
    <row r="123" spans="1:33" ht="15" customHeight="1" x14ac:dyDescent="0.25">
      <c r="A123" s="5">
        <v>27</v>
      </c>
      <c r="B123" s="38">
        <v>44013</v>
      </c>
      <c r="C123" s="38">
        <v>43999</v>
      </c>
      <c r="D123" s="38">
        <v>43992</v>
      </c>
      <c r="E123" s="37">
        <v>44013</v>
      </c>
      <c r="F123" s="5">
        <v>4782</v>
      </c>
      <c r="G123" s="5" t="s">
        <v>91</v>
      </c>
      <c r="H123" s="5" t="s">
        <v>41</v>
      </c>
      <c r="I123" s="5" t="s">
        <v>92</v>
      </c>
      <c r="J123" s="21" t="s">
        <v>109</v>
      </c>
      <c r="K123" s="21" t="s">
        <v>721</v>
      </c>
      <c r="L123" s="6" t="s">
        <v>722</v>
      </c>
      <c r="M123" s="5">
        <v>4</v>
      </c>
      <c r="N123" s="5" t="s">
        <v>91</v>
      </c>
      <c r="O123" s="5" t="s">
        <v>91</v>
      </c>
      <c r="P123" s="5" t="s">
        <v>91</v>
      </c>
      <c r="Q123" s="6" t="s">
        <v>559</v>
      </c>
      <c r="R123" s="6" t="s">
        <v>112</v>
      </c>
      <c r="S123" s="6"/>
      <c r="T123" s="6"/>
      <c r="U123" s="5"/>
      <c r="V123" s="6"/>
      <c r="W123" s="6" t="s">
        <v>723</v>
      </c>
      <c r="X123" s="6"/>
      <c r="Y123" s="22"/>
      <c r="Z123" s="6">
        <v>0.76</v>
      </c>
      <c r="AA123" s="21">
        <v>15233</v>
      </c>
      <c r="AB123" s="23"/>
      <c r="AC123" s="21" t="s">
        <v>30</v>
      </c>
      <c r="AD123" s="24" t="s">
        <v>724</v>
      </c>
      <c r="AE123" s="6" t="s">
        <v>34</v>
      </c>
      <c r="AF123" s="6"/>
      <c r="AG123" s="6" t="s">
        <v>3040</v>
      </c>
    </row>
    <row r="124" spans="1:33" ht="7.5" customHeight="1" x14ac:dyDescent="0.25">
      <c r="A124" s="27"/>
      <c r="B124" s="39"/>
      <c r="C124" s="39"/>
      <c r="D124" s="39"/>
      <c r="E124" s="28"/>
      <c r="F124" s="27"/>
      <c r="G124" s="27"/>
      <c r="H124" s="27"/>
      <c r="I124" s="27"/>
      <c r="J124" s="30"/>
      <c r="K124" s="30"/>
      <c r="L124" s="29"/>
      <c r="M124" s="27"/>
      <c r="N124" s="27"/>
      <c r="O124" s="27"/>
      <c r="P124" s="27"/>
      <c r="Q124" s="29"/>
      <c r="R124" s="29"/>
      <c r="S124" s="29"/>
      <c r="T124" s="29"/>
      <c r="U124" s="27"/>
      <c r="V124" s="29"/>
      <c r="W124" s="29"/>
      <c r="X124" s="29"/>
      <c r="Y124" s="31"/>
      <c r="Z124" s="29"/>
      <c r="AA124" s="30"/>
      <c r="AB124" s="32"/>
      <c r="AC124" s="30"/>
      <c r="AD124" s="33"/>
      <c r="AE124" s="29"/>
      <c r="AF124" s="29"/>
      <c r="AG124" s="29"/>
    </row>
    <row r="125" spans="1:33" ht="15" customHeight="1" x14ac:dyDescent="0.25">
      <c r="A125" s="5">
        <v>27</v>
      </c>
      <c r="B125" s="38">
        <v>44015</v>
      </c>
      <c r="C125" s="38">
        <v>43999</v>
      </c>
      <c r="D125" s="38">
        <v>43985</v>
      </c>
      <c r="E125" s="37">
        <v>44015</v>
      </c>
      <c r="F125" s="5">
        <v>6688</v>
      </c>
      <c r="G125" s="5" t="s">
        <v>91</v>
      </c>
      <c r="H125" s="5" t="s">
        <v>40</v>
      </c>
      <c r="I125" s="5" t="s">
        <v>92</v>
      </c>
      <c r="J125" s="21" t="s">
        <v>191</v>
      </c>
      <c r="K125" s="21" t="s">
        <v>754</v>
      </c>
      <c r="L125" s="6" t="s">
        <v>755</v>
      </c>
      <c r="M125" s="5">
        <v>1</v>
      </c>
      <c r="N125" s="5" t="s">
        <v>91</v>
      </c>
      <c r="O125" s="5" t="s">
        <v>91</v>
      </c>
      <c r="P125" s="5" t="s">
        <v>91</v>
      </c>
      <c r="Q125" s="6" t="s">
        <v>559</v>
      </c>
      <c r="R125" s="6" t="s">
        <v>756</v>
      </c>
      <c r="S125" s="6"/>
      <c r="T125" s="6"/>
      <c r="U125" s="5"/>
      <c r="V125" s="6" t="s">
        <v>757</v>
      </c>
      <c r="W125" s="6" t="s">
        <v>739</v>
      </c>
      <c r="X125" s="6"/>
      <c r="Y125" s="22"/>
      <c r="Z125" s="6">
        <v>2.5</v>
      </c>
      <c r="AA125" s="21"/>
      <c r="AB125" s="23"/>
      <c r="AC125" s="21" t="s">
        <v>30</v>
      </c>
      <c r="AD125" s="24" t="s">
        <v>174</v>
      </c>
      <c r="AE125" s="6" t="s">
        <v>38</v>
      </c>
      <c r="AF125" s="6"/>
      <c r="AG125" s="6" t="s">
        <v>3039</v>
      </c>
    </row>
    <row r="126" spans="1:33" ht="7.5" customHeight="1" x14ac:dyDescent="0.25">
      <c r="A126" s="27"/>
      <c r="B126" s="39"/>
      <c r="C126" s="39"/>
      <c r="D126" s="39"/>
      <c r="E126" s="28"/>
      <c r="F126" s="27"/>
      <c r="G126" s="27"/>
      <c r="H126" s="27"/>
      <c r="I126" s="27"/>
      <c r="J126" s="30"/>
      <c r="K126" s="30"/>
      <c r="L126" s="29"/>
      <c r="M126" s="27"/>
      <c r="N126" s="27"/>
      <c r="O126" s="27"/>
      <c r="P126" s="27"/>
      <c r="Q126" s="29"/>
      <c r="R126" s="29"/>
      <c r="S126" s="29"/>
      <c r="T126" s="29"/>
      <c r="U126" s="27"/>
      <c r="V126" s="29"/>
      <c r="W126" s="29"/>
      <c r="X126" s="29"/>
      <c r="Y126" s="31"/>
      <c r="Z126" s="29"/>
      <c r="AA126" s="30"/>
      <c r="AB126" s="32"/>
      <c r="AC126" s="30"/>
      <c r="AD126" s="33"/>
      <c r="AE126" s="29"/>
      <c r="AF126" s="29"/>
      <c r="AG126" s="29"/>
    </row>
    <row r="127" spans="1:33" ht="15" customHeight="1" x14ac:dyDescent="0.25">
      <c r="A127" s="5">
        <v>28</v>
      </c>
      <c r="B127" s="38">
        <v>44020</v>
      </c>
      <c r="C127" s="38">
        <v>43999</v>
      </c>
      <c r="D127" s="38">
        <v>43992</v>
      </c>
      <c r="E127" s="34">
        <v>44020</v>
      </c>
      <c r="F127" s="5">
        <v>8697</v>
      </c>
      <c r="G127" s="5" t="s">
        <v>91</v>
      </c>
      <c r="H127" s="5" t="s">
        <v>41</v>
      </c>
      <c r="I127" s="5" t="s">
        <v>92</v>
      </c>
      <c r="J127" s="21" t="s">
        <v>147</v>
      </c>
      <c r="K127" s="21" t="s">
        <v>877</v>
      </c>
      <c r="L127" s="6" t="s">
        <v>878</v>
      </c>
      <c r="M127" s="5">
        <v>1</v>
      </c>
      <c r="N127" s="5" t="s">
        <v>91</v>
      </c>
      <c r="O127" s="5" t="s">
        <v>91</v>
      </c>
      <c r="P127" s="5" t="s">
        <v>91</v>
      </c>
      <c r="Q127" s="6" t="s">
        <v>741</v>
      </c>
      <c r="R127" s="6" t="s">
        <v>879</v>
      </c>
      <c r="S127" s="6"/>
      <c r="T127" s="6" t="s">
        <v>880</v>
      </c>
      <c r="U127" s="5"/>
      <c r="V127" s="6"/>
      <c r="W127" s="6" t="s">
        <v>881</v>
      </c>
      <c r="X127" s="6" t="s">
        <v>882</v>
      </c>
      <c r="Y127" s="22">
        <v>212802822</v>
      </c>
      <c r="Z127" s="6"/>
      <c r="AA127" s="21"/>
      <c r="AB127" s="23">
        <v>43991</v>
      </c>
      <c r="AC127" s="21" t="s">
        <v>32</v>
      </c>
      <c r="AD127" s="24" t="s">
        <v>883</v>
      </c>
      <c r="AE127" s="6" t="s">
        <v>36</v>
      </c>
      <c r="AF127" s="6"/>
      <c r="AG127" s="6" t="s">
        <v>3039</v>
      </c>
    </row>
    <row r="128" spans="1:33" ht="7.5" customHeight="1" x14ac:dyDescent="0.25">
      <c r="A128" s="27"/>
      <c r="B128" s="39"/>
      <c r="C128" s="39"/>
      <c r="D128" s="39"/>
      <c r="E128" s="28"/>
      <c r="F128" s="27"/>
      <c r="G128" s="27"/>
      <c r="H128" s="27"/>
      <c r="I128" s="27"/>
      <c r="J128" s="30"/>
      <c r="K128" s="30"/>
      <c r="L128" s="29"/>
      <c r="M128" s="27"/>
      <c r="N128" s="27"/>
      <c r="O128" s="27"/>
      <c r="P128" s="27"/>
      <c r="Q128" s="29"/>
      <c r="R128" s="29"/>
      <c r="S128" s="29"/>
      <c r="T128" s="29"/>
      <c r="U128" s="27"/>
      <c r="V128" s="29"/>
      <c r="W128" s="29"/>
      <c r="X128" s="29"/>
      <c r="Y128" s="31"/>
      <c r="Z128" s="29"/>
      <c r="AA128" s="30"/>
      <c r="AB128" s="32"/>
      <c r="AC128" s="30"/>
      <c r="AD128" s="33"/>
      <c r="AE128" s="29"/>
      <c r="AF128" s="29"/>
      <c r="AG128" s="29"/>
    </row>
    <row r="129" spans="1:33" ht="15" customHeight="1" x14ac:dyDescent="0.25">
      <c r="A129" s="5">
        <v>27</v>
      </c>
      <c r="B129" s="38">
        <v>44015</v>
      </c>
      <c r="C129" s="38">
        <v>43999</v>
      </c>
      <c r="D129" s="38">
        <v>43986</v>
      </c>
      <c r="E129" s="37">
        <v>44015</v>
      </c>
      <c r="F129" s="5">
        <v>9645</v>
      </c>
      <c r="G129" s="5" t="s">
        <v>91</v>
      </c>
      <c r="H129" s="5" t="s">
        <v>40</v>
      </c>
      <c r="I129" s="5" t="s">
        <v>92</v>
      </c>
      <c r="J129" s="21" t="s">
        <v>159</v>
      </c>
      <c r="K129" s="21">
        <v>256793</v>
      </c>
      <c r="L129" s="6" t="s">
        <v>152</v>
      </c>
      <c r="M129" s="5">
        <v>43</v>
      </c>
      <c r="N129" s="5" t="s">
        <v>91</v>
      </c>
      <c r="O129" s="5" t="s">
        <v>91</v>
      </c>
      <c r="P129" s="5" t="s">
        <v>91</v>
      </c>
      <c r="Q129" s="6" t="s">
        <v>559</v>
      </c>
      <c r="R129" s="6" t="s">
        <v>106</v>
      </c>
      <c r="S129" s="6"/>
      <c r="T129" s="6"/>
      <c r="U129" s="5"/>
      <c r="V129" s="6"/>
      <c r="W129" s="6" t="s">
        <v>106</v>
      </c>
      <c r="X129" s="6"/>
      <c r="Y129" s="22"/>
      <c r="Z129" s="6"/>
      <c r="AA129" s="21">
        <v>256793</v>
      </c>
      <c r="AB129" s="23"/>
      <c r="AC129" s="21" t="s">
        <v>32</v>
      </c>
      <c r="AD129" s="24" t="s">
        <v>768</v>
      </c>
      <c r="AE129" s="6" t="s">
        <v>31</v>
      </c>
      <c r="AF129" s="6"/>
      <c r="AG129" s="6" t="s">
        <v>3042</v>
      </c>
    </row>
    <row r="130" spans="1:33" ht="7.5" customHeight="1" x14ac:dyDescent="0.25">
      <c r="A130" s="27"/>
      <c r="B130" s="39"/>
      <c r="C130" s="39"/>
      <c r="D130" s="39"/>
      <c r="E130" s="28"/>
      <c r="F130" s="27"/>
      <c r="G130" s="27"/>
      <c r="H130" s="27"/>
      <c r="I130" s="27"/>
      <c r="J130" s="30"/>
      <c r="K130" s="30"/>
      <c r="L130" s="29"/>
      <c r="M130" s="27"/>
      <c r="N130" s="27"/>
      <c r="O130" s="27"/>
      <c r="P130" s="27"/>
      <c r="Q130" s="29"/>
      <c r="R130" s="29"/>
      <c r="S130" s="29"/>
      <c r="T130" s="29"/>
      <c r="U130" s="27"/>
      <c r="V130" s="29"/>
      <c r="W130" s="29"/>
      <c r="X130" s="29"/>
      <c r="Y130" s="31"/>
      <c r="Z130" s="29"/>
      <c r="AA130" s="30"/>
      <c r="AB130" s="32"/>
      <c r="AC130" s="30"/>
      <c r="AD130" s="33"/>
      <c r="AE130" s="29"/>
      <c r="AF130" s="29"/>
      <c r="AG130" s="29"/>
    </row>
    <row r="131" spans="1:33" ht="15" customHeight="1" x14ac:dyDescent="0.25">
      <c r="A131" s="5">
        <v>23</v>
      </c>
      <c r="B131" s="38">
        <v>43984</v>
      </c>
      <c r="C131" s="38">
        <v>44000</v>
      </c>
      <c r="D131" s="38">
        <v>44005</v>
      </c>
      <c r="E131" s="34" t="s">
        <v>441</v>
      </c>
      <c r="F131" s="5">
        <v>10069</v>
      </c>
      <c r="G131" s="5"/>
      <c r="H131" s="5"/>
      <c r="I131" s="5"/>
      <c r="J131" s="21" t="s">
        <v>2994</v>
      </c>
      <c r="K131" s="21" t="s">
        <v>547</v>
      </c>
      <c r="L131" s="6" t="s">
        <v>548</v>
      </c>
      <c r="M131" s="5">
        <v>19</v>
      </c>
      <c r="N131" s="5"/>
      <c r="O131" s="5"/>
      <c r="P131" s="5"/>
      <c r="Q131" s="6" t="s">
        <v>544</v>
      </c>
      <c r="R131" s="6" t="s">
        <v>545</v>
      </c>
      <c r="S131" s="6" t="s">
        <v>544</v>
      </c>
      <c r="T131" s="6"/>
      <c r="U131" s="5" t="s">
        <v>544</v>
      </c>
      <c r="V131" s="6"/>
      <c r="W131" s="6" t="s">
        <v>549</v>
      </c>
      <c r="X131" s="6"/>
      <c r="Y131" s="22"/>
      <c r="Z131" s="6">
        <v>7.9</v>
      </c>
      <c r="AA131" s="21">
        <v>1</v>
      </c>
      <c r="AB131" s="23">
        <v>43972</v>
      </c>
      <c r="AC131" s="21" t="s">
        <v>30</v>
      </c>
      <c r="AD131" s="24">
        <v>6354.87</v>
      </c>
      <c r="AE131" s="6" t="s">
        <v>31</v>
      </c>
      <c r="AF131" s="6"/>
      <c r="AG131" s="6" t="s">
        <v>3040</v>
      </c>
    </row>
    <row r="132" spans="1:33" ht="7.5" customHeight="1" x14ac:dyDescent="0.25">
      <c r="A132" s="27"/>
      <c r="B132" s="39"/>
      <c r="C132" s="39"/>
      <c r="D132" s="39"/>
      <c r="E132" s="28"/>
      <c r="F132" s="27"/>
      <c r="G132" s="27"/>
      <c r="H132" s="27"/>
      <c r="I132" s="27"/>
      <c r="J132" s="30"/>
      <c r="K132" s="30"/>
      <c r="L132" s="29"/>
      <c r="M132" s="27"/>
      <c r="N132" s="27"/>
      <c r="O132" s="27"/>
      <c r="P132" s="27"/>
      <c r="Q132" s="29"/>
      <c r="R132" s="29"/>
      <c r="S132" s="29"/>
      <c r="T132" s="29"/>
      <c r="U132" s="27"/>
      <c r="V132" s="29"/>
      <c r="W132" s="29"/>
      <c r="X132" s="29"/>
      <c r="Y132" s="31"/>
      <c r="Z132" s="29"/>
      <c r="AA132" s="30"/>
      <c r="AB132" s="32"/>
      <c r="AC132" s="30"/>
      <c r="AD132" s="33"/>
      <c r="AE132" s="29"/>
      <c r="AF132" s="29"/>
      <c r="AG132" s="29"/>
    </row>
    <row r="133" spans="1:33" ht="15" customHeight="1" x14ac:dyDescent="0.25">
      <c r="A133" s="5">
        <v>28</v>
      </c>
      <c r="B133" s="38">
        <v>44018</v>
      </c>
      <c r="C133" s="38">
        <v>44000</v>
      </c>
      <c r="D133" s="38">
        <v>43991</v>
      </c>
      <c r="E133" s="34">
        <v>44018</v>
      </c>
      <c r="F133" s="5">
        <v>9646</v>
      </c>
      <c r="G133" s="5" t="s">
        <v>91</v>
      </c>
      <c r="H133" s="5" t="s">
        <v>40</v>
      </c>
      <c r="I133" s="5" t="s">
        <v>92</v>
      </c>
      <c r="J133" s="21" t="s">
        <v>159</v>
      </c>
      <c r="K133" s="21">
        <v>256821</v>
      </c>
      <c r="L133" s="6" t="s">
        <v>152</v>
      </c>
      <c r="M133" s="5">
        <v>5</v>
      </c>
      <c r="N133" s="5" t="s">
        <v>91</v>
      </c>
      <c r="O133" s="5" t="s">
        <v>91</v>
      </c>
      <c r="P133" s="5" t="s">
        <v>91</v>
      </c>
      <c r="Q133" s="6" t="s">
        <v>559</v>
      </c>
      <c r="R133" s="6" t="s">
        <v>163</v>
      </c>
      <c r="S133" s="6"/>
      <c r="T133" s="6"/>
      <c r="U133" s="5"/>
      <c r="V133" s="6" t="s">
        <v>164</v>
      </c>
      <c r="W133" s="6" t="s">
        <v>297</v>
      </c>
      <c r="X133" s="6"/>
      <c r="Y133" s="22"/>
      <c r="Z133" s="6"/>
      <c r="AA133" s="21">
        <v>256821</v>
      </c>
      <c r="AB133" s="23"/>
      <c r="AC133" s="21" t="s">
        <v>32</v>
      </c>
      <c r="AD133" s="24" t="s">
        <v>818</v>
      </c>
      <c r="AE133" s="6" t="s">
        <v>31</v>
      </c>
      <c r="AF133" s="6"/>
      <c r="AG133" s="6" t="s">
        <v>3041</v>
      </c>
    </row>
    <row r="134" spans="1:33" ht="7.5" customHeight="1" x14ac:dyDescent="0.25">
      <c r="A134" s="27"/>
      <c r="B134" s="39"/>
      <c r="C134" s="39"/>
      <c r="D134" s="39"/>
      <c r="E134" s="28"/>
      <c r="F134" s="27"/>
      <c r="G134" s="27"/>
      <c r="H134" s="27"/>
      <c r="I134" s="27"/>
      <c r="J134" s="30"/>
      <c r="K134" s="30"/>
      <c r="L134" s="29"/>
      <c r="M134" s="27"/>
      <c r="N134" s="27"/>
      <c r="O134" s="27"/>
      <c r="P134" s="27"/>
      <c r="Q134" s="29"/>
      <c r="R134" s="29"/>
      <c r="S134" s="29"/>
      <c r="T134" s="29"/>
      <c r="U134" s="27"/>
      <c r="V134" s="29"/>
      <c r="W134" s="29"/>
      <c r="X134" s="29"/>
      <c r="Y134" s="31"/>
      <c r="Z134" s="29"/>
      <c r="AA134" s="30"/>
      <c r="AB134" s="32"/>
      <c r="AC134" s="30"/>
      <c r="AD134" s="33"/>
      <c r="AE134" s="29"/>
      <c r="AF134" s="29"/>
      <c r="AG134" s="29"/>
    </row>
    <row r="135" spans="1:33" ht="15" customHeight="1" x14ac:dyDescent="0.25">
      <c r="A135" s="5">
        <v>29</v>
      </c>
      <c r="B135" s="38">
        <v>44029</v>
      </c>
      <c r="C135" s="38">
        <v>44004</v>
      </c>
      <c r="D135" s="38">
        <v>43983</v>
      </c>
      <c r="E135" s="35">
        <v>44029</v>
      </c>
      <c r="F135" s="5">
        <v>3014</v>
      </c>
      <c r="G135" s="5" t="s">
        <v>91</v>
      </c>
      <c r="H135" s="5" t="s">
        <v>41</v>
      </c>
      <c r="I135" s="5" t="s">
        <v>92</v>
      </c>
      <c r="J135" s="21" t="s">
        <v>93</v>
      </c>
      <c r="K135" s="21" t="s">
        <v>1049</v>
      </c>
      <c r="L135" s="6" t="s">
        <v>1050</v>
      </c>
      <c r="M135" s="5">
        <v>0</v>
      </c>
      <c r="N135" s="5" t="s">
        <v>91</v>
      </c>
      <c r="O135" s="5" t="s">
        <v>91</v>
      </c>
      <c r="P135" s="5" t="s">
        <v>91</v>
      </c>
      <c r="Q135" s="6"/>
      <c r="R135" s="6" t="s">
        <v>107</v>
      </c>
      <c r="S135" s="6"/>
      <c r="T135" s="6"/>
      <c r="U135" s="5"/>
      <c r="V135" s="6"/>
      <c r="W135" s="6" t="s">
        <v>106</v>
      </c>
      <c r="X135" s="6"/>
      <c r="Y135" s="22"/>
      <c r="Z135" s="6"/>
      <c r="AA135" s="21">
        <v>1009900</v>
      </c>
      <c r="AB135" s="23"/>
      <c r="AC135" s="21" t="s">
        <v>32</v>
      </c>
      <c r="AD135" s="24" t="s">
        <v>174</v>
      </c>
      <c r="AE135" s="6" t="s">
        <v>31</v>
      </c>
      <c r="AF135" s="6"/>
      <c r="AG135" s="6" t="s">
        <v>3040</v>
      </c>
    </row>
    <row r="136" spans="1:33" ht="7.5" customHeight="1" x14ac:dyDescent="0.25">
      <c r="A136" s="27"/>
      <c r="B136" s="39"/>
      <c r="C136" s="39"/>
      <c r="D136" s="39"/>
      <c r="E136" s="28"/>
      <c r="F136" s="27"/>
      <c r="G136" s="27"/>
      <c r="H136" s="27"/>
      <c r="I136" s="27"/>
      <c r="J136" s="30"/>
      <c r="K136" s="30"/>
      <c r="L136" s="29"/>
      <c r="M136" s="27"/>
      <c r="N136" s="27"/>
      <c r="O136" s="27"/>
      <c r="P136" s="27"/>
      <c r="Q136" s="29"/>
      <c r="R136" s="29"/>
      <c r="S136" s="29"/>
      <c r="T136" s="29"/>
      <c r="U136" s="27"/>
      <c r="V136" s="29"/>
      <c r="W136" s="29"/>
      <c r="X136" s="29"/>
      <c r="Y136" s="31"/>
      <c r="Z136" s="29"/>
      <c r="AA136" s="30"/>
      <c r="AB136" s="32"/>
      <c r="AC136" s="30"/>
      <c r="AD136" s="33"/>
      <c r="AE136" s="29"/>
      <c r="AF136" s="29"/>
      <c r="AG136" s="29"/>
    </row>
    <row r="137" spans="1:33" ht="15" customHeight="1" x14ac:dyDescent="0.25">
      <c r="A137" s="5">
        <v>29</v>
      </c>
      <c r="B137" s="38">
        <v>44025</v>
      </c>
      <c r="C137" s="38">
        <v>44004</v>
      </c>
      <c r="D137" s="38">
        <v>43997</v>
      </c>
      <c r="E137" s="35">
        <v>44025</v>
      </c>
      <c r="F137" s="5">
        <v>12054</v>
      </c>
      <c r="G137" s="5" t="s">
        <v>91</v>
      </c>
      <c r="H137" s="5" t="s">
        <v>40</v>
      </c>
      <c r="I137" s="5" t="s">
        <v>92</v>
      </c>
      <c r="J137" s="21" t="s">
        <v>275</v>
      </c>
      <c r="K137" s="21" t="s">
        <v>923</v>
      </c>
      <c r="L137" s="6" t="s">
        <v>924</v>
      </c>
      <c r="M137" s="5">
        <v>2</v>
      </c>
      <c r="N137" s="5" t="s">
        <v>91</v>
      </c>
      <c r="O137" s="5" t="s">
        <v>91</v>
      </c>
      <c r="P137" s="5" t="s">
        <v>91</v>
      </c>
      <c r="Q137" s="6" t="s">
        <v>559</v>
      </c>
      <c r="R137" s="6" t="s">
        <v>112</v>
      </c>
      <c r="S137" s="6"/>
      <c r="T137" s="6"/>
      <c r="U137" s="5"/>
      <c r="V137" s="6"/>
      <c r="W137" s="6" t="s">
        <v>925</v>
      </c>
      <c r="X137" s="6"/>
      <c r="Y137" s="22"/>
      <c r="Z137" s="6">
        <v>3</v>
      </c>
      <c r="AA137" s="21"/>
      <c r="AB137" s="23"/>
      <c r="AC137" s="21" t="s">
        <v>30</v>
      </c>
      <c r="AD137" s="24" t="s">
        <v>926</v>
      </c>
      <c r="AE137" s="6" t="s">
        <v>35</v>
      </c>
      <c r="AF137" s="6"/>
      <c r="AG137" s="6" t="s">
        <v>3041</v>
      </c>
    </row>
    <row r="138" spans="1:33" ht="7.5" customHeight="1" x14ac:dyDescent="0.25">
      <c r="A138" s="27"/>
      <c r="B138" s="39"/>
      <c r="C138" s="39"/>
      <c r="D138" s="39"/>
      <c r="E138" s="28"/>
      <c r="F138" s="27"/>
      <c r="G138" s="27"/>
      <c r="H138" s="27"/>
      <c r="I138" s="27"/>
      <c r="J138" s="30"/>
      <c r="K138" s="30"/>
      <c r="L138" s="29"/>
      <c r="M138" s="27"/>
      <c r="N138" s="27"/>
      <c r="O138" s="27"/>
      <c r="P138" s="27"/>
      <c r="Q138" s="29"/>
      <c r="R138" s="29"/>
      <c r="S138" s="29"/>
      <c r="T138" s="29"/>
      <c r="U138" s="27"/>
      <c r="V138" s="29"/>
      <c r="W138" s="29"/>
      <c r="X138" s="29"/>
      <c r="Y138" s="31"/>
      <c r="Z138" s="29"/>
      <c r="AA138" s="30"/>
      <c r="AB138" s="32"/>
      <c r="AC138" s="30"/>
      <c r="AD138" s="33"/>
      <c r="AE138" s="29"/>
      <c r="AF138" s="29"/>
      <c r="AG138" s="29"/>
    </row>
    <row r="139" spans="1:33" ht="15" customHeight="1" x14ac:dyDescent="0.25">
      <c r="A139" s="5">
        <v>28</v>
      </c>
      <c r="B139" s="38">
        <v>44018</v>
      </c>
      <c r="C139" s="38">
        <v>44004</v>
      </c>
      <c r="D139" s="38">
        <v>43997</v>
      </c>
      <c r="E139" s="34">
        <v>44018</v>
      </c>
      <c r="F139" s="5">
        <v>4790</v>
      </c>
      <c r="G139" s="5" t="s">
        <v>91</v>
      </c>
      <c r="H139" s="5" t="s">
        <v>42</v>
      </c>
      <c r="I139" s="5" t="s">
        <v>92</v>
      </c>
      <c r="J139" s="21" t="s">
        <v>109</v>
      </c>
      <c r="K139" s="21" t="s">
        <v>781</v>
      </c>
      <c r="L139" s="6" t="s">
        <v>782</v>
      </c>
      <c r="M139" s="5">
        <v>0</v>
      </c>
      <c r="N139" s="5" t="s">
        <v>91</v>
      </c>
      <c r="O139" s="5" t="s">
        <v>91</v>
      </c>
      <c r="P139" s="5" t="s">
        <v>91</v>
      </c>
      <c r="Q139" s="6"/>
      <c r="R139" s="6" t="s">
        <v>112</v>
      </c>
      <c r="S139" s="6"/>
      <c r="T139" s="6"/>
      <c r="U139" s="5"/>
      <c r="V139" s="6"/>
      <c r="W139" s="6" t="s">
        <v>783</v>
      </c>
      <c r="X139" s="6"/>
      <c r="Y139" s="22"/>
      <c r="Z139" s="6"/>
      <c r="AA139" s="21"/>
      <c r="AB139" s="23"/>
      <c r="AC139" s="21" t="s">
        <v>32</v>
      </c>
      <c r="AD139" s="24" t="s">
        <v>784</v>
      </c>
      <c r="AE139" s="6" t="s">
        <v>31</v>
      </c>
      <c r="AF139" s="6"/>
      <c r="AG139" s="6" t="s">
        <v>3042</v>
      </c>
    </row>
    <row r="140" spans="1:33" ht="7.5" customHeight="1" x14ac:dyDescent="0.25">
      <c r="A140" s="27"/>
      <c r="B140" s="39"/>
      <c r="C140" s="39"/>
      <c r="D140" s="39"/>
      <c r="E140" s="28"/>
      <c r="F140" s="27"/>
      <c r="G140" s="27"/>
      <c r="H140" s="27"/>
      <c r="I140" s="27"/>
      <c r="J140" s="30"/>
      <c r="K140" s="30"/>
      <c r="L140" s="29"/>
      <c r="M140" s="27"/>
      <c r="N140" s="27"/>
      <c r="O140" s="27"/>
      <c r="P140" s="27"/>
      <c r="Q140" s="29"/>
      <c r="R140" s="29"/>
      <c r="S140" s="29"/>
      <c r="T140" s="29"/>
      <c r="U140" s="27"/>
      <c r="V140" s="29"/>
      <c r="W140" s="29"/>
      <c r="X140" s="29"/>
      <c r="Y140" s="31"/>
      <c r="Z140" s="29"/>
      <c r="AA140" s="30"/>
      <c r="AB140" s="32"/>
      <c r="AC140" s="30"/>
      <c r="AD140" s="33"/>
      <c r="AE140" s="29"/>
      <c r="AF140" s="29"/>
      <c r="AG140" s="29"/>
    </row>
    <row r="141" spans="1:33" ht="15" customHeight="1" x14ac:dyDescent="0.25">
      <c r="A141" s="5">
        <v>27</v>
      </c>
      <c r="B141" s="38">
        <v>44013</v>
      </c>
      <c r="C141" s="38">
        <v>44004</v>
      </c>
      <c r="D141" s="38">
        <v>43999</v>
      </c>
      <c r="E141" s="37">
        <v>44013</v>
      </c>
      <c r="F141" s="5">
        <v>5573</v>
      </c>
      <c r="G141" s="5" t="s">
        <v>91</v>
      </c>
      <c r="H141" s="5" t="s">
        <v>41</v>
      </c>
      <c r="I141" s="5" t="s">
        <v>92</v>
      </c>
      <c r="J141" s="21" t="s">
        <v>131</v>
      </c>
      <c r="K141" s="21" t="s">
        <v>728</v>
      </c>
      <c r="L141" s="6" t="s">
        <v>729</v>
      </c>
      <c r="M141" s="5">
        <v>0</v>
      </c>
      <c r="N141" s="5" t="s">
        <v>91</v>
      </c>
      <c r="O141" s="5" t="s">
        <v>91</v>
      </c>
      <c r="P141" s="5" t="s">
        <v>91</v>
      </c>
      <c r="Q141" s="6"/>
      <c r="R141" s="6" t="s">
        <v>112</v>
      </c>
      <c r="S141" s="6"/>
      <c r="T141" s="6"/>
      <c r="U141" s="5"/>
      <c r="V141" s="6"/>
      <c r="W141" s="6" t="s">
        <v>730</v>
      </c>
      <c r="X141" s="6" t="s">
        <v>428</v>
      </c>
      <c r="Y141" s="22"/>
      <c r="Z141" s="6"/>
      <c r="AA141" s="21"/>
      <c r="AB141" s="23"/>
      <c r="AC141" s="21" t="s">
        <v>32</v>
      </c>
      <c r="AD141" s="24" t="s">
        <v>731</v>
      </c>
      <c r="AE141" s="6" t="s">
        <v>31</v>
      </c>
      <c r="AF141" s="6"/>
      <c r="AG141" s="6" t="s">
        <v>3042</v>
      </c>
    </row>
    <row r="142" spans="1:33" ht="7.5" customHeight="1" x14ac:dyDescent="0.25">
      <c r="A142" s="27"/>
      <c r="B142" s="39"/>
      <c r="C142" s="39"/>
      <c r="D142" s="39"/>
      <c r="E142" s="28"/>
      <c r="F142" s="27"/>
      <c r="G142" s="27"/>
      <c r="H142" s="27"/>
      <c r="I142" s="27"/>
      <c r="J142" s="30"/>
      <c r="K142" s="30"/>
      <c r="L142" s="29"/>
      <c r="M142" s="27"/>
      <c r="N142" s="27"/>
      <c r="O142" s="27"/>
      <c r="P142" s="27"/>
      <c r="Q142" s="29"/>
      <c r="R142" s="29"/>
      <c r="S142" s="29"/>
      <c r="T142" s="29"/>
      <c r="U142" s="27"/>
      <c r="V142" s="29"/>
      <c r="W142" s="29"/>
      <c r="X142" s="29"/>
      <c r="Y142" s="31"/>
      <c r="Z142" s="29"/>
      <c r="AA142" s="30"/>
      <c r="AB142" s="32"/>
      <c r="AC142" s="30"/>
      <c r="AD142" s="33"/>
      <c r="AE142" s="29"/>
      <c r="AF142" s="29"/>
      <c r="AG142" s="29"/>
    </row>
    <row r="143" spans="1:33" ht="15" customHeight="1" x14ac:dyDescent="0.25">
      <c r="A143" s="5">
        <v>28</v>
      </c>
      <c r="B143" s="38">
        <v>44018</v>
      </c>
      <c r="C143" s="38">
        <v>44004</v>
      </c>
      <c r="D143" s="38">
        <v>43997</v>
      </c>
      <c r="E143" s="34">
        <v>44018</v>
      </c>
      <c r="F143" s="5">
        <v>5572</v>
      </c>
      <c r="G143" s="5" t="s">
        <v>91</v>
      </c>
      <c r="H143" s="5" t="s">
        <v>41</v>
      </c>
      <c r="I143" s="5" t="s">
        <v>92</v>
      </c>
      <c r="J143" s="21" t="s">
        <v>131</v>
      </c>
      <c r="K143" s="21" t="s">
        <v>791</v>
      </c>
      <c r="L143" s="6" t="s">
        <v>792</v>
      </c>
      <c r="M143" s="5">
        <v>0</v>
      </c>
      <c r="N143" s="5" t="s">
        <v>91</v>
      </c>
      <c r="O143" s="5" t="s">
        <v>91</v>
      </c>
      <c r="P143" s="5" t="s">
        <v>91</v>
      </c>
      <c r="Q143" s="6"/>
      <c r="R143" s="6" t="s">
        <v>734</v>
      </c>
      <c r="S143" s="6"/>
      <c r="T143" s="6"/>
      <c r="U143" s="5"/>
      <c r="V143" s="6" t="s">
        <v>793</v>
      </c>
      <c r="W143" s="6" t="s">
        <v>794</v>
      </c>
      <c r="X143" s="6"/>
      <c r="Y143" s="22"/>
      <c r="Z143" s="6"/>
      <c r="AA143" s="21"/>
      <c r="AB143" s="23"/>
      <c r="AC143" s="21" t="s">
        <v>39</v>
      </c>
      <c r="AD143" s="24" t="s">
        <v>795</v>
      </c>
      <c r="AE143" s="6" t="s">
        <v>31</v>
      </c>
      <c r="AF143" s="6"/>
      <c r="AG143" s="6" t="s">
        <v>3041</v>
      </c>
    </row>
    <row r="144" spans="1:33" ht="15" customHeight="1" x14ac:dyDescent="0.25">
      <c r="A144" s="5">
        <v>28</v>
      </c>
      <c r="B144" s="38">
        <v>44018</v>
      </c>
      <c r="C144" s="38">
        <v>44004</v>
      </c>
      <c r="D144" s="38">
        <v>43997</v>
      </c>
      <c r="E144" s="34">
        <v>44018</v>
      </c>
      <c r="F144" s="5">
        <v>5576</v>
      </c>
      <c r="G144" s="5" t="s">
        <v>91</v>
      </c>
      <c r="H144" s="5" t="s">
        <v>41</v>
      </c>
      <c r="I144" s="5" t="s">
        <v>92</v>
      </c>
      <c r="J144" s="21" t="s">
        <v>131</v>
      </c>
      <c r="K144" s="21" t="s">
        <v>804</v>
      </c>
      <c r="L144" s="6" t="s">
        <v>805</v>
      </c>
      <c r="M144" s="5">
        <v>0</v>
      </c>
      <c r="N144" s="5" t="s">
        <v>91</v>
      </c>
      <c r="O144" s="5" t="s">
        <v>91</v>
      </c>
      <c r="P144" s="5" t="s">
        <v>91</v>
      </c>
      <c r="Q144" s="6"/>
      <c r="R144" s="6" t="s">
        <v>112</v>
      </c>
      <c r="S144" s="6"/>
      <c r="T144" s="6"/>
      <c r="U144" s="5"/>
      <c r="V144" s="6" t="s">
        <v>806</v>
      </c>
      <c r="W144" s="6" t="s">
        <v>794</v>
      </c>
      <c r="X144" s="6"/>
      <c r="Y144" s="22"/>
      <c r="Z144" s="6"/>
      <c r="AA144" s="21"/>
      <c r="AB144" s="23"/>
      <c r="AC144" s="21" t="s">
        <v>32</v>
      </c>
      <c r="AD144" s="24" t="s">
        <v>807</v>
      </c>
      <c r="AE144" s="6" t="s">
        <v>37</v>
      </c>
      <c r="AF144" s="6"/>
      <c r="AG144" s="6" t="s">
        <v>3041</v>
      </c>
    </row>
    <row r="145" spans="1:33" ht="7.5" customHeight="1" x14ac:dyDescent="0.25">
      <c r="A145" s="27"/>
      <c r="B145" s="39"/>
      <c r="C145" s="39"/>
      <c r="D145" s="39"/>
      <c r="E145" s="28"/>
      <c r="F145" s="27"/>
      <c r="G145" s="27"/>
      <c r="H145" s="27"/>
      <c r="I145" s="27"/>
      <c r="J145" s="30"/>
      <c r="K145" s="30"/>
      <c r="L145" s="29"/>
      <c r="M145" s="27"/>
      <c r="N145" s="27"/>
      <c r="O145" s="27"/>
      <c r="P145" s="27"/>
      <c r="Q145" s="29"/>
      <c r="R145" s="29"/>
      <c r="S145" s="29"/>
      <c r="T145" s="29"/>
      <c r="U145" s="27"/>
      <c r="V145" s="29"/>
      <c r="W145" s="29"/>
      <c r="X145" s="29"/>
      <c r="Y145" s="31"/>
      <c r="Z145" s="29"/>
      <c r="AA145" s="30"/>
      <c r="AB145" s="32"/>
      <c r="AC145" s="30"/>
      <c r="AD145" s="33"/>
      <c r="AE145" s="29"/>
      <c r="AF145" s="29"/>
      <c r="AG145" s="29"/>
    </row>
    <row r="146" spans="1:33" ht="15" customHeight="1" x14ac:dyDescent="0.25">
      <c r="A146" s="5">
        <v>29</v>
      </c>
      <c r="B146" s="38">
        <v>44025</v>
      </c>
      <c r="C146" s="38">
        <v>44004</v>
      </c>
      <c r="D146" s="38">
        <v>43997</v>
      </c>
      <c r="E146" s="35">
        <v>44025</v>
      </c>
      <c r="F146" s="5">
        <v>5561</v>
      </c>
      <c r="G146" s="5" t="s">
        <v>91</v>
      </c>
      <c r="H146" s="5" t="s">
        <v>40</v>
      </c>
      <c r="I146" s="5" t="s">
        <v>92</v>
      </c>
      <c r="J146" s="21" t="s">
        <v>131</v>
      </c>
      <c r="K146" s="21" t="s">
        <v>929</v>
      </c>
      <c r="L146" s="6" t="s">
        <v>95</v>
      </c>
      <c r="M146" s="5">
        <v>11</v>
      </c>
      <c r="N146" s="5" t="s">
        <v>91</v>
      </c>
      <c r="O146" s="5" t="s">
        <v>91</v>
      </c>
      <c r="P146" s="5" t="s">
        <v>91</v>
      </c>
      <c r="Q146" s="6" t="s">
        <v>559</v>
      </c>
      <c r="R146" s="6" t="s">
        <v>112</v>
      </c>
      <c r="S146" s="6"/>
      <c r="T146" s="6"/>
      <c r="U146" s="5"/>
      <c r="V146" s="6"/>
      <c r="W146" s="6" t="s">
        <v>183</v>
      </c>
      <c r="X146" s="6"/>
      <c r="Y146" s="22"/>
      <c r="Z146" s="6">
        <v>7</v>
      </c>
      <c r="AA146" s="21"/>
      <c r="AB146" s="23"/>
      <c r="AC146" s="21" t="s">
        <v>33</v>
      </c>
      <c r="AD146" s="24" t="s">
        <v>930</v>
      </c>
      <c r="AE146" s="6" t="s">
        <v>31</v>
      </c>
      <c r="AF146" s="6"/>
      <c r="AG146" s="6" t="s">
        <v>3039</v>
      </c>
    </row>
    <row r="147" spans="1:33" ht="15" customHeight="1" x14ac:dyDescent="0.25">
      <c r="A147" s="5">
        <v>29</v>
      </c>
      <c r="B147" s="38">
        <v>44025</v>
      </c>
      <c r="C147" s="38">
        <v>44004</v>
      </c>
      <c r="D147" s="38">
        <v>43997</v>
      </c>
      <c r="E147" s="35">
        <v>44025</v>
      </c>
      <c r="F147" s="5">
        <v>5566</v>
      </c>
      <c r="G147" s="5" t="s">
        <v>91</v>
      </c>
      <c r="H147" s="5" t="s">
        <v>43</v>
      </c>
      <c r="I147" s="5" t="s">
        <v>92</v>
      </c>
      <c r="J147" s="21" t="s">
        <v>131</v>
      </c>
      <c r="K147" s="21" t="s">
        <v>931</v>
      </c>
      <c r="L147" s="6" t="s">
        <v>932</v>
      </c>
      <c r="M147" s="5">
        <v>12</v>
      </c>
      <c r="N147" s="5" t="s">
        <v>91</v>
      </c>
      <c r="O147" s="5" t="s">
        <v>91</v>
      </c>
      <c r="P147" s="5" t="s">
        <v>91</v>
      </c>
      <c r="Q147" s="6"/>
      <c r="R147" s="6" t="s">
        <v>734</v>
      </c>
      <c r="S147" s="6"/>
      <c r="T147" s="6"/>
      <c r="U147" s="5"/>
      <c r="V147" s="6"/>
      <c r="W147" s="6" t="s">
        <v>794</v>
      </c>
      <c r="X147" s="6"/>
      <c r="Y147" s="22"/>
      <c r="Z147" s="6">
        <v>4.5</v>
      </c>
      <c r="AA147" s="21"/>
      <c r="AB147" s="23"/>
      <c r="AC147" s="21" t="s">
        <v>30</v>
      </c>
      <c r="AD147" s="24" t="s">
        <v>933</v>
      </c>
      <c r="AE147" s="6" t="s">
        <v>31</v>
      </c>
      <c r="AF147" s="6"/>
      <c r="AG147" s="6" t="s">
        <v>3040</v>
      </c>
    </row>
    <row r="148" spans="1:33" ht="7.5" customHeight="1" x14ac:dyDescent="0.25">
      <c r="A148" s="27"/>
      <c r="B148" s="39"/>
      <c r="C148" s="39"/>
      <c r="D148" s="39"/>
      <c r="E148" s="28"/>
      <c r="F148" s="27"/>
      <c r="G148" s="27"/>
      <c r="H148" s="27"/>
      <c r="I148" s="27"/>
      <c r="J148" s="30"/>
      <c r="K148" s="30"/>
      <c r="L148" s="29"/>
      <c r="M148" s="27"/>
      <c r="N148" s="27"/>
      <c r="O148" s="27"/>
      <c r="P148" s="27"/>
      <c r="Q148" s="29"/>
      <c r="R148" s="29"/>
      <c r="S148" s="29"/>
      <c r="T148" s="29"/>
      <c r="U148" s="27"/>
      <c r="V148" s="29"/>
      <c r="W148" s="29"/>
      <c r="X148" s="29"/>
      <c r="Y148" s="31"/>
      <c r="Z148" s="29"/>
      <c r="AA148" s="30"/>
      <c r="AB148" s="32"/>
      <c r="AC148" s="30"/>
      <c r="AD148" s="33"/>
      <c r="AE148" s="29"/>
      <c r="AF148" s="29"/>
      <c r="AG148" s="29"/>
    </row>
    <row r="149" spans="1:33" ht="15" customHeight="1" x14ac:dyDescent="0.25">
      <c r="A149" s="5">
        <v>28</v>
      </c>
      <c r="B149" s="38">
        <v>44018</v>
      </c>
      <c r="C149" s="38">
        <v>44004</v>
      </c>
      <c r="D149" s="38">
        <v>43997</v>
      </c>
      <c r="E149" s="34">
        <v>44018</v>
      </c>
      <c r="F149" s="5">
        <v>7741</v>
      </c>
      <c r="G149" s="5" t="s">
        <v>91</v>
      </c>
      <c r="H149" s="5" t="s">
        <v>41</v>
      </c>
      <c r="I149" s="5" t="s">
        <v>92</v>
      </c>
      <c r="J149" s="21" t="s">
        <v>214</v>
      </c>
      <c r="K149" s="21" t="s">
        <v>815</v>
      </c>
      <c r="L149" s="6" t="s">
        <v>816</v>
      </c>
      <c r="M149" s="5">
        <v>7</v>
      </c>
      <c r="N149" s="5" t="s">
        <v>91</v>
      </c>
      <c r="O149" s="5" t="s">
        <v>91</v>
      </c>
      <c r="P149" s="5" t="s">
        <v>91</v>
      </c>
      <c r="Q149" s="6" t="s">
        <v>559</v>
      </c>
      <c r="R149" s="6" t="s">
        <v>223</v>
      </c>
      <c r="S149" s="6"/>
      <c r="T149" s="6"/>
      <c r="U149" s="5"/>
      <c r="V149" s="6"/>
      <c r="W149" s="6" t="s">
        <v>624</v>
      </c>
      <c r="X149" s="6"/>
      <c r="Y149" s="22"/>
      <c r="Z149" s="6">
        <v>5.25</v>
      </c>
      <c r="AA149" s="21"/>
      <c r="AB149" s="23"/>
      <c r="AC149" s="21" t="s">
        <v>33</v>
      </c>
      <c r="AD149" s="24" t="s">
        <v>817</v>
      </c>
      <c r="AE149" s="6" t="s">
        <v>34</v>
      </c>
      <c r="AF149" s="6"/>
      <c r="AG149" s="6" t="s">
        <v>3040</v>
      </c>
    </row>
    <row r="150" spans="1:33" ht="7.5" customHeight="1" x14ac:dyDescent="0.25">
      <c r="A150" s="27"/>
      <c r="B150" s="39"/>
      <c r="C150" s="39"/>
      <c r="D150" s="39"/>
      <c r="E150" s="28"/>
      <c r="F150" s="27"/>
      <c r="G150" s="27"/>
      <c r="H150" s="27"/>
      <c r="I150" s="27"/>
      <c r="J150" s="30"/>
      <c r="K150" s="30"/>
      <c r="L150" s="29"/>
      <c r="M150" s="27"/>
      <c r="N150" s="27"/>
      <c r="O150" s="27"/>
      <c r="P150" s="27"/>
      <c r="Q150" s="29"/>
      <c r="R150" s="29"/>
      <c r="S150" s="29"/>
      <c r="T150" s="29"/>
      <c r="U150" s="27"/>
      <c r="V150" s="29"/>
      <c r="W150" s="29"/>
      <c r="X150" s="29"/>
      <c r="Y150" s="31"/>
      <c r="Z150" s="29"/>
      <c r="AA150" s="30"/>
      <c r="AB150" s="32"/>
      <c r="AC150" s="30"/>
      <c r="AD150" s="33"/>
      <c r="AE150" s="29"/>
      <c r="AF150" s="29"/>
      <c r="AG150" s="29"/>
    </row>
    <row r="151" spans="1:33" ht="15" customHeight="1" x14ac:dyDescent="0.25">
      <c r="A151" s="5">
        <v>29</v>
      </c>
      <c r="B151" s="38">
        <v>44026</v>
      </c>
      <c r="C151" s="38">
        <v>44005</v>
      </c>
      <c r="D151" s="38">
        <v>43998</v>
      </c>
      <c r="E151" s="35">
        <v>44026</v>
      </c>
      <c r="F151" s="5">
        <v>4786</v>
      </c>
      <c r="G151" s="5" t="s">
        <v>91</v>
      </c>
      <c r="H151" s="5" t="s">
        <v>43</v>
      </c>
      <c r="I151" s="5" t="s">
        <v>92</v>
      </c>
      <c r="J151" s="21" t="s">
        <v>109</v>
      </c>
      <c r="K151" s="21" t="s">
        <v>958</v>
      </c>
      <c r="L151" s="6" t="s">
        <v>805</v>
      </c>
      <c r="M151" s="5">
        <v>5</v>
      </c>
      <c r="N151" s="5" t="s">
        <v>91</v>
      </c>
      <c r="O151" s="5" t="s">
        <v>91</v>
      </c>
      <c r="P151" s="5" t="s">
        <v>91</v>
      </c>
      <c r="Q151" s="6"/>
      <c r="R151" s="6" t="s">
        <v>112</v>
      </c>
      <c r="S151" s="6"/>
      <c r="T151" s="6"/>
      <c r="U151" s="5"/>
      <c r="V151" s="6"/>
      <c r="W151" s="6" t="s">
        <v>959</v>
      </c>
      <c r="X151" s="6"/>
      <c r="Y151" s="22"/>
      <c r="Z151" s="6">
        <v>1.95</v>
      </c>
      <c r="AA151" s="21">
        <v>13427</v>
      </c>
      <c r="AB151" s="23"/>
      <c r="AC151" s="21" t="s">
        <v>30</v>
      </c>
      <c r="AD151" s="24" t="s">
        <v>960</v>
      </c>
      <c r="AE151" s="6" t="s">
        <v>37</v>
      </c>
      <c r="AF151" s="6"/>
      <c r="AG151" s="6" t="s">
        <v>3040</v>
      </c>
    </row>
    <row r="152" spans="1:33" ht="7.5" customHeight="1" x14ac:dyDescent="0.25">
      <c r="A152" s="27"/>
      <c r="B152" s="39"/>
      <c r="C152" s="39"/>
      <c r="D152" s="39"/>
      <c r="E152" s="28"/>
      <c r="F152" s="27"/>
      <c r="G152" s="27"/>
      <c r="H152" s="27"/>
      <c r="I152" s="27"/>
      <c r="J152" s="30"/>
      <c r="K152" s="30"/>
      <c r="L152" s="29"/>
      <c r="M152" s="27"/>
      <c r="N152" s="27"/>
      <c r="O152" s="27"/>
      <c r="P152" s="27"/>
      <c r="Q152" s="29"/>
      <c r="R152" s="29"/>
      <c r="S152" s="29"/>
      <c r="T152" s="29"/>
      <c r="U152" s="27"/>
      <c r="V152" s="29"/>
      <c r="W152" s="29"/>
      <c r="X152" s="29"/>
      <c r="Y152" s="31"/>
      <c r="Z152" s="29"/>
      <c r="AA152" s="30"/>
      <c r="AB152" s="32"/>
      <c r="AC152" s="30"/>
      <c r="AD152" s="33"/>
      <c r="AE152" s="29"/>
      <c r="AF152" s="29"/>
      <c r="AG152" s="29"/>
    </row>
    <row r="153" spans="1:33" ht="15" customHeight="1" x14ac:dyDescent="0.25">
      <c r="A153" s="5">
        <v>30</v>
      </c>
      <c r="B153" s="38">
        <v>44035</v>
      </c>
      <c r="C153" s="38">
        <v>44005</v>
      </c>
      <c r="D153" s="38">
        <v>43998</v>
      </c>
      <c r="E153" s="36">
        <v>44035</v>
      </c>
      <c r="F153" s="5">
        <v>4783</v>
      </c>
      <c r="G153" s="5" t="s">
        <v>91</v>
      </c>
      <c r="H153" s="5" t="s">
        <v>40</v>
      </c>
      <c r="I153" s="5" t="s">
        <v>92</v>
      </c>
      <c r="J153" s="21" t="s">
        <v>109</v>
      </c>
      <c r="K153" s="21" t="s">
        <v>1213</v>
      </c>
      <c r="L153" s="6" t="s">
        <v>1214</v>
      </c>
      <c r="M153" s="5">
        <v>6</v>
      </c>
      <c r="N153" s="5" t="s">
        <v>91</v>
      </c>
      <c r="O153" s="5" t="s">
        <v>91</v>
      </c>
      <c r="P153" s="5" t="s">
        <v>1215</v>
      </c>
      <c r="Q153" s="6" t="s">
        <v>559</v>
      </c>
      <c r="R153" s="6" t="s">
        <v>112</v>
      </c>
      <c r="S153" s="6"/>
      <c r="T153" s="6"/>
      <c r="U153" s="5"/>
      <c r="V153" s="6" t="s">
        <v>1216</v>
      </c>
      <c r="W153" s="6" t="s">
        <v>1217</v>
      </c>
      <c r="X153" s="6"/>
      <c r="Y153" s="22"/>
      <c r="Z153" s="6"/>
      <c r="AA153" s="21" t="s">
        <v>1218</v>
      </c>
      <c r="AB153" s="23"/>
      <c r="AC153" s="21" t="s">
        <v>32</v>
      </c>
      <c r="AD153" s="24" t="s">
        <v>1219</v>
      </c>
      <c r="AE153" s="6" t="s">
        <v>35</v>
      </c>
      <c r="AF153" s="6"/>
      <c r="AG153" s="6" t="s">
        <v>3039</v>
      </c>
    </row>
    <row r="154" spans="1:33" ht="7.5" customHeight="1" x14ac:dyDescent="0.25">
      <c r="A154" s="27"/>
      <c r="B154" s="39"/>
      <c r="C154" s="39"/>
      <c r="D154" s="39"/>
      <c r="E154" s="28"/>
      <c r="F154" s="27"/>
      <c r="G154" s="27"/>
      <c r="H154" s="27"/>
      <c r="I154" s="27"/>
      <c r="J154" s="30"/>
      <c r="K154" s="30"/>
      <c r="L154" s="29"/>
      <c r="M154" s="27"/>
      <c r="N154" s="27"/>
      <c r="O154" s="27"/>
      <c r="P154" s="27"/>
      <c r="Q154" s="29"/>
      <c r="R154" s="29"/>
      <c r="S154" s="29"/>
      <c r="T154" s="29"/>
      <c r="U154" s="27"/>
      <c r="V154" s="29"/>
      <c r="W154" s="29"/>
      <c r="X154" s="29"/>
      <c r="Y154" s="31"/>
      <c r="Z154" s="29"/>
      <c r="AA154" s="30"/>
      <c r="AB154" s="32"/>
      <c r="AC154" s="30"/>
      <c r="AD154" s="33"/>
      <c r="AE154" s="29"/>
      <c r="AF154" s="29"/>
      <c r="AG154" s="29"/>
    </row>
    <row r="155" spans="1:33" ht="15" customHeight="1" x14ac:dyDescent="0.25">
      <c r="A155" s="5">
        <v>28</v>
      </c>
      <c r="B155" s="38">
        <v>44021</v>
      </c>
      <c r="C155" s="38">
        <v>44005</v>
      </c>
      <c r="D155" s="38">
        <v>43976</v>
      </c>
      <c r="E155" s="34">
        <v>44021</v>
      </c>
      <c r="F155" s="5">
        <v>7736</v>
      </c>
      <c r="G155" s="5" t="s">
        <v>91</v>
      </c>
      <c r="H155" s="5" t="s">
        <v>41</v>
      </c>
      <c r="I155" s="5" t="s">
        <v>92</v>
      </c>
      <c r="J155" s="21" t="s">
        <v>214</v>
      </c>
      <c r="K155" s="21" t="s">
        <v>903</v>
      </c>
      <c r="L155" s="6" t="s">
        <v>904</v>
      </c>
      <c r="M155" s="5">
        <v>0</v>
      </c>
      <c r="N155" s="5" t="s">
        <v>91</v>
      </c>
      <c r="O155" s="5" t="s">
        <v>91</v>
      </c>
      <c r="P155" s="5" t="s">
        <v>91</v>
      </c>
      <c r="Q155" s="6" t="s">
        <v>559</v>
      </c>
      <c r="R155" s="6" t="s">
        <v>223</v>
      </c>
      <c r="S155" s="6"/>
      <c r="T155" s="6"/>
      <c r="U155" s="5"/>
      <c r="V155" s="6"/>
      <c r="W155" s="6" t="s">
        <v>905</v>
      </c>
      <c r="X155" s="6"/>
      <c r="Y155" s="22">
        <v>220904891</v>
      </c>
      <c r="Z155" s="6">
        <v>5.26</v>
      </c>
      <c r="AA155" s="21" t="s">
        <v>906</v>
      </c>
      <c r="AB155" s="23"/>
      <c r="AC155" s="21" t="s">
        <v>30</v>
      </c>
      <c r="AD155" s="24" t="s">
        <v>907</v>
      </c>
      <c r="AE155" s="6" t="s">
        <v>31</v>
      </c>
      <c r="AF155" s="6"/>
      <c r="AG155" s="6" t="s">
        <v>3040</v>
      </c>
    </row>
    <row r="156" spans="1:33" ht="7.5" customHeight="1" x14ac:dyDescent="0.25">
      <c r="A156" s="27"/>
      <c r="B156" s="39"/>
      <c r="C156" s="39"/>
      <c r="D156" s="39"/>
      <c r="E156" s="28"/>
      <c r="F156" s="27"/>
      <c r="G156" s="27"/>
      <c r="H156" s="27"/>
      <c r="I156" s="27"/>
      <c r="J156" s="30"/>
      <c r="K156" s="30"/>
      <c r="L156" s="29"/>
      <c r="M156" s="27"/>
      <c r="N156" s="27"/>
      <c r="O156" s="27"/>
      <c r="P156" s="27"/>
      <c r="Q156" s="29"/>
      <c r="R156" s="29"/>
      <c r="S156" s="29"/>
      <c r="T156" s="29"/>
      <c r="U156" s="27"/>
      <c r="V156" s="29"/>
      <c r="W156" s="29"/>
      <c r="X156" s="29"/>
      <c r="Y156" s="31"/>
      <c r="Z156" s="29"/>
      <c r="AA156" s="30"/>
      <c r="AB156" s="32"/>
      <c r="AC156" s="30"/>
      <c r="AD156" s="33"/>
      <c r="AE156" s="29"/>
      <c r="AF156" s="29"/>
      <c r="AG156" s="29"/>
    </row>
    <row r="157" spans="1:33" ht="15" customHeight="1" x14ac:dyDescent="0.25">
      <c r="A157" s="5">
        <v>28</v>
      </c>
      <c r="B157" s="38">
        <v>44020</v>
      </c>
      <c r="C157" s="38">
        <v>44006</v>
      </c>
      <c r="D157" s="38">
        <v>43999</v>
      </c>
      <c r="E157" s="34">
        <v>44020</v>
      </c>
      <c r="F157" s="5">
        <v>10661</v>
      </c>
      <c r="G157" s="5" t="s">
        <v>91</v>
      </c>
      <c r="H157" s="5" t="s">
        <v>40</v>
      </c>
      <c r="I157" s="5" t="s">
        <v>92</v>
      </c>
      <c r="J157" s="21" t="s">
        <v>170</v>
      </c>
      <c r="K157" s="21" t="s">
        <v>254</v>
      </c>
      <c r="L157" s="6" t="s">
        <v>830</v>
      </c>
      <c r="M157" s="5">
        <v>0</v>
      </c>
      <c r="N157" s="5" t="s">
        <v>91</v>
      </c>
      <c r="O157" s="5" t="s">
        <v>91</v>
      </c>
      <c r="P157" s="5" t="s">
        <v>91</v>
      </c>
      <c r="Q157" s="6" t="s">
        <v>559</v>
      </c>
      <c r="R157" s="6" t="s">
        <v>123</v>
      </c>
      <c r="S157" s="6"/>
      <c r="T157" s="6"/>
      <c r="U157" s="5"/>
      <c r="V157" s="6" t="s">
        <v>831</v>
      </c>
      <c r="W157" s="6" t="s">
        <v>615</v>
      </c>
      <c r="X157" s="6" t="s">
        <v>832</v>
      </c>
      <c r="Y157" s="22">
        <v>211147447</v>
      </c>
      <c r="Z157" s="6">
        <v>1</v>
      </c>
      <c r="AA157" s="21" t="s">
        <v>833</v>
      </c>
      <c r="AB157" s="23"/>
      <c r="AC157" s="21" t="s">
        <v>32</v>
      </c>
      <c r="AD157" s="24" t="s">
        <v>834</v>
      </c>
      <c r="AE157" s="6" t="s">
        <v>31</v>
      </c>
      <c r="AF157" s="6"/>
      <c r="AG157" s="6" t="s">
        <v>3040</v>
      </c>
    </row>
    <row r="158" spans="1:33" ht="15" customHeight="1" x14ac:dyDescent="0.25">
      <c r="A158" s="5">
        <v>28</v>
      </c>
      <c r="B158" s="38">
        <v>44020</v>
      </c>
      <c r="C158" s="38">
        <v>44006</v>
      </c>
      <c r="D158" s="38">
        <v>43999</v>
      </c>
      <c r="E158" s="34">
        <v>44020</v>
      </c>
      <c r="F158" s="5">
        <v>10663</v>
      </c>
      <c r="G158" s="5" t="s">
        <v>91</v>
      </c>
      <c r="H158" s="5" t="s">
        <v>40</v>
      </c>
      <c r="I158" s="5" t="s">
        <v>92</v>
      </c>
      <c r="J158" s="21" t="s">
        <v>170</v>
      </c>
      <c r="K158" s="21" t="s">
        <v>835</v>
      </c>
      <c r="L158" s="6" t="s">
        <v>836</v>
      </c>
      <c r="M158" s="5">
        <v>0</v>
      </c>
      <c r="N158" s="5" t="s">
        <v>91</v>
      </c>
      <c r="O158" s="5" t="s">
        <v>91</v>
      </c>
      <c r="P158" s="5" t="s">
        <v>91</v>
      </c>
      <c r="Q158" s="6"/>
      <c r="R158" s="6" t="s">
        <v>112</v>
      </c>
      <c r="S158" s="6"/>
      <c r="T158" s="6"/>
      <c r="U158" s="5"/>
      <c r="V158" s="6" t="s">
        <v>837</v>
      </c>
      <c r="W158" s="6" t="s">
        <v>838</v>
      </c>
      <c r="X158" s="6" t="s">
        <v>832</v>
      </c>
      <c r="Y158" s="22">
        <v>211147448</v>
      </c>
      <c r="Z158" s="6"/>
      <c r="AA158" s="21" t="s">
        <v>839</v>
      </c>
      <c r="AB158" s="23"/>
      <c r="AC158" s="21" t="s">
        <v>33</v>
      </c>
      <c r="AD158" s="24" t="s">
        <v>840</v>
      </c>
      <c r="AE158" s="6" t="s">
        <v>36</v>
      </c>
      <c r="AF158" s="6"/>
      <c r="AG158" s="6" t="s">
        <v>3041</v>
      </c>
    </row>
    <row r="159" spans="1:33" ht="15" customHeight="1" x14ac:dyDescent="0.25">
      <c r="A159" s="5">
        <v>28</v>
      </c>
      <c r="B159" s="38">
        <v>44020</v>
      </c>
      <c r="C159" s="38">
        <v>44006</v>
      </c>
      <c r="D159" s="38">
        <v>43999</v>
      </c>
      <c r="E159" s="34">
        <v>44020</v>
      </c>
      <c r="F159" s="5">
        <v>3023</v>
      </c>
      <c r="G159" s="5" t="s">
        <v>91</v>
      </c>
      <c r="H159" s="5" t="s">
        <v>41</v>
      </c>
      <c r="I159" s="5" t="s">
        <v>92</v>
      </c>
      <c r="J159" s="21" t="s">
        <v>93</v>
      </c>
      <c r="K159" s="21" t="s">
        <v>844</v>
      </c>
      <c r="L159" s="6" t="s">
        <v>578</v>
      </c>
      <c r="M159" s="5">
        <v>1</v>
      </c>
      <c r="N159" s="5" t="s">
        <v>91</v>
      </c>
      <c r="O159" s="5" t="s">
        <v>91</v>
      </c>
      <c r="P159" s="5" t="s">
        <v>91</v>
      </c>
      <c r="Q159" s="6"/>
      <c r="R159" s="6" t="s">
        <v>380</v>
      </c>
      <c r="S159" s="6"/>
      <c r="T159" s="6"/>
      <c r="U159" s="5"/>
      <c r="V159" s="6"/>
      <c r="W159" s="6" t="s">
        <v>845</v>
      </c>
      <c r="X159" s="6"/>
      <c r="Y159" s="22"/>
      <c r="Z159" s="6"/>
      <c r="AA159" s="21"/>
      <c r="AB159" s="23"/>
      <c r="AC159" s="21" t="s">
        <v>32</v>
      </c>
      <c r="AD159" s="24" t="s">
        <v>846</v>
      </c>
      <c r="AE159" s="6" t="s">
        <v>38</v>
      </c>
      <c r="AF159" s="6"/>
      <c r="AG159" s="6" t="s">
        <v>3040</v>
      </c>
    </row>
    <row r="160" spans="1:33" ht="15" customHeight="1" x14ac:dyDescent="0.25">
      <c r="A160" s="5">
        <v>28</v>
      </c>
      <c r="B160" s="38">
        <v>44020</v>
      </c>
      <c r="C160" s="38">
        <v>44006</v>
      </c>
      <c r="D160" s="38">
        <v>43999</v>
      </c>
      <c r="E160" s="34">
        <v>44020</v>
      </c>
      <c r="F160" s="5">
        <v>12053</v>
      </c>
      <c r="G160" s="5" t="s">
        <v>91</v>
      </c>
      <c r="H160" s="5" t="s">
        <v>40</v>
      </c>
      <c r="I160" s="5" t="s">
        <v>92</v>
      </c>
      <c r="J160" s="21" t="s">
        <v>275</v>
      </c>
      <c r="K160" s="21" t="s">
        <v>847</v>
      </c>
      <c r="L160" s="6" t="s">
        <v>722</v>
      </c>
      <c r="M160" s="5">
        <v>3</v>
      </c>
      <c r="N160" s="5" t="s">
        <v>91</v>
      </c>
      <c r="O160" s="5" t="s">
        <v>91</v>
      </c>
      <c r="P160" s="5" t="s">
        <v>91</v>
      </c>
      <c r="Q160" s="6" t="s">
        <v>559</v>
      </c>
      <c r="R160" s="6" t="s">
        <v>112</v>
      </c>
      <c r="S160" s="6"/>
      <c r="T160" s="6"/>
      <c r="U160" s="5"/>
      <c r="V160" s="6"/>
      <c r="W160" s="6" t="s">
        <v>848</v>
      </c>
      <c r="X160" s="6"/>
      <c r="Y160" s="22"/>
      <c r="Z160" s="6">
        <v>1</v>
      </c>
      <c r="AA160" s="21"/>
      <c r="AB160" s="23"/>
      <c r="AC160" s="21" t="s">
        <v>32</v>
      </c>
      <c r="AD160" s="24" t="s">
        <v>849</v>
      </c>
      <c r="AE160" s="6" t="s">
        <v>31</v>
      </c>
      <c r="AF160" s="6"/>
      <c r="AG160" s="6" t="s">
        <v>3041</v>
      </c>
    </row>
    <row r="161" spans="1:33" ht="15" customHeight="1" x14ac:dyDescent="0.25">
      <c r="A161" s="5">
        <v>28</v>
      </c>
      <c r="B161" s="38">
        <v>44020</v>
      </c>
      <c r="C161" s="38">
        <v>44006</v>
      </c>
      <c r="D161" s="38">
        <v>43999</v>
      </c>
      <c r="E161" s="34">
        <v>44020</v>
      </c>
      <c r="F161" s="5">
        <v>5558</v>
      </c>
      <c r="G161" s="5" t="s">
        <v>91</v>
      </c>
      <c r="H161" s="5" t="s">
        <v>41</v>
      </c>
      <c r="I161" s="5" t="s">
        <v>92</v>
      </c>
      <c r="J161" s="21" t="s">
        <v>131</v>
      </c>
      <c r="K161" s="21" t="s">
        <v>850</v>
      </c>
      <c r="L161" s="6" t="s">
        <v>851</v>
      </c>
      <c r="M161" s="5">
        <v>13</v>
      </c>
      <c r="N161" s="5" t="s">
        <v>91</v>
      </c>
      <c r="O161" s="5" t="s">
        <v>91</v>
      </c>
      <c r="P161" s="5" t="s">
        <v>91</v>
      </c>
      <c r="Q161" s="6" t="s">
        <v>559</v>
      </c>
      <c r="R161" s="6" t="s">
        <v>123</v>
      </c>
      <c r="S161" s="6"/>
      <c r="T161" s="6"/>
      <c r="U161" s="5"/>
      <c r="V161" s="6"/>
      <c r="W161" s="6" t="s">
        <v>852</v>
      </c>
      <c r="X161" s="6"/>
      <c r="Y161" s="22"/>
      <c r="Z161" s="6">
        <v>4</v>
      </c>
      <c r="AA161" s="21"/>
      <c r="AB161" s="23"/>
      <c r="AC161" s="21" t="s">
        <v>30</v>
      </c>
      <c r="AD161" s="24" t="s">
        <v>853</v>
      </c>
      <c r="AE161" s="6" t="s">
        <v>36</v>
      </c>
      <c r="AF161" s="6"/>
      <c r="AG161" s="6" t="s">
        <v>3042</v>
      </c>
    </row>
    <row r="162" spans="1:33" ht="15" customHeight="1" x14ac:dyDescent="0.25">
      <c r="A162" s="5">
        <v>28</v>
      </c>
      <c r="B162" s="38">
        <v>44020</v>
      </c>
      <c r="C162" s="38">
        <v>44006</v>
      </c>
      <c r="D162" s="38">
        <v>43999</v>
      </c>
      <c r="E162" s="34">
        <v>44020</v>
      </c>
      <c r="F162" s="5">
        <v>5565</v>
      </c>
      <c r="G162" s="5" t="s">
        <v>91</v>
      </c>
      <c r="H162" s="5" t="s">
        <v>41</v>
      </c>
      <c r="I162" s="5" t="s">
        <v>92</v>
      </c>
      <c r="J162" s="21" t="s">
        <v>131</v>
      </c>
      <c r="K162" s="21" t="s">
        <v>854</v>
      </c>
      <c r="L162" s="6" t="s">
        <v>855</v>
      </c>
      <c r="M162" s="5">
        <v>7</v>
      </c>
      <c r="N162" s="5" t="s">
        <v>91</v>
      </c>
      <c r="O162" s="5" t="s">
        <v>91</v>
      </c>
      <c r="P162" s="5" t="s">
        <v>91</v>
      </c>
      <c r="Q162" s="6"/>
      <c r="R162" s="6" t="s">
        <v>112</v>
      </c>
      <c r="S162" s="6"/>
      <c r="T162" s="6"/>
      <c r="U162" s="5"/>
      <c r="V162" s="6"/>
      <c r="W162" s="6" t="s">
        <v>794</v>
      </c>
      <c r="X162" s="6"/>
      <c r="Y162" s="22"/>
      <c r="Z162" s="6">
        <v>3</v>
      </c>
      <c r="AA162" s="21"/>
      <c r="AB162" s="23"/>
      <c r="AC162" s="21" t="s">
        <v>33</v>
      </c>
      <c r="AD162" s="24" t="s">
        <v>856</v>
      </c>
      <c r="AE162" s="6" t="s">
        <v>31</v>
      </c>
      <c r="AF162" s="6"/>
      <c r="AG162" s="6" t="s">
        <v>3040</v>
      </c>
    </row>
    <row r="163" spans="1:33" ht="15" customHeight="1" x14ac:dyDescent="0.25">
      <c r="A163" s="5">
        <v>28</v>
      </c>
      <c r="B163" s="38">
        <v>44020</v>
      </c>
      <c r="C163" s="38">
        <v>44006</v>
      </c>
      <c r="D163" s="38">
        <v>43999</v>
      </c>
      <c r="E163" s="34">
        <v>44020</v>
      </c>
      <c r="F163" s="5">
        <v>5571</v>
      </c>
      <c r="G163" s="5" t="s">
        <v>91</v>
      </c>
      <c r="H163" s="5" t="s">
        <v>42</v>
      </c>
      <c r="I163" s="5" t="s">
        <v>92</v>
      </c>
      <c r="J163" s="21" t="s">
        <v>131</v>
      </c>
      <c r="K163" s="21" t="s">
        <v>861</v>
      </c>
      <c r="L163" s="6" t="s">
        <v>862</v>
      </c>
      <c r="M163" s="5">
        <v>1</v>
      </c>
      <c r="N163" s="5" t="s">
        <v>91</v>
      </c>
      <c r="O163" s="5" t="s">
        <v>91</v>
      </c>
      <c r="P163" s="5" t="s">
        <v>91</v>
      </c>
      <c r="Q163" s="6"/>
      <c r="R163" s="6" t="s">
        <v>112</v>
      </c>
      <c r="S163" s="6"/>
      <c r="T163" s="6"/>
      <c r="U163" s="5"/>
      <c r="V163" s="6"/>
      <c r="W163" s="6" t="s">
        <v>794</v>
      </c>
      <c r="X163" s="6"/>
      <c r="Y163" s="22"/>
      <c r="Z163" s="6"/>
      <c r="AA163" s="21"/>
      <c r="AB163" s="23"/>
      <c r="AC163" s="21" t="s">
        <v>33</v>
      </c>
      <c r="AD163" s="24" t="s">
        <v>863</v>
      </c>
      <c r="AE163" s="6" t="s">
        <v>38</v>
      </c>
      <c r="AF163" s="6"/>
      <c r="AG163" s="6" t="s">
        <v>3042</v>
      </c>
    </row>
    <row r="164" spans="1:33" ht="7.5" customHeight="1" x14ac:dyDescent="0.25">
      <c r="A164" s="27"/>
      <c r="B164" s="39"/>
      <c r="C164" s="39"/>
      <c r="D164" s="39"/>
      <c r="E164" s="28"/>
      <c r="F164" s="27"/>
      <c r="G164" s="27"/>
      <c r="H164" s="27"/>
      <c r="I164" s="27"/>
      <c r="J164" s="30"/>
      <c r="K164" s="30"/>
      <c r="L164" s="29"/>
      <c r="M164" s="27"/>
      <c r="N164" s="27"/>
      <c r="O164" s="27"/>
      <c r="P164" s="27"/>
      <c r="Q164" s="29"/>
      <c r="R164" s="29"/>
      <c r="S164" s="29"/>
      <c r="T164" s="29"/>
      <c r="U164" s="27"/>
      <c r="V164" s="29"/>
      <c r="W164" s="29"/>
      <c r="X164" s="29"/>
      <c r="Y164" s="31"/>
      <c r="Z164" s="29"/>
      <c r="AA164" s="30"/>
      <c r="AB164" s="32"/>
      <c r="AC164" s="30"/>
      <c r="AD164" s="33"/>
      <c r="AE164" s="29"/>
      <c r="AF164" s="29"/>
      <c r="AG164" s="29"/>
    </row>
    <row r="165" spans="1:33" ht="15" customHeight="1" x14ac:dyDescent="0.25">
      <c r="A165" s="5">
        <v>29</v>
      </c>
      <c r="B165" s="38">
        <v>44027</v>
      </c>
      <c r="C165" s="38">
        <v>44006</v>
      </c>
      <c r="D165" s="38">
        <v>43999</v>
      </c>
      <c r="E165" s="35">
        <v>44027</v>
      </c>
      <c r="F165" s="5">
        <v>5583</v>
      </c>
      <c r="G165" s="5" t="s">
        <v>91</v>
      </c>
      <c r="H165" s="5" t="s">
        <v>41</v>
      </c>
      <c r="I165" s="5" t="s">
        <v>92</v>
      </c>
      <c r="J165" s="21" t="s">
        <v>131</v>
      </c>
      <c r="K165" s="21" t="s">
        <v>1012</v>
      </c>
      <c r="L165" s="6" t="s">
        <v>1013</v>
      </c>
      <c r="M165" s="5">
        <v>3</v>
      </c>
      <c r="N165" s="5" t="s">
        <v>91</v>
      </c>
      <c r="O165" s="5" t="s">
        <v>91</v>
      </c>
      <c r="P165" s="5" t="s">
        <v>91</v>
      </c>
      <c r="Q165" s="6"/>
      <c r="R165" s="6" t="s">
        <v>112</v>
      </c>
      <c r="S165" s="6"/>
      <c r="T165" s="6"/>
      <c r="U165" s="5"/>
      <c r="V165" s="6"/>
      <c r="W165" s="6" t="s">
        <v>794</v>
      </c>
      <c r="X165" s="6"/>
      <c r="Y165" s="22"/>
      <c r="Z165" s="6"/>
      <c r="AA165" s="21"/>
      <c r="AB165" s="23"/>
      <c r="AC165" s="21" t="s">
        <v>30</v>
      </c>
      <c r="AD165" s="24" t="s">
        <v>1014</v>
      </c>
      <c r="AE165" s="6" t="s">
        <v>31</v>
      </c>
      <c r="AF165" s="6"/>
      <c r="AG165" s="6" t="s">
        <v>3042</v>
      </c>
    </row>
    <row r="166" spans="1:33" ht="7.5" customHeight="1" x14ac:dyDescent="0.25">
      <c r="A166" s="27"/>
      <c r="B166" s="39"/>
      <c r="C166" s="39"/>
      <c r="D166" s="39"/>
      <c r="E166" s="28"/>
      <c r="F166" s="27"/>
      <c r="G166" s="27"/>
      <c r="H166" s="27"/>
      <c r="I166" s="27"/>
      <c r="J166" s="30"/>
      <c r="K166" s="30"/>
      <c r="L166" s="29"/>
      <c r="M166" s="27"/>
      <c r="N166" s="27"/>
      <c r="O166" s="27"/>
      <c r="P166" s="27"/>
      <c r="Q166" s="29"/>
      <c r="R166" s="29"/>
      <c r="S166" s="29"/>
      <c r="T166" s="29"/>
      <c r="U166" s="27"/>
      <c r="V166" s="29"/>
      <c r="W166" s="29"/>
      <c r="X166" s="29"/>
      <c r="Y166" s="31"/>
      <c r="Z166" s="29"/>
      <c r="AA166" s="30"/>
      <c r="AB166" s="32"/>
      <c r="AC166" s="30"/>
      <c r="AD166" s="33"/>
      <c r="AE166" s="29"/>
      <c r="AF166" s="29"/>
      <c r="AG166" s="29"/>
    </row>
    <row r="167" spans="1:33" ht="15" customHeight="1" x14ac:dyDescent="0.25">
      <c r="A167" s="5">
        <v>28</v>
      </c>
      <c r="B167" s="38">
        <v>44020</v>
      </c>
      <c r="C167" s="38">
        <v>44006</v>
      </c>
      <c r="D167" s="38">
        <v>43999</v>
      </c>
      <c r="E167" s="34">
        <v>44020</v>
      </c>
      <c r="F167" s="5">
        <v>6693</v>
      </c>
      <c r="G167" s="5" t="s">
        <v>91</v>
      </c>
      <c r="H167" s="5" t="s">
        <v>41</v>
      </c>
      <c r="I167" s="5" t="s">
        <v>92</v>
      </c>
      <c r="J167" s="21" t="s">
        <v>191</v>
      </c>
      <c r="K167" s="21" t="s">
        <v>867</v>
      </c>
      <c r="L167" s="6" t="s">
        <v>474</v>
      </c>
      <c r="M167" s="5">
        <v>15</v>
      </c>
      <c r="N167" s="5" t="s">
        <v>91</v>
      </c>
      <c r="O167" s="5" t="s">
        <v>91</v>
      </c>
      <c r="P167" s="5" t="s">
        <v>91</v>
      </c>
      <c r="Q167" s="6" t="s">
        <v>559</v>
      </c>
      <c r="R167" s="6" t="s">
        <v>194</v>
      </c>
      <c r="S167" s="6"/>
      <c r="T167" s="6"/>
      <c r="U167" s="5"/>
      <c r="V167" s="6"/>
      <c r="W167" s="6" t="s">
        <v>672</v>
      </c>
      <c r="X167" s="6"/>
      <c r="Y167" s="22"/>
      <c r="Z167" s="6">
        <v>4</v>
      </c>
      <c r="AA167" s="21"/>
      <c r="AB167" s="23"/>
      <c r="AC167" s="21" t="s">
        <v>30</v>
      </c>
      <c r="AD167" s="24" t="s">
        <v>868</v>
      </c>
      <c r="AE167" s="6" t="s">
        <v>35</v>
      </c>
      <c r="AF167" s="6"/>
      <c r="AG167" s="6" t="s">
        <v>3040</v>
      </c>
    </row>
    <row r="168" spans="1:33" ht="7.5" customHeight="1" x14ac:dyDescent="0.25">
      <c r="A168" s="27"/>
      <c r="B168" s="39"/>
      <c r="C168" s="39"/>
      <c r="D168" s="39"/>
      <c r="E168" s="28"/>
      <c r="F168" s="27"/>
      <c r="G168" s="27"/>
      <c r="H168" s="27"/>
      <c r="I168" s="27"/>
      <c r="J168" s="30"/>
      <c r="K168" s="30"/>
      <c r="L168" s="29"/>
      <c r="M168" s="27"/>
      <c r="N168" s="27"/>
      <c r="O168" s="27"/>
      <c r="P168" s="27"/>
      <c r="Q168" s="29"/>
      <c r="R168" s="29"/>
      <c r="S168" s="29"/>
      <c r="T168" s="29"/>
      <c r="U168" s="27"/>
      <c r="V168" s="29"/>
      <c r="W168" s="29"/>
      <c r="X168" s="29"/>
      <c r="Y168" s="31"/>
      <c r="Z168" s="29"/>
      <c r="AA168" s="30"/>
      <c r="AB168" s="32"/>
      <c r="AC168" s="30"/>
      <c r="AD168" s="33"/>
      <c r="AE168" s="29"/>
      <c r="AF168" s="29"/>
      <c r="AG168" s="29"/>
    </row>
    <row r="169" spans="1:33" ht="15" customHeight="1" x14ac:dyDescent="0.25">
      <c r="A169" s="5">
        <v>27</v>
      </c>
      <c r="B169" s="38">
        <v>44015</v>
      </c>
      <c r="C169" s="38">
        <v>44006</v>
      </c>
      <c r="D169" s="38">
        <v>43991</v>
      </c>
      <c r="E169" s="37">
        <v>44015</v>
      </c>
      <c r="F169" s="5">
        <v>8694</v>
      </c>
      <c r="G169" s="5" t="s">
        <v>91</v>
      </c>
      <c r="H169" s="5" t="s">
        <v>41</v>
      </c>
      <c r="I169" s="5" t="s">
        <v>92</v>
      </c>
      <c r="J169" s="21" t="s">
        <v>147</v>
      </c>
      <c r="K169" s="21" t="s">
        <v>758</v>
      </c>
      <c r="L169" s="6" t="s">
        <v>759</v>
      </c>
      <c r="M169" s="5">
        <v>9</v>
      </c>
      <c r="N169" s="5" t="s">
        <v>91</v>
      </c>
      <c r="O169" s="5" t="s">
        <v>91</v>
      </c>
      <c r="P169" s="5" t="s">
        <v>91</v>
      </c>
      <c r="Q169" s="6" t="s">
        <v>741</v>
      </c>
      <c r="R169" s="6" t="s">
        <v>760</v>
      </c>
      <c r="S169" s="6" t="s">
        <v>761</v>
      </c>
      <c r="T169" s="6"/>
      <c r="U169" s="5"/>
      <c r="V169" s="6" t="s">
        <v>762</v>
      </c>
      <c r="W169" s="6" t="s">
        <v>763</v>
      </c>
      <c r="X169" s="6" t="s">
        <v>764</v>
      </c>
      <c r="Y169" s="22">
        <v>275746622</v>
      </c>
      <c r="Z169" s="6"/>
      <c r="AA169" s="21"/>
      <c r="AB169" s="23">
        <v>43987</v>
      </c>
      <c r="AC169" s="21" t="s">
        <v>30</v>
      </c>
      <c r="AD169" s="24" t="s">
        <v>765</v>
      </c>
      <c r="AE169" s="6" t="s">
        <v>31</v>
      </c>
      <c r="AF169" s="6"/>
      <c r="AG169" s="6" t="s">
        <v>3040</v>
      </c>
    </row>
    <row r="170" spans="1:33" ht="7.5" customHeight="1" x14ac:dyDescent="0.25">
      <c r="A170" s="27"/>
      <c r="B170" s="39"/>
      <c r="C170" s="39"/>
      <c r="D170" s="39"/>
      <c r="E170" s="28"/>
      <c r="F170" s="27"/>
      <c r="G170" s="27"/>
      <c r="H170" s="27"/>
      <c r="I170" s="27"/>
      <c r="J170" s="30"/>
      <c r="K170" s="30"/>
      <c r="L170" s="29"/>
      <c r="M170" s="27"/>
      <c r="N170" s="27"/>
      <c r="O170" s="27"/>
      <c r="P170" s="27"/>
      <c r="Q170" s="29"/>
      <c r="R170" s="29"/>
      <c r="S170" s="29"/>
      <c r="T170" s="29"/>
      <c r="U170" s="27"/>
      <c r="V170" s="29"/>
      <c r="W170" s="29"/>
      <c r="X170" s="29"/>
      <c r="Y170" s="31"/>
      <c r="Z170" s="29"/>
      <c r="AA170" s="30"/>
      <c r="AB170" s="32"/>
      <c r="AC170" s="30"/>
      <c r="AD170" s="33"/>
      <c r="AE170" s="29"/>
      <c r="AF170" s="29"/>
      <c r="AG170" s="29"/>
    </row>
    <row r="171" spans="1:33" ht="15" customHeight="1" x14ac:dyDescent="0.25">
      <c r="A171" s="5">
        <v>28</v>
      </c>
      <c r="B171" s="38">
        <v>44020</v>
      </c>
      <c r="C171" s="38">
        <v>44006</v>
      </c>
      <c r="D171" s="38">
        <v>43999</v>
      </c>
      <c r="E171" s="34">
        <v>44020</v>
      </c>
      <c r="F171" s="5">
        <v>8709</v>
      </c>
      <c r="G171" s="5" t="s">
        <v>91</v>
      </c>
      <c r="H171" s="5" t="s">
        <v>40</v>
      </c>
      <c r="I171" s="5" t="s">
        <v>92</v>
      </c>
      <c r="J171" s="21" t="s">
        <v>147</v>
      </c>
      <c r="K171" s="21" t="s">
        <v>884</v>
      </c>
      <c r="L171" s="6" t="s">
        <v>885</v>
      </c>
      <c r="M171" s="5">
        <v>1</v>
      </c>
      <c r="N171" s="5" t="s">
        <v>91</v>
      </c>
      <c r="O171" s="5" t="s">
        <v>91</v>
      </c>
      <c r="P171" s="5" t="s">
        <v>91</v>
      </c>
      <c r="Q171" s="6"/>
      <c r="R171" s="6" t="s">
        <v>886</v>
      </c>
      <c r="S171" s="6"/>
      <c r="T171" s="6"/>
      <c r="U171" s="5"/>
      <c r="V171" s="6"/>
      <c r="W171" s="6" t="s">
        <v>380</v>
      </c>
      <c r="X171" s="6"/>
      <c r="Y171" s="22"/>
      <c r="Z171" s="6"/>
      <c r="AA171" s="21"/>
      <c r="AB171" s="23">
        <v>44013</v>
      </c>
      <c r="AC171" s="21" t="s">
        <v>33</v>
      </c>
      <c r="AD171" s="24" t="s">
        <v>887</v>
      </c>
      <c r="AE171" s="6" t="s">
        <v>38</v>
      </c>
      <c r="AF171" s="6"/>
      <c r="AG171" s="6" t="s">
        <v>3040</v>
      </c>
    </row>
    <row r="172" spans="1:33" ht="7.5" customHeight="1" x14ac:dyDescent="0.25">
      <c r="A172" s="27"/>
      <c r="B172" s="39"/>
      <c r="C172" s="39"/>
      <c r="D172" s="39"/>
      <c r="E172" s="28"/>
      <c r="F172" s="27"/>
      <c r="G172" s="27"/>
      <c r="H172" s="27"/>
      <c r="I172" s="27"/>
      <c r="J172" s="30"/>
      <c r="K172" s="30"/>
      <c r="L172" s="29"/>
      <c r="M172" s="27"/>
      <c r="N172" s="27"/>
      <c r="O172" s="27"/>
      <c r="P172" s="27"/>
      <c r="Q172" s="29"/>
      <c r="R172" s="29"/>
      <c r="S172" s="29"/>
      <c r="T172" s="29"/>
      <c r="U172" s="27"/>
      <c r="V172" s="29"/>
      <c r="W172" s="29"/>
      <c r="X172" s="29"/>
      <c r="Y172" s="31"/>
      <c r="Z172" s="29"/>
      <c r="AA172" s="30"/>
      <c r="AB172" s="32"/>
      <c r="AC172" s="30"/>
      <c r="AD172" s="33"/>
      <c r="AE172" s="29"/>
      <c r="AF172" s="29"/>
      <c r="AG172" s="29"/>
    </row>
    <row r="173" spans="1:33" ht="15" customHeight="1" x14ac:dyDescent="0.25">
      <c r="A173" s="5">
        <v>28</v>
      </c>
      <c r="B173" s="38">
        <v>44022</v>
      </c>
      <c r="C173" s="38">
        <v>44006</v>
      </c>
      <c r="D173" s="38">
        <v>43970</v>
      </c>
      <c r="E173" s="34">
        <v>44022</v>
      </c>
      <c r="F173" s="5">
        <v>8660</v>
      </c>
      <c r="G173" s="5" t="s">
        <v>91</v>
      </c>
      <c r="H173" s="5" t="s">
        <v>41</v>
      </c>
      <c r="I173" s="5" t="s">
        <v>92</v>
      </c>
      <c r="J173" s="21" t="s">
        <v>147</v>
      </c>
      <c r="K173" s="21" t="s">
        <v>706</v>
      </c>
      <c r="L173" s="6" t="s">
        <v>707</v>
      </c>
      <c r="M173" s="5">
        <v>16</v>
      </c>
      <c r="N173" s="5" t="s">
        <v>91</v>
      </c>
      <c r="O173" s="5" t="s">
        <v>91</v>
      </c>
      <c r="P173" s="5" t="s">
        <v>91</v>
      </c>
      <c r="Q173" s="6" t="s">
        <v>741</v>
      </c>
      <c r="R173" s="6" t="s">
        <v>742</v>
      </c>
      <c r="S173" s="6" t="s">
        <v>265</v>
      </c>
      <c r="T173" s="6"/>
      <c r="U173" s="5"/>
      <c r="V173" s="6"/>
      <c r="W173" s="6" t="s">
        <v>708</v>
      </c>
      <c r="X173" s="6"/>
      <c r="Y173" s="22"/>
      <c r="Z173" s="6"/>
      <c r="AA173" s="21"/>
      <c r="AB173" s="23">
        <v>43902</v>
      </c>
      <c r="AC173" s="21" t="s">
        <v>30</v>
      </c>
      <c r="AD173" s="24" t="s">
        <v>917</v>
      </c>
      <c r="AE173" s="6" t="s">
        <v>36</v>
      </c>
      <c r="AF173" s="6"/>
      <c r="AG173" s="6" t="s">
        <v>3042</v>
      </c>
    </row>
    <row r="174" spans="1:33" ht="7.5" customHeight="1" x14ac:dyDescent="0.25">
      <c r="A174" s="27"/>
      <c r="B174" s="39"/>
      <c r="C174" s="39"/>
      <c r="D174" s="39"/>
      <c r="E174" s="28"/>
      <c r="F174" s="27"/>
      <c r="G174" s="27"/>
      <c r="H174" s="27"/>
      <c r="I174" s="27"/>
      <c r="J174" s="30"/>
      <c r="K174" s="30"/>
      <c r="L174" s="29"/>
      <c r="M174" s="27"/>
      <c r="N174" s="27"/>
      <c r="O174" s="27"/>
      <c r="P174" s="27"/>
      <c r="Q174" s="29"/>
      <c r="R174" s="29"/>
      <c r="S174" s="29"/>
      <c r="T174" s="29"/>
      <c r="U174" s="27"/>
      <c r="V174" s="29"/>
      <c r="W174" s="29"/>
      <c r="X174" s="29"/>
      <c r="Y174" s="31"/>
      <c r="Z174" s="29"/>
      <c r="AA174" s="30"/>
      <c r="AB174" s="32"/>
      <c r="AC174" s="30"/>
      <c r="AD174" s="33"/>
      <c r="AE174" s="29"/>
      <c r="AF174" s="29"/>
      <c r="AG174" s="29"/>
    </row>
    <row r="175" spans="1:33" ht="15" customHeight="1" x14ac:dyDescent="0.25">
      <c r="A175" s="5">
        <v>27</v>
      </c>
      <c r="B175" s="38">
        <v>44015</v>
      </c>
      <c r="C175" s="38">
        <v>44006</v>
      </c>
      <c r="D175" s="38">
        <v>43992</v>
      </c>
      <c r="E175" s="37">
        <v>44015</v>
      </c>
      <c r="F175" s="5">
        <v>9648</v>
      </c>
      <c r="G175" s="5" t="s">
        <v>91</v>
      </c>
      <c r="H175" s="5" t="s">
        <v>40</v>
      </c>
      <c r="I175" s="5" t="s">
        <v>92</v>
      </c>
      <c r="J175" s="21" t="s">
        <v>159</v>
      </c>
      <c r="K175" s="21">
        <v>256871</v>
      </c>
      <c r="L175" s="6" t="s">
        <v>152</v>
      </c>
      <c r="M175" s="5">
        <v>4</v>
      </c>
      <c r="N175" s="5" t="s">
        <v>91</v>
      </c>
      <c r="O175" s="5" t="s">
        <v>91</v>
      </c>
      <c r="P175" s="5" t="s">
        <v>91</v>
      </c>
      <c r="Q175" s="6"/>
      <c r="R175" s="6" t="s">
        <v>163</v>
      </c>
      <c r="S175" s="6"/>
      <c r="T175" s="6"/>
      <c r="U175" s="5"/>
      <c r="V175" s="6" t="s">
        <v>167</v>
      </c>
      <c r="W175" s="6" t="s">
        <v>766</v>
      </c>
      <c r="X175" s="6"/>
      <c r="Y175" s="22"/>
      <c r="Z175" s="6"/>
      <c r="AA175" s="21">
        <v>256871</v>
      </c>
      <c r="AB175" s="23"/>
      <c r="AC175" s="21" t="s">
        <v>30</v>
      </c>
      <c r="AD175" s="24" t="s">
        <v>767</v>
      </c>
      <c r="AE175" s="6" t="s">
        <v>36</v>
      </c>
      <c r="AF175" s="6"/>
      <c r="AG175" s="6" t="s">
        <v>3041</v>
      </c>
    </row>
    <row r="176" spans="1:33" ht="15" customHeight="1" x14ac:dyDescent="0.25">
      <c r="A176" s="5">
        <v>27</v>
      </c>
      <c r="B176" s="38">
        <v>44015</v>
      </c>
      <c r="C176" s="38">
        <v>44006</v>
      </c>
      <c r="D176" s="38">
        <v>43983</v>
      </c>
      <c r="E176" s="37">
        <v>44015</v>
      </c>
      <c r="F176" s="5">
        <v>9644</v>
      </c>
      <c r="G176" s="5" t="s">
        <v>91</v>
      </c>
      <c r="H176" s="5" t="s">
        <v>40</v>
      </c>
      <c r="I176" s="5" t="s">
        <v>92</v>
      </c>
      <c r="J176" s="21" t="s">
        <v>159</v>
      </c>
      <c r="K176" s="21">
        <v>256723</v>
      </c>
      <c r="L176" s="6" t="s">
        <v>769</v>
      </c>
      <c r="M176" s="5">
        <v>10</v>
      </c>
      <c r="N176" s="5" t="s">
        <v>91</v>
      </c>
      <c r="O176" s="5" t="s">
        <v>91</v>
      </c>
      <c r="P176" s="5" t="s">
        <v>91</v>
      </c>
      <c r="Q176" s="6" t="s">
        <v>559</v>
      </c>
      <c r="R176" s="6" t="s">
        <v>163</v>
      </c>
      <c r="S176" s="6"/>
      <c r="T176" s="6"/>
      <c r="U176" s="5"/>
      <c r="V176" s="6"/>
      <c r="W176" s="6" t="s">
        <v>770</v>
      </c>
      <c r="X176" s="6"/>
      <c r="Y176" s="22"/>
      <c r="Z176" s="6"/>
      <c r="AA176" s="21">
        <v>256723</v>
      </c>
      <c r="AB176" s="23"/>
      <c r="AC176" s="21" t="s">
        <v>32</v>
      </c>
      <c r="AD176" s="24" t="s">
        <v>771</v>
      </c>
      <c r="AE176" s="6" t="s">
        <v>31</v>
      </c>
      <c r="AF176" s="6"/>
      <c r="AG176" s="6" t="s">
        <v>3039</v>
      </c>
    </row>
    <row r="177" spans="1:33" ht="15" customHeight="1" x14ac:dyDescent="0.25">
      <c r="A177" s="5">
        <v>27</v>
      </c>
      <c r="B177" s="38">
        <v>44015</v>
      </c>
      <c r="C177" s="38">
        <v>44006</v>
      </c>
      <c r="D177" s="38">
        <v>43997</v>
      </c>
      <c r="E177" s="37">
        <v>44015</v>
      </c>
      <c r="F177" s="5">
        <v>9649</v>
      </c>
      <c r="G177" s="5" t="s">
        <v>91</v>
      </c>
      <c r="H177" s="5" t="s">
        <v>40</v>
      </c>
      <c r="I177" s="5" t="s">
        <v>92</v>
      </c>
      <c r="J177" s="21" t="s">
        <v>159</v>
      </c>
      <c r="K177" s="21">
        <v>256902</v>
      </c>
      <c r="L177" s="6" t="s">
        <v>152</v>
      </c>
      <c r="M177" s="5">
        <v>3</v>
      </c>
      <c r="N177" s="5" t="s">
        <v>91</v>
      </c>
      <c r="O177" s="5" t="s">
        <v>91</v>
      </c>
      <c r="P177" s="5" t="s">
        <v>91</v>
      </c>
      <c r="Q177" s="6" t="s">
        <v>428</v>
      </c>
      <c r="R177" s="6" t="s">
        <v>163</v>
      </c>
      <c r="S177" s="6"/>
      <c r="T177" s="6"/>
      <c r="U177" s="5"/>
      <c r="V177" s="6" t="s">
        <v>167</v>
      </c>
      <c r="W177" s="6" t="s">
        <v>772</v>
      </c>
      <c r="X177" s="6"/>
      <c r="Y177" s="22"/>
      <c r="Z177" s="6"/>
      <c r="AA177" s="21">
        <v>256902</v>
      </c>
      <c r="AB177" s="23"/>
      <c r="AC177" s="21" t="s">
        <v>32</v>
      </c>
      <c r="AD177" s="24" t="s">
        <v>773</v>
      </c>
      <c r="AE177" s="6" t="s">
        <v>37</v>
      </c>
      <c r="AF177" s="6"/>
      <c r="AG177" s="6" t="s">
        <v>3040</v>
      </c>
    </row>
    <row r="178" spans="1:33" ht="7.5" customHeight="1" x14ac:dyDescent="0.25">
      <c r="A178" s="27"/>
      <c r="B178" s="39"/>
      <c r="C178" s="39"/>
      <c r="D178" s="39"/>
      <c r="E178" s="28"/>
      <c r="F178" s="27"/>
      <c r="G178" s="27"/>
      <c r="H178" s="27"/>
      <c r="I178" s="27"/>
      <c r="J178" s="30"/>
      <c r="K178" s="30"/>
      <c r="L178" s="29"/>
      <c r="M178" s="27"/>
      <c r="N178" s="27"/>
      <c r="O178" s="27"/>
      <c r="P178" s="27"/>
      <c r="Q178" s="29"/>
      <c r="R178" s="29"/>
      <c r="S178" s="29"/>
      <c r="T178" s="29"/>
      <c r="U178" s="27"/>
      <c r="V178" s="29"/>
      <c r="W178" s="29"/>
      <c r="X178" s="29"/>
      <c r="Y178" s="31"/>
      <c r="Z178" s="29"/>
      <c r="AA178" s="30"/>
      <c r="AB178" s="32"/>
      <c r="AC178" s="30"/>
      <c r="AD178" s="33"/>
      <c r="AE178" s="29"/>
      <c r="AF178" s="29"/>
      <c r="AG178" s="29"/>
    </row>
    <row r="179" spans="1:33" ht="15" customHeight="1" x14ac:dyDescent="0.25">
      <c r="A179" s="5">
        <v>28</v>
      </c>
      <c r="B179" s="38">
        <v>44018</v>
      </c>
      <c r="C179" s="38">
        <v>44007</v>
      </c>
      <c r="D179" s="38">
        <v>43984</v>
      </c>
      <c r="E179" s="34">
        <v>44018</v>
      </c>
      <c r="F179" s="5">
        <v>1606</v>
      </c>
      <c r="G179" s="5" t="s">
        <v>91</v>
      </c>
      <c r="H179" s="5" t="s">
        <v>41</v>
      </c>
      <c r="I179" s="5" t="s">
        <v>92</v>
      </c>
      <c r="J179" s="21" t="s">
        <v>372</v>
      </c>
      <c r="K179" s="21" t="s">
        <v>774</v>
      </c>
      <c r="L179" s="6" t="s">
        <v>775</v>
      </c>
      <c r="M179" s="5">
        <v>10</v>
      </c>
      <c r="N179" s="5" t="s">
        <v>91</v>
      </c>
      <c r="O179" s="5" t="s">
        <v>91</v>
      </c>
      <c r="P179" s="5" t="s">
        <v>91</v>
      </c>
      <c r="Q179" s="6" t="s">
        <v>741</v>
      </c>
      <c r="R179" s="6" t="s">
        <v>776</v>
      </c>
      <c r="S179" s="6" t="s">
        <v>98</v>
      </c>
      <c r="T179" s="6" t="s">
        <v>777</v>
      </c>
      <c r="U179" s="5"/>
      <c r="V179" s="6"/>
      <c r="W179" s="6" t="s">
        <v>778</v>
      </c>
      <c r="X179" s="6" t="s">
        <v>779</v>
      </c>
      <c r="Y179" s="22">
        <v>27528789</v>
      </c>
      <c r="Z179" s="6"/>
      <c r="AA179" s="21"/>
      <c r="AB179" s="23">
        <v>43969</v>
      </c>
      <c r="AC179" s="21" t="s">
        <v>32</v>
      </c>
      <c r="AD179" s="24" t="s">
        <v>780</v>
      </c>
      <c r="AE179" s="6" t="s">
        <v>34</v>
      </c>
      <c r="AF179" s="6"/>
      <c r="AG179" s="6" t="s">
        <v>3041</v>
      </c>
    </row>
    <row r="180" spans="1:33" ht="7.5" customHeight="1" x14ac:dyDescent="0.25">
      <c r="A180" s="27"/>
      <c r="B180" s="39"/>
      <c r="C180" s="39"/>
      <c r="D180" s="39"/>
      <c r="E180" s="28"/>
      <c r="F180" s="27"/>
      <c r="G180" s="27"/>
      <c r="H180" s="27"/>
      <c r="I180" s="27"/>
      <c r="J180" s="30"/>
      <c r="K180" s="30"/>
      <c r="L180" s="29"/>
      <c r="M180" s="27"/>
      <c r="N180" s="27"/>
      <c r="O180" s="27"/>
      <c r="P180" s="27"/>
      <c r="Q180" s="29"/>
      <c r="R180" s="29"/>
      <c r="S180" s="29"/>
      <c r="T180" s="29"/>
      <c r="U180" s="27"/>
      <c r="V180" s="29"/>
      <c r="W180" s="29"/>
      <c r="X180" s="29"/>
      <c r="Y180" s="31"/>
      <c r="Z180" s="29"/>
      <c r="AA180" s="30"/>
      <c r="AB180" s="32"/>
      <c r="AC180" s="30"/>
      <c r="AD180" s="33"/>
      <c r="AE180" s="29"/>
      <c r="AF180" s="29"/>
      <c r="AG180" s="29"/>
    </row>
    <row r="181" spans="1:33" ht="15" customHeight="1" x14ac:dyDescent="0.25">
      <c r="A181" s="5">
        <v>28</v>
      </c>
      <c r="B181" s="38">
        <v>44021</v>
      </c>
      <c r="C181" s="38">
        <v>44007</v>
      </c>
      <c r="D181" s="38">
        <v>44000</v>
      </c>
      <c r="E181" s="34">
        <v>44021</v>
      </c>
      <c r="F181" s="5">
        <v>4789</v>
      </c>
      <c r="G181" s="5" t="s">
        <v>91</v>
      </c>
      <c r="H181" s="5" t="s">
        <v>40</v>
      </c>
      <c r="I181" s="5" t="s">
        <v>92</v>
      </c>
      <c r="J181" s="21" t="s">
        <v>109</v>
      </c>
      <c r="K181" s="21" t="s">
        <v>893</v>
      </c>
      <c r="L181" s="6" t="s">
        <v>894</v>
      </c>
      <c r="M181" s="5">
        <v>10</v>
      </c>
      <c r="N181" s="5" t="s">
        <v>91</v>
      </c>
      <c r="O181" s="5" t="s">
        <v>91</v>
      </c>
      <c r="P181" s="5" t="s">
        <v>91</v>
      </c>
      <c r="Q181" s="6"/>
      <c r="R181" s="6" t="s">
        <v>112</v>
      </c>
      <c r="S181" s="6"/>
      <c r="T181" s="6"/>
      <c r="U181" s="5"/>
      <c r="V181" s="6"/>
      <c r="W181" s="6" t="s">
        <v>895</v>
      </c>
      <c r="X181" s="6"/>
      <c r="Y181" s="22"/>
      <c r="Z181" s="6"/>
      <c r="AA181" s="21">
        <v>15044</v>
      </c>
      <c r="AB181" s="23"/>
      <c r="AC181" s="21" t="s">
        <v>33</v>
      </c>
      <c r="AD181" s="24" t="s">
        <v>896</v>
      </c>
      <c r="AE181" s="6" t="s">
        <v>37</v>
      </c>
      <c r="AF181" s="6"/>
      <c r="AG181" s="6" t="s">
        <v>3042</v>
      </c>
    </row>
    <row r="182" spans="1:33" ht="7.5" customHeight="1" x14ac:dyDescent="0.25">
      <c r="A182" s="27"/>
      <c r="B182" s="39"/>
      <c r="C182" s="39"/>
      <c r="D182" s="39"/>
      <c r="E182" s="28"/>
      <c r="F182" s="27"/>
      <c r="G182" s="27"/>
      <c r="H182" s="27"/>
      <c r="I182" s="27"/>
      <c r="J182" s="30"/>
      <c r="K182" s="30"/>
      <c r="L182" s="29"/>
      <c r="M182" s="27"/>
      <c r="N182" s="27"/>
      <c r="O182" s="27"/>
      <c r="P182" s="27"/>
      <c r="Q182" s="29"/>
      <c r="R182" s="29"/>
      <c r="S182" s="29"/>
      <c r="T182" s="29"/>
      <c r="U182" s="27"/>
      <c r="V182" s="29"/>
      <c r="W182" s="29"/>
      <c r="X182" s="29"/>
      <c r="Y182" s="31"/>
      <c r="Z182" s="29"/>
      <c r="AA182" s="30"/>
      <c r="AB182" s="32"/>
      <c r="AC182" s="30"/>
      <c r="AD182" s="33"/>
      <c r="AE182" s="29"/>
      <c r="AF182" s="29"/>
      <c r="AG182" s="29"/>
    </row>
    <row r="183" spans="1:33" ht="15" customHeight="1" x14ac:dyDescent="0.25">
      <c r="A183" s="5">
        <v>28</v>
      </c>
      <c r="B183" s="38">
        <v>44018</v>
      </c>
      <c r="C183" s="38">
        <v>44007</v>
      </c>
      <c r="D183" s="38">
        <v>43985</v>
      </c>
      <c r="E183" s="34">
        <v>44018</v>
      </c>
      <c r="F183" s="5">
        <v>5544</v>
      </c>
      <c r="G183" s="5" t="s">
        <v>91</v>
      </c>
      <c r="H183" s="5" t="s">
        <v>41</v>
      </c>
      <c r="I183" s="5" t="s">
        <v>92</v>
      </c>
      <c r="J183" s="21" t="s">
        <v>131</v>
      </c>
      <c r="K183" s="21" t="s">
        <v>785</v>
      </c>
      <c r="L183" s="6" t="s">
        <v>786</v>
      </c>
      <c r="M183" s="5">
        <v>5</v>
      </c>
      <c r="N183" s="5" t="s">
        <v>91</v>
      </c>
      <c r="O183" s="5" t="s">
        <v>91</v>
      </c>
      <c r="P183" s="5" t="s">
        <v>91</v>
      </c>
      <c r="Q183" s="6" t="s">
        <v>559</v>
      </c>
      <c r="R183" s="6" t="s">
        <v>123</v>
      </c>
      <c r="S183" s="6"/>
      <c r="T183" s="6"/>
      <c r="U183" s="5"/>
      <c r="V183" s="6"/>
      <c r="W183" s="6" t="s">
        <v>573</v>
      </c>
      <c r="X183" s="6"/>
      <c r="Y183" s="22"/>
      <c r="Z183" s="6">
        <v>1.5</v>
      </c>
      <c r="AA183" s="21"/>
      <c r="AB183" s="23"/>
      <c r="AC183" s="21" t="s">
        <v>33</v>
      </c>
      <c r="AD183" s="24" t="s">
        <v>787</v>
      </c>
      <c r="AE183" s="6" t="s">
        <v>35</v>
      </c>
      <c r="AF183" s="6"/>
      <c r="AG183" s="6" t="s">
        <v>3039</v>
      </c>
    </row>
    <row r="184" spans="1:33" ht="15" customHeight="1" x14ac:dyDescent="0.25">
      <c r="A184" s="5">
        <v>28</v>
      </c>
      <c r="B184" s="38">
        <v>44018</v>
      </c>
      <c r="C184" s="38">
        <v>44007</v>
      </c>
      <c r="D184" s="38">
        <v>43998</v>
      </c>
      <c r="E184" s="34">
        <v>44018</v>
      </c>
      <c r="F184" s="5">
        <v>5562</v>
      </c>
      <c r="G184" s="5" t="s">
        <v>91</v>
      </c>
      <c r="H184" s="5" t="s">
        <v>41</v>
      </c>
      <c r="I184" s="5" t="s">
        <v>92</v>
      </c>
      <c r="J184" s="21" t="s">
        <v>131</v>
      </c>
      <c r="K184" s="21" t="s">
        <v>796</v>
      </c>
      <c r="L184" s="6" t="s">
        <v>575</v>
      </c>
      <c r="M184" s="5">
        <v>0</v>
      </c>
      <c r="N184" s="5" t="s">
        <v>91</v>
      </c>
      <c r="O184" s="5" t="s">
        <v>91</v>
      </c>
      <c r="P184" s="5" t="s">
        <v>91</v>
      </c>
      <c r="Q184" s="6" t="s">
        <v>559</v>
      </c>
      <c r="R184" s="6" t="s">
        <v>112</v>
      </c>
      <c r="S184" s="6"/>
      <c r="T184" s="6"/>
      <c r="U184" s="5"/>
      <c r="V184" s="6"/>
      <c r="W184" s="6" t="s">
        <v>183</v>
      </c>
      <c r="X184" s="6"/>
      <c r="Y184" s="22"/>
      <c r="Z184" s="6"/>
      <c r="AA184" s="21"/>
      <c r="AB184" s="23"/>
      <c r="AC184" s="21" t="s">
        <v>30</v>
      </c>
      <c r="AD184" s="24" t="s">
        <v>797</v>
      </c>
      <c r="AE184" s="6" t="s">
        <v>36</v>
      </c>
      <c r="AF184" s="6"/>
      <c r="AG184" s="6" t="s">
        <v>3042</v>
      </c>
    </row>
    <row r="185" spans="1:33" ht="15" customHeight="1" x14ac:dyDescent="0.25">
      <c r="A185" s="5">
        <v>28</v>
      </c>
      <c r="B185" s="38">
        <v>44018</v>
      </c>
      <c r="C185" s="38">
        <v>44007</v>
      </c>
      <c r="D185" s="38">
        <v>43998</v>
      </c>
      <c r="E185" s="34">
        <v>44018</v>
      </c>
      <c r="F185" s="5">
        <v>5563</v>
      </c>
      <c r="G185" s="5" t="s">
        <v>91</v>
      </c>
      <c r="H185" s="5" t="s">
        <v>41</v>
      </c>
      <c r="I185" s="5" t="s">
        <v>92</v>
      </c>
      <c r="J185" s="21" t="s">
        <v>131</v>
      </c>
      <c r="K185" s="21" t="s">
        <v>798</v>
      </c>
      <c r="L185" s="6" t="s">
        <v>799</v>
      </c>
      <c r="M185" s="5">
        <v>0</v>
      </c>
      <c r="N185" s="5" t="s">
        <v>91</v>
      </c>
      <c r="O185" s="5" t="s">
        <v>91</v>
      </c>
      <c r="P185" s="5" t="s">
        <v>91</v>
      </c>
      <c r="Q185" s="6" t="s">
        <v>559</v>
      </c>
      <c r="R185" s="6" t="s">
        <v>112</v>
      </c>
      <c r="S185" s="6"/>
      <c r="T185" s="6"/>
      <c r="U185" s="5"/>
      <c r="V185" s="6"/>
      <c r="W185" s="6" t="s">
        <v>502</v>
      </c>
      <c r="X185" s="6"/>
      <c r="Y185" s="22"/>
      <c r="Z185" s="6"/>
      <c r="AA185" s="21"/>
      <c r="AB185" s="23"/>
      <c r="AC185" s="21" t="s">
        <v>30</v>
      </c>
      <c r="AD185" s="24" t="s">
        <v>800</v>
      </c>
      <c r="AE185" s="6" t="s">
        <v>31</v>
      </c>
      <c r="AF185" s="6"/>
      <c r="AG185" s="6" t="s">
        <v>3039</v>
      </c>
    </row>
    <row r="186" spans="1:33" ht="15" customHeight="1" x14ac:dyDescent="0.25">
      <c r="A186" s="5">
        <v>28</v>
      </c>
      <c r="B186" s="38">
        <v>44018</v>
      </c>
      <c r="C186" s="38">
        <v>44007</v>
      </c>
      <c r="D186" s="38">
        <v>43998</v>
      </c>
      <c r="E186" s="34">
        <v>44018</v>
      </c>
      <c r="F186" s="5">
        <v>5564</v>
      </c>
      <c r="G186" s="5" t="s">
        <v>91</v>
      </c>
      <c r="H186" s="5" t="s">
        <v>41</v>
      </c>
      <c r="I186" s="5" t="s">
        <v>92</v>
      </c>
      <c r="J186" s="21" t="s">
        <v>131</v>
      </c>
      <c r="K186" s="21" t="s">
        <v>801</v>
      </c>
      <c r="L186" s="6" t="s">
        <v>802</v>
      </c>
      <c r="M186" s="5">
        <v>0</v>
      </c>
      <c r="N186" s="5" t="s">
        <v>91</v>
      </c>
      <c r="O186" s="5" t="s">
        <v>91</v>
      </c>
      <c r="P186" s="5" t="s">
        <v>91</v>
      </c>
      <c r="Q186" s="6" t="s">
        <v>559</v>
      </c>
      <c r="R186" s="6" t="s">
        <v>112</v>
      </c>
      <c r="S186" s="6"/>
      <c r="T186" s="6"/>
      <c r="U186" s="5"/>
      <c r="V186" s="6"/>
      <c r="W186" s="6" t="s">
        <v>183</v>
      </c>
      <c r="X186" s="6"/>
      <c r="Y186" s="22"/>
      <c r="Z186" s="6"/>
      <c r="AA186" s="21"/>
      <c r="AB186" s="23"/>
      <c r="AC186" s="21" t="s">
        <v>30</v>
      </c>
      <c r="AD186" s="24" t="s">
        <v>803</v>
      </c>
      <c r="AE186" s="6" t="s">
        <v>31</v>
      </c>
      <c r="AF186" s="6"/>
      <c r="AG186" s="6" t="s">
        <v>3040</v>
      </c>
    </row>
    <row r="187" spans="1:33" ht="15" customHeight="1" x14ac:dyDescent="0.25">
      <c r="A187" s="5">
        <v>28</v>
      </c>
      <c r="B187" s="38">
        <v>44018</v>
      </c>
      <c r="C187" s="38">
        <v>44007</v>
      </c>
      <c r="D187" s="38">
        <v>43994</v>
      </c>
      <c r="E187" s="34">
        <v>44018</v>
      </c>
      <c r="F187" s="5">
        <v>5579</v>
      </c>
      <c r="G187" s="5" t="s">
        <v>91</v>
      </c>
      <c r="H187" s="5" t="s">
        <v>41</v>
      </c>
      <c r="I187" s="5" t="s">
        <v>92</v>
      </c>
      <c r="J187" s="21" t="s">
        <v>131</v>
      </c>
      <c r="K187" s="21" t="s">
        <v>808</v>
      </c>
      <c r="L187" s="6" t="s">
        <v>809</v>
      </c>
      <c r="M187" s="5">
        <v>0</v>
      </c>
      <c r="N187" s="5" t="s">
        <v>91</v>
      </c>
      <c r="O187" s="5" t="s">
        <v>91</v>
      </c>
      <c r="P187" s="5" t="s">
        <v>91</v>
      </c>
      <c r="Q187" s="6"/>
      <c r="R187" s="6" t="s">
        <v>810</v>
      </c>
      <c r="S187" s="6"/>
      <c r="T187" s="6"/>
      <c r="U187" s="5"/>
      <c r="V187" s="6"/>
      <c r="W187" s="6" t="s">
        <v>794</v>
      </c>
      <c r="X187" s="6"/>
      <c r="Y187" s="22"/>
      <c r="Z187" s="6"/>
      <c r="AA187" s="21"/>
      <c r="AB187" s="23"/>
      <c r="AC187" s="21" t="s">
        <v>32</v>
      </c>
      <c r="AD187" s="24" t="s">
        <v>811</v>
      </c>
      <c r="AE187" s="6" t="s">
        <v>38</v>
      </c>
      <c r="AF187" s="6"/>
      <c r="AG187" s="6" t="s">
        <v>3042</v>
      </c>
    </row>
    <row r="188" spans="1:33" ht="7.5" customHeight="1" x14ac:dyDescent="0.25">
      <c r="A188" s="27"/>
      <c r="B188" s="39"/>
      <c r="C188" s="39"/>
      <c r="D188" s="39"/>
      <c r="E188" s="28"/>
      <c r="F188" s="27"/>
      <c r="G188" s="27"/>
      <c r="H188" s="27"/>
      <c r="I188" s="27"/>
      <c r="J188" s="30"/>
      <c r="K188" s="30"/>
      <c r="L188" s="29"/>
      <c r="M188" s="27"/>
      <c r="N188" s="27"/>
      <c r="O188" s="27"/>
      <c r="P188" s="27"/>
      <c r="Q188" s="29"/>
      <c r="R188" s="29"/>
      <c r="S188" s="29"/>
      <c r="T188" s="29"/>
      <c r="U188" s="27"/>
      <c r="V188" s="29"/>
      <c r="W188" s="29"/>
      <c r="X188" s="29"/>
      <c r="Y188" s="31"/>
      <c r="Z188" s="29"/>
      <c r="AA188" s="30"/>
      <c r="AB188" s="32"/>
      <c r="AC188" s="30"/>
      <c r="AD188" s="33"/>
      <c r="AE188" s="29"/>
      <c r="AF188" s="29"/>
      <c r="AG188" s="29"/>
    </row>
    <row r="189" spans="1:33" ht="15" customHeight="1" x14ac:dyDescent="0.25">
      <c r="A189" s="5">
        <v>28</v>
      </c>
      <c r="B189" s="38">
        <v>44021</v>
      </c>
      <c r="C189" s="38">
        <v>44007</v>
      </c>
      <c r="D189" s="38">
        <v>44000</v>
      </c>
      <c r="E189" s="34">
        <v>44021</v>
      </c>
      <c r="F189" s="5">
        <v>7743</v>
      </c>
      <c r="G189" s="5" t="s">
        <v>91</v>
      </c>
      <c r="H189" s="5" t="s">
        <v>41</v>
      </c>
      <c r="I189" s="5" t="s">
        <v>92</v>
      </c>
      <c r="J189" s="21" t="s">
        <v>214</v>
      </c>
      <c r="K189" s="21" t="s">
        <v>897</v>
      </c>
      <c r="L189" s="6" t="s">
        <v>898</v>
      </c>
      <c r="M189" s="5">
        <v>0</v>
      </c>
      <c r="N189" s="5" t="s">
        <v>91</v>
      </c>
      <c r="O189" s="5" t="s">
        <v>91</v>
      </c>
      <c r="P189" s="5" t="s">
        <v>91</v>
      </c>
      <c r="Q189" s="6"/>
      <c r="R189" s="6" t="s">
        <v>229</v>
      </c>
      <c r="S189" s="6"/>
      <c r="T189" s="6"/>
      <c r="U189" s="5"/>
      <c r="V189" s="6"/>
      <c r="W189" s="6" t="s">
        <v>899</v>
      </c>
      <c r="X189" s="6" t="s">
        <v>900</v>
      </c>
      <c r="Y189" s="22" t="s">
        <v>901</v>
      </c>
      <c r="Z189" s="6">
        <v>3.34</v>
      </c>
      <c r="AA189" s="21"/>
      <c r="AB189" s="23"/>
      <c r="AC189" s="21" t="s">
        <v>30</v>
      </c>
      <c r="AD189" s="24" t="s">
        <v>902</v>
      </c>
      <c r="AE189" s="6" t="s">
        <v>31</v>
      </c>
      <c r="AF189" s="6"/>
      <c r="AG189" s="6" t="s">
        <v>3039</v>
      </c>
    </row>
    <row r="190" spans="1:33" ht="7.5" customHeight="1" x14ac:dyDescent="0.25">
      <c r="A190" s="27"/>
      <c r="B190" s="39"/>
      <c r="C190" s="39"/>
      <c r="D190" s="39"/>
      <c r="E190" s="28"/>
      <c r="F190" s="27"/>
      <c r="G190" s="27"/>
      <c r="H190" s="27"/>
      <c r="I190" s="27"/>
      <c r="J190" s="30"/>
      <c r="K190" s="30"/>
      <c r="L190" s="29"/>
      <c r="M190" s="27"/>
      <c r="N190" s="27"/>
      <c r="O190" s="27"/>
      <c r="P190" s="27"/>
      <c r="Q190" s="29"/>
      <c r="R190" s="29"/>
      <c r="S190" s="29"/>
      <c r="T190" s="29"/>
      <c r="U190" s="27"/>
      <c r="V190" s="29"/>
      <c r="W190" s="29"/>
      <c r="X190" s="29"/>
      <c r="Y190" s="31"/>
      <c r="Z190" s="29"/>
      <c r="AA190" s="30"/>
      <c r="AB190" s="32"/>
      <c r="AC190" s="30"/>
      <c r="AD190" s="33"/>
      <c r="AE190" s="29"/>
      <c r="AF190" s="29"/>
      <c r="AG190" s="29"/>
    </row>
    <row r="191" spans="1:33" ht="15" customHeight="1" x14ac:dyDescent="0.25">
      <c r="A191" s="5">
        <v>29</v>
      </c>
      <c r="B191" s="38">
        <v>44025</v>
      </c>
      <c r="C191" s="38">
        <v>44007</v>
      </c>
      <c r="D191" s="38">
        <v>43997</v>
      </c>
      <c r="E191" s="35">
        <v>44025</v>
      </c>
      <c r="F191" s="5">
        <v>9650</v>
      </c>
      <c r="G191" s="5" t="s">
        <v>91</v>
      </c>
      <c r="H191" s="5" t="s">
        <v>40</v>
      </c>
      <c r="I191" s="5" t="s">
        <v>92</v>
      </c>
      <c r="J191" s="21" t="s">
        <v>159</v>
      </c>
      <c r="K191" s="21">
        <v>256894</v>
      </c>
      <c r="L191" s="6" t="s">
        <v>949</v>
      </c>
      <c r="M191" s="5">
        <v>20</v>
      </c>
      <c r="N191" s="5" t="s">
        <v>91</v>
      </c>
      <c r="O191" s="5" t="s">
        <v>91</v>
      </c>
      <c r="P191" s="5" t="s">
        <v>91</v>
      </c>
      <c r="Q191" s="6"/>
      <c r="R191" s="6" t="s">
        <v>106</v>
      </c>
      <c r="S191" s="6"/>
      <c r="T191" s="6"/>
      <c r="U191" s="5"/>
      <c r="V191" s="6" t="s">
        <v>950</v>
      </c>
      <c r="W191" s="6" t="s">
        <v>106</v>
      </c>
      <c r="X191" s="6" t="s">
        <v>951</v>
      </c>
      <c r="Y191" s="22"/>
      <c r="Z191" s="6"/>
      <c r="AA191" s="21">
        <v>256894</v>
      </c>
      <c r="AB191" s="23"/>
      <c r="AC191" s="21" t="s">
        <v>32</v>
      </c>
      <c r="AD191" s="24" t="s">
        <v>952</v>
      </c>
      <c r="AE191" s="6" t="s">
        <v>36</v>
      </c>
      <c r="AF191" s="6"/>
      <c r="AG191" s="6" t="s">
        <v>3041</v>
      </c>
    </row>
    <row r="192" spans="1:33" ht="7.5" customHeight="1" x14ac:dyDescent="0.25">
      <c r="A192" s="27"/>
      <c r="B192" s="39"/>
      <c r="C192" s="39"/>
      <c r="D192" s="39"/>
      <c r="E192" s="28"/>
      <c r="F192" s="27"/>
      <c r="G192" s="27"/>
      <c r="H192" s="27"/>
      <c r="I192" s="27"/>
      <c r="J192" s="30"/>
      <c r="K192" s="30"/>
      <c r="L192" s="29"/>
      <c r="M192" s="27"/>
      <c r="N192" s="27"/>
      <c r="O192" s="27"/>
      <c r="P192" s="27"/>
      <c r="Q192" s="29"/>
      <c r="R192" s="29"/>
      <c r="S192" s="29"/>
      <c r="T192" s="29"/>
      <c r="U192" s="27"/>
      <c r="V192" s="29"/>
      <c r="W192" s="29"/>
      <c r="X192" s="29"/>
      <c r="Y192" s="31"/>
      <c r="Z192" s="29"/>
      <c r="AA192" s="30"/>
      <c r="AB192" s="32"/>
      <c r="AC192" s="30"/>
      <c r="AD192" s="33"/>
      <c r="AE192" s="29"/>
      <c r="AF192" s="29"/>
      <c r="AG192" s="29"/>
    </row>
    <row r="193" spans="1:33" ht="15" customHeight="1" x14ac:dyDescent="0.25">
      <c r="A193" s="5">
        <v>29</v>
      </c>
      <c r="B193" s="38">
        <v>44026</v>
      </c>
      <c r="C193" s="38">
        <v>44008</v>
      </c>
      <c r="D193" s="38">
        <v>44000</v>
      </c>
      <c r="E193" s="35">
        <v>44026</v>
      </c>
      <c r="F193" s="5">
        <v>4784</v>
      </c>
      <c r="G193" s="5" t="s">
        <v>91</v>
      </c>
      <c r="H193" s="5" t="s">
        <v>43</v>
      </c>
      <c r="I193" s="5" t="s">
        <v>92</v>
      </c>
      <c r="J193" s="21" t="s">
        <v>109</v>
      </c>
      <c r="K193" s="21" t="s">
        <v>961</v>
      </c>
      <c r="L193" s="6" t="s">
        <v>962</v>
      </c>
      <c r="M193" s="5">
        <v>16</v>
      </c>
      <c r="N193" s="5" t="s">
        <v>91</v>
      </c>
      <c r="O193" s="5" t="s">
        <v>91</v>
      </c>
      <c r="P193" s="5" t="s">
        <v>91</v>
      </c>
      <c r="Q193" s="6"/>
      <c r="R193" s="6" t="s">
        <v>734</v>
      </c>
      <c r="S193" s="6"/>
      <c r="T193" s="6"/>
      <c r="U193" s="5"/>
      <c r="V193" s="6"/>
      <c r="W193" s="6" t="s">
        <v>963</v>
      </c>
      <c r="X193" s="6"/>
      <c r="Y193" s="22"/>
      <c r="Z193" s="6">
        <v>4.4000000000000004</v>
      </c>
      <c r="AA193" s="21">
        <v>13427</v>
      </c>
      <c r="AB193" s="23">
        <v>44036</v>
      </c>
      <c r="AC193" s="21" t="s">
        <v>32</v>
      </c>
      <c r="AD193" s="24" t="s">
        <v>964</v>
      </c>
      <c r="AE193" s="6" t="s">
        <v>38</v>
      </c>
      <c r="AF193" s="6"/>
      <c r="AG193" s="6" t="s">
        <v>3041</v>
      </c>
    </row>
    <row r="194" spans="1:33" ht="15" customHeight="1" x14ac:dyDescent="0.25">
      <c r="A194" s="5">
        <v>29</v>
      </c>
      <c r="B194" s="38">
        <v>44026</v>
      </c>
      <c r="C194" s="38">
        <v>44008</v>
      </c>
      <c r="D194" s="38">
        <v>44000</v>
      </c>
      <c r="E194" s="35">
        <v>44026</v>
      </c>
      <c r="F194" s="5">
        <v>4785</v>
      </c>
      <c r="G194" s="5" t="s">
        <v>91</v>
      </c>
      <c r="H194" s="5" t="s">
        <v>43</v>
      </c>
      <c r="I194" s="5" t="s">
        <v>92</v>
      </c>
      <c r="J194" s="21" t="s">
        <v>109</v>
      </c>
      <c r="K194" s="21" t="s">
        <v>965</v>
      </c>
      <c r="L194" s="6" t="s">
        <v>966</v>
      </c>
      <c r="M194" s="5">
        <v>12</v>
      </c>
      <c r="N194" s="5" t="s">
        <v>91</v>
      </c>
      <c r="O194" s="5" t="s">
        <v>91</v>
      </c>
      <c r="P194" s="5" t="s">
        <v>91</v>
      </c>
      <c r="Q194" s="6"/>
      <c r="R194" s="6" t="s">
        <v>112</v>
      </c>
      <c r="S194" s="6"/>
      <c r="T194" s="6"/>
      <c r="U194" s="5"/>
      <c r="V194" s="6"/>
      <c r="W194" s="6" t="s">
        <v>967</v>
      </c>
      <c r="X194" s="6"/>
      <c r="Y194" s="22"/>
      <c r="Z194" s="6">
        <v>3.6</v>
      </c>
      <c r="AA194" s="21">
        <v>13427</v>
      </c>
      <c r="AB194" s="23">
        <v>44036</v>
      </c>
      <c r="AC194" s="21" t="s">
        <v>30</v>
      </c>
      <c r="AD194" s="24" t="s">
        <v>964</v>
      </c>
      <c r="AE194" s="6" t="s">
        <v>31</v>
      </c>
      <c r="AF194" s="6"/>
      <c r="AG194" s="6" t="s">
        <v>3042</v>
      </c>
    </row>
    <row r="195" spans="1:33" ht="7.5" customHeight="1" x14ac:dyDescent="0.25">
      <c r="A195" s="27"/>
      <c r="B195" s="39"/>
      <c r="C195" s="39"/>
      <c r="D195" s="39"/>
      <c r="E195" s="28"/>
      <c r="F195" s="27"/>
      <c r="G195" s="27"/>
      <c r="H195" s="27"/>
      <c r="I195" s="27"/>
      <c r="J195" s="30"/>
      <c r="K195" s="30"/>
      <c r="L195" s="29"/>
      <c r="M195" s="27"/>
      <c r="N195" s="27"/>
      <c r="O195" s="27"/>
      <c r="P195" s="27"/>
      <c r="Q195" s="29"/>
      <c r="R195" s="29"/>
      <c r="S195" s="29"/>
      <c r="T195" s="29"/>
      <c r="U195" s="27"/>
      <c r="V195" s="29"/>
      <c r="W195" s="29"/>
      <c r="X195" s="29"/>
      <c r="Y195" s="31"/>
      <c r="Z195" s="29"/>
      <c r="AA195" s="30"/>
      <c r="AB195" s="32"/>
      <c r="AC195" s="30"/>
      <c r="AD195" s="33"/>
      <c r="AE195" s="29"/>
      <c r="AF195" s="29"/>
      <c r="AG195" s="29"/>
    </row>
    <row r="196" spans="1:33" ht="15" customHeight="1" x14ac:dyDescent="0.25">
      <c r="A196" s="5">
        <v>28</v>
      </c>
      <c r="B196" s="38">
        <v>44022</v>
      </c>
      <c r="C196" s="38">
        <v>44008</v>
      </c>
      <c r="D196" s="38">
        <v>44001</v>
      </c>
      <c r="E196" s="34">
        <v>44022</v>
      </c>
      <c r="F196" s="5">
        <v>8702</v>
      </c>
      <c r="G196" s="5" t="s">
        <v>91</v>
      </c>
      <c r="H196" s="5" t="s">
        <v>41</v>
      </c>
      <c r="I196" s="5" t="s">
        <v>92</v>
      </c>
      <c r="J196" s="21" t="s">
        <v>147</v>
      </c>
      <c r="K196" s="21" t="s">
        <v>918</v>
      </c>
      <c r="L196" s="6" t="s">
        <v>919</v>
      </c>
      <c r="M196" s="5">
        <v>5</v>
      </c>
      <c r="N196" s="5" t="s">
        <v>91</v>
      </c>
      <c r="O196" s="5" t="s">
        <v>91</v>
      </c>
      <c r="P196" s="5" t="s">
        <v>91</v>
      </c>
      <c r="Q196" s="6" t="s">
        <v>559</v>
      </c>
      <c r="R196" s="6" t="s">
        <v>107</v>
      </c>
      <c r="S196" s="6" t="s">
        <v>155</v>
      </c>
      <c r="T196" s="6"/>
      <c r="U196" s="5"/>
      <c r="V196" s="6"/>
      <c r="W196" s="6" t="s">
        <v>107</v>
      </c>
      <c r="X196" s="6" t="s">
        <v>920</v>
      </c>
      <c r="Y196" s="22">
        <v>273160279</v>
      </c>
      <c r="Z196" s="6"/>
      <c r="AA196" s="21"/>
      <c r="AB196" s="23">
        <v>44001</v>
      </c>
      <c r="AC196" s="21" t="s">
        <v>30</v>
      </c>
      <c r="AD196" s="24" t="s">
        <v>921</v>
      </c>
      <c r="AE196" s="6" t="s">
        <v>38</v>
      </c>
      <c r="AF196" s="6"/>
      <c r="AG196" s="6" t="s">
        <v>3039</v>
      </c>
    </row>
    <row r="197" spans="1:33" ht="7.5" customHeight="1" x14ac:dyDescent="0.25">
      <c r="A197" s="27"/>
      <c r="B197" s="39"/>
      <c r="C197" s="39"/>
      <c r="D197" s="39"/>
      <c r="E197" s="28"/>
      <c r="F197" s="27"/>
      <c r="G197" s="27"/>
      <c r="H197" s="27"/>
      <c r="I197" s="27"/>
      <c r="J197" s="30"/>
      <c r="K197" s="30"/>
      <c r="L197" s="29"/>
      <c r="M197" s="27"/>
      <c r="N197" s="27"/>
      <c r="O197" s="27"/>
      <c r="P197" s="27"/>
      <c r="Q197" s="29"/>
      <c r="R197" s="29"/>
      <c r="S197" s="29"/>
      <c r="T197" s="29"/>
      <c r="U197" s="27"/>
      <c r="V197" s="29"/>
      <c r="W197" s="29"/>
      <c r="X197" s="29"/>
      <c r="Y197" s="31"/>
      <c r="Z197" s="29"/>
      <c r="AA197" s="30"/>
      <c r="AB197" s="32"/>
      <c r="AC197" s="30"/>
      <c r="AD197" s="33"/>
      <c r="AE197" s="29"/>
      <c r="AF197" s="29"/>
      <c r="AG197" s="29"/>
    </row>
    <row r="198" spans="1:33" ht="15" customHeight="1" x14ac:dyDescent="0.25">
      <c r="A198" s="5">
        <v>29</v>
      </c>
      <c r="B198" s="38">
        <v>44026</v>
      </c>
      <c r="C198" s="38">
        <v>44008</v>
      </c>
      <c r="D198" s="38">
        <v>43997</v>
      </c>
      <c r="E198" s="35">
        <v>44026</v>
      </c>
      <c r="F198" s="5">
        <v>9651</v>
      </c>
      <c r="G198" s="5" t="s">
        <v>91</v>
      </c>
      <c r="H198" s="5" t="s">
        <v>40</v>
      </c>
      <c r="I198" s="5" t="s">
        <v>92</v>
      </c>
      <c r="J198" s="21" t="s">
        <v>159</v>
      </c>
      <c r="K198" s="21">
        <v>256917</v>
      </c>
      <c r="L198" s="6" t="s">
        <v>152</v>
      </c>
      <c r="M198" s="5">
        <v>14</v>
      </c>
      <c r="N198" s="5" t="s">
        <v>91</v>
      </c>
      <c r="O198" s="5" t="s">
        <v>91</v>
      </c>
      <c r="P198" s="5" t="s">
        <v>91</v>
      </c>
      <c r="Q198" s="6" t="s">
        <v>559</v>
      </c>
      <c r="R198" s="6" t="s">
        <v>163</v>
      </c>
      <c r="S198" s="6"/>
      <c r="T198" s="6"/>
      <c r="U198" s="5"/>
      <c r="V198" s="6" t="s">
        <v>164</v>
      </c>
      <c r="W198" s="6" t="s">
        <v>974</v>
      </c>
      <c r="X198" s="6"/>
      <c r="Y198" s="22"/>
      <c r="Z198" s="6"/>
      <c r="AA198" s="21">
        <v>256917</v>
      </c>
      <c r="AB198" s="23"/>
      <c r="AC198" s="21" t="s">
        <v>30</v>
      </c>
      <c r="AD198" s="24" t="s">
        <v>975</v>
      </c>
      <c r="AE198" s="6" t="s">
        <v>31</v>
      </c>
      <c r="AF198" s="6"/>
      <c r="AG198" s="6" t="s">
        <v>3040</v>
      </c>
    </row>
    <row r="199" spans="1:33" ht="7.5" customHeight="1" x14ac:dyDescent="0.25">
      <c r="A199" s="27"/>
      <c r="B199" s="39"/>
      <c r="C199" s="39"/>
      <c r="D199" s="39"/>
      <c r="E199" s="28"/>
      <c r="F199" s="27"/>
      <c r="G199" s="27"/>
      <c r="H199" s="27"/>
      <c r="I199" s="27"/>
      <c r="J199" s="30"/>
      <c r="K199" s="30"/>
      <c r="L199" s="29"/>
      <c r="M199" s="27"/>
      <c r="N199" s="27"/>
      <c r="O199" s="27"/>
      <c r="P199" s="27"/>
      <c r="Q199" s="29"/>
      <c r="R199" s="29"/>
      <c r="S199" s="29"/>
      <c r="T199" s="29"/>
      <c r="U199" s="27"/>
      <c r="V199" s="29"/>
      <c r="W199" s="29"/>
      <c r="X199" s="29"/>
      <c r="Y199" s="31"/>
      <c r="Z199" s="29"/>
      <c r="AA199" s="30"/>
      <c r="AB199" s="32"/>
      <c r="AC199" s="30"/>
      <c r="AD199" s="33"/>
      <c r="AE199" s="29"/>
      <c r="AF199" s="29"/>
      <c r="AG199" s="29"/>
    </row>
    <row r="200" spans="1:33" ht="15" customHeight="1" x14ac:dyDescent="0.25">
      <c r="A200" s="5">
        <v>29</v>
      </c>
      <c r="B200" s="38">
        <v>44027</v>
      </c>
      <c r="C200" s="38">
        <v>44011</v>
      </c>
      <c r="D200" s="38">
        <v>44006</v>
      </c>
      <c r="E200" s="35">
        <v>44027</v>
      </c>
      <c r="F200" s="5">
        <v>10665</v>
      </c>
      <c r="G200" s="5" t="s">
        <v>91</v>
      </c>
      <c r="H200" s="5" t="s">
        <v>41</v>
      </c>
      <c r="I200" s="5" t="s">
        <v>92</v>
      </c>
      <c r="J200" s="21" t="s">
        <v>170</v>
      </c>
      <c r="K200" s="21" t="s">
        <v>982</v>
      </c>
      <c r="L200" s="6" t="s">
        <v>983</v>
      </c>
      <c r="M200" s="5">
        <v>1</v>
      </c>
      <c r="N200" s="5" t="s">
        <v>91</v>
      </c>
      <c r="O200" s="5" t="s">
        <v>91</v>
      </c>
      <c r="P200" s="5" t="s">
        <v>91</v>
      </c>
      <c r="Q200" s="6"/>
      <c r="R200" s="6" t="s">
        <v>112</v>
      </c>
      <c r="S200" s="6"/>
      <c r="T200" s="6"/>
      <c r="U200" s="5"/>
      <c r="V200" s="6" t="s">
        <v>984</v>
      </c>
      <c r="W200" s="6" t="s">
        <v>985</v>
      </c>
      <c r="X200" s="6"/>
      <c r="Y200" s="22"/>
      <c r="Z200" s="6"/>
      <c r="AA200" s="21" t="s">
        <v>986</v>
      </c>
      <c r="AB200" s="23"/>
      <c r="AC200" s="21" t="s">
        <v>32</v>
      </c>
      <c r="AD200" s="24" t="s">
        <v>987</v>
      </c>
      <c r="AE200" s="6" t="s">
        <v>34</v>
      </c>
      <c r="AF200" s="6"/>
      <c r="AG200" s="6" t="s">
        <v>3039</v>
      </c>
    </row>
    <row r="201" spans="1:33" ht="7.5" customHeight="1" x14ac:dyDescent="0.25">
      <c r="A201" s="27"/>
      <c r="B201" s="39"/>
      <c r="C201" s="39"/>
      <c r="D201" s="39"/>
      <c r="E201" s="28"/>
      <c r="F201" s="27"/>
      <c r="G201" s="27"/>
      <c r="H201" s="27"/>
      <c r="I201" s="27"/>
      <c r="J201" s="30"/>
      <c r="K201" s="30"/>
      <c r="L201" s="29"/>
      <c r="M201" s="27"/>
      <c r="N201" s="27"/>
      <c r="O201" s="27"/>
      <c r="P201" s="27"/>
      <c r="Q201" s="29"/>
      <c r="R201" s="29"/>
      <c r="S201" s="29"/>
      <c r="T201" s="29"/>
      <c r="U201" s="27"/>
      <c r="V201" s="29"/>
      <c r="W201" s="29"/>
      <c r="X201" s="29"/>
      <c r="Y201" s="31"/>
      <c r="Z201" s="29"/>
      <c r="AA201" s="30"/>
      <c r="AB201" s="32"/>
      <c r="AC201" s="30"/>
      <c r="AD201" s="33"/>
      <c r="AE201" s="29"/>
      <c r="AF201" s="29"/>
      <c r="AG201" s="29"/>
    </row>
    <row r="202" spans="1:33" ht="15" customHeight="1" x14ac:dyDescent="0.25">
      <c r="A202" s="5">
        <v>30</v>
      </c>
      <c r="B202" s="38">
        <v>44032</v>
      </c>
      <c r="C202" s="38">
        <v>44011</v>
      </c>
      <c r="D202" s="38">
        <v>44004</v>
      </c>
      <c r="E202" s="36">
        <v>44032</v>
      </c>
      <c r="F202" s="5">
        <v>10662</v>
      </c>
      <c r="G202" s="5" t="s">
        <v>91</v>
      </c>
      <c r="H202" s="5" t="s">
        <v>41</v>
      </c>
      <c r="I202" s="5" t="s">
        <v>92</v>
      </c>
      <c r="J202" s="21" t="s">
        <v>170</v>
      </c>
      <c r="K202" s="21" t="s">
        <v>1055</v>
      </c>
      <c r="L202" s="6" t="s">
        <v>1056</v>
      </c>
      <c r="M202" s="5">
        <v>10</v>
      </c>
      <c r="N202" s="5" t="s">
        <v>91</v>
      </c>
      <c r="O202" s="5" t="s">
        <v>91</v>
      </c>
      <c r="P202" s="5" t="s">
        <v>91</v>
      </c>
      <c r="Q202" s="6"/>
      <c r="R202" s="6" t="s">
        <v>112</v>
      </c>
      <c r="S202" s="6"/>
      <c r="T202" s="6"/>
      <c r="U202" s="5"/>
      <c r="V202" s="6"/>
      <c r="W202" s="6" t="s">
        <v>985</v>
      </c>
      <c r="X202" s="6" t="s">
        <v>832</v>
      </c>
      <c r="Y202" s="22" t="s">
        <v>1057</v>
      </c>
      <c r="Z202" s="6">
        <v>2.4</v>
      </c>
      <c r="AA202" s="21" t="s">
        <v>1058</v>
      </c>
      <c r="AB202" s="23"/>
      <c r="AC202" s="21" t="s">
        <v>30</v>
      </c>
      <c r="AD202" s="24" t="s">
        <v>1059</v>
      </c>
      <c r="AE202" s="6" t="s">
        <v>38</v>
      </c>
      <c r="AF202" s="6"/>
      <c r="AG202" s="6" t="s">
        <v>3042</v>
      </c>
    </row>
    <row r="203" spans="1:33" ht="15" customHeight="1" x14ac:dyDescent="0.25">
      <c r="A203" s="5">
        <v>30</v>
      </c>
      <c r="B203" s="38">
        <v>44032</v>
      </c>
      <c r="C203" s="38">
        <v>44011</v>
      </c>
      <c r="D203" s="38">
        <v>44004</v>
      </c>
      <c r="E203" s="36">
        <v>44032</v>
      </c>
      <c r="F203" s="5">
        <v>4773</v>
      </c>
      <c r="G203" s="5" t="s">
        <v>91</v>
      </c>
      <c r="H203" s="5" t="s">
        <v>43</v>
      </c>
      <c r="I203" s="5" t="s">
        <v>92</v>
      </c>
      <c r="J203" s="21" t="s">
        <v>109</v>
      </c>
      <c r="K203" s="21" t="s">
        <v>1076</v>
      </c>
      <c r="L203" s="6" t="s">
        <v>1077</v>
      </c>
      <c r="M203" s="5">
        <v>15</v>
      </c>
      <c r="N203" s="5" t="s">
        <v>91</v>
      </c>
      <c r="O203" s="5" t="s">
        <v>91</v>
      </c>
      <c r="P203" s="5" t="s">
        <v>91</v>
      </c>
      <c r="Q203" s="6" t="s">
        <v>559</v>
      </c>
      <c r="R203" s="6" t="s">
        <v>123</v>
      </c>
      <c r="S203" s="6"/>
      <c r="T203" s="6"/>
      <c r="U203" s="5"/>
      <c r="V203" s="6"/>
      <c r="W203" s="6" t="s">
        <v>1078</v>
      </c>
      <c r="X203" s="6"/>
      <c r="Y203" s="22"/>
      <c r="Z203" s="6">
        <v>5.7</v>
      </c>
      <c r="AA203" s="21">
        <v>13595</v>
      </c>
      <c r="AB203" s="23"/>
      <c r="AC203" s="21" t="s">
        <v>33</v>
      </c>
      <c r="AD203" s="24" t="s">
        <v>1079</v>
      </c>
      <c r="AE203" s="6" t="s">
        <v>38</v>
      </c>
      <c r="AF203" s="6"/>
      <c r="AG203" s="6" t="s">
        <v>3039</v>
      </c>
    </row>
    <row r="204" spans="1:33" ht="7.5" customHeight="1" x14ac:dyDescent="0.25">
      <c r="A204" s="27"/>
      <c r="B204" s="39"/>
      <c r="C204" s="39"/>
      <c r="D204" s="39"/>
      <c r="E204" s="28"/>
      <c r="F204" s="27"/>
      <c r="G204" s="27"/>
      <c r="H204" s="27"/>
      <c r="I204" s="27"/>
      <c r="J204" s="30"/>
      <c r="K204" s="30"/>
      <c r="L204" s="29"/>
      <c r="M204" s="27"/>
      <c r="N204" s="27"/>
      <c r="O204" s="27"/>
      <c r="P204" s="27"/>
      <c r="Q204" s="29"/>
      <c r="R204" s="29"/>
      <c r="S204" s="29"/>
      <c r="T204" s="29"/>
      <c r="U204" s="27"/>
      <c r="V204" s="29"/>
      <c r="W204" s="29"/>
      <c r="X204" s="29"/>
      <c r="Y204" s="31"/>
      <c r="Z204" s="29"/>
      <c r="AA204" s="30"/>
      <c r="AB204" s="32"/>
      <c r="AC204" s="30"/>
      <c r="AD204" s="33"/>
      <c r="AE204" s="29"/>
      <c r="AF204" s="29"/>
      <c r="AG204" s="29"/>
    </row>
    <row r="205" spans="1:33" ht="15" customHeight="1" x14ac:dyDescent="0.25">
      <c r="A205" s="5">
        <v>28</v>
      </c>
      <c r="B205" s="38">
        <v>44020</v>
      </c>
      <c r="C205" s="38">
        <v>44011</v>
      </c>
      <c r="D205" s="38">
        <v>44001</v>
      </c>
      <c r="E205" s="34">
        <v>44020</v>
      </c>
      <c r="F205" s="5">
        <v>5570</v>
      </c>
      <c r="G205" s="5" t="s">
        <v>91</v>
      </c>
      <c r="H205" s="5" t="s">
        <v>41</v>
      </c>
      <c r="I205" s="5" t="s">
        <v>92</v>
      </c>
      <c r="J205" s="21" t="s">
        <v>131</v>
      </c>
      <c r="K205" s="21" t="s">
        <v>857</v>
      </c>
      <c r="L205" s="6" t="s">
        <v>858</v>
      </c>
      <c r="M205" s="5">
        <v>0</v>
      </c>
      <c r="N205" s="5" t="s">
        <v>91</v>
      </c>
      <c r="O205" s="5" t="s">
        <v>91</v>
      </c>
      <c r="P205" s="5" t="s">
        <v>91</v>
      </c>
      <c r="Q205" s="6"/>
      <c r="R205" s="6" t="s">
        <v>734</v>
      </c>
      <c r="S205" s="6"/>
      <c r="T205" s="6"/>
      <c r="U205" s="5"/>
      <c r="V205" s="6" t="s">
        <v>859</v>
      </c>
      <c r="W205" s="6" t="s">
        <v>794</v>
      </c>
      <c r="X205" s="6"/>
      <c r="Y205" s="22"/>
      <c r="Z205" s="6"/>
      <c r="AA205" s="21"/>
      <c r="AB205" s="23"/>
      <c r="AC205" s="21" t="s">
        <v>30</v>
      </c>
      <c r="AD205" s="24" t="s">
        <v>860</v>
      </c>
      <c r="AE205" s="6" t="s">
        <v>37</v>
      </c>
      <c r="AF205" s="6"/>
      <c r="AG205" s="6" t="s">
        <v>3041</v>
      </c>
    </row>
    <row r="206" spans="1:33" ht="15" customHeight="1" x14ac:dyDescent="0.25">
      <c r="A206" s="5">
        <v>28</v>
      </c>
      <c r="B206" s="38">
        <v>44020</v>
      </c>
      <c r="C206" s="38">
        <v>44011</v>
      </c>
      <c r="D206" s="38">
        <v>44000</v>
      </c>
      <c r="E206" s="34">
        <v>44020</v>
      </c>
      <c r="F206" s="5">
        <v>5567</v>
      </c>
      <c r="G206" s="5" t="s">
        <v>91</v>
      </c>
      <c r="H206" s="5" t="s">
        <v>41</v>
      </c>
      <c r="I206" s="5" t="s">
        <v>92</v>
      </c>
      <c r="J206" s="21" t="s">
        <v>131</v>
      </c>
      <c r="K206" s="21" t="s">
        <v>864</v>
      </c>
      <c r="L206" s="6" t="s">
        <v>865</v>
      </c>
      <c r="M206" s="5">
        <v>0</v>
      </c>
      <c r="N206" s="5" t="s">
        <v>91</v>
      </c>
      <c r="O206" s="5" t="s">
        <v>91</v>
      </c>
      <c r="P206" s="5" t="s">
        <v>91</v>
      </c>
      <c r="Q206" s="6"/>
      <c r="R206" s="6" t="s">
        <v>112</v>
      </c>
      <c r="S206" s="6"/>
      <c r="T206" s="6"/>
      <c r="U206" s="5"/>
      <c r="V206" s="6"/>
      <c r="W206" s="6" t="s">
        <v>794</v>
      </c>
      <c r="X206" s="6"/>
      <c r="Y206" s="22"/>
      <c r="Z206" s="6"/>
      <c r="AA206" s="21"/>
      <c r="AB206" s="23"/>
      <c r="AC206" s="21" t="s">
        <v>32</v>
      </c>
      <c r="AD206" s="24" t="s">
        <v>866</v>
      </c>
      <c r="AE206" s="6" t="s">
        <v>31</v>
      </c>
      <c r="AF206" s="6"/>
      <c r="AG206" s="6" t="s">
        <v>3039</v>
      </c>
    </row>
    <row r="207" spans="1:33" ht="7.5" customHeight="1" x14ac:dyDescent="0.25">
      <c r="A207" s="27"/>
      <c r="B207" s="39"/>
      <c r="C207" s="39"/>
      <c r="D207" s="39"/>
      <c r="E207" s="28"/>
      <c r="F207" s="27"/>
      <c r="G207" s="27"/>
      <c r="H207" s="27"/>
      <c r="I207" s="27"/>
      <c r="J207" s="30"/>
      <c r="K207" s="30"/>
      <c r="L207" s="29"/>
      <c r="M207" s="27"/>
      <c r="N207" s="27"/>
      <c r="O207" s="27"/>
      <c r="P207" s="27"/>
      <c r="Q207" s="29"/>
      <c r="R207" s="29"/>
      <c r="S207" s="29"/>
      <c r="T207" s="29"/>
      <c r="U207" s="27"/>
      <c r="V207" s="29"/>
      <c r="W207" s="29"/>
      <c r="X207" s="29"/>
      <c r="Y207" s="31"/>
      <c r="Z207" s="29"/>
      <c r="AA207" s="30"/>
      <c r="AB207" s="32"/>
      <c r="AC207" s="30"/>
      <c r="AD207" s="33"/>
      <c r="AE207" s="29"/>
      <c r="AF207" s="29"/>
      <c r="AG207" s="29"/>
    </row>
    <row r="208" spans="1:33" ht="15" customHeight="1" x14ac:dyDescent="0.25">
      <c r="A208" s="5">
        <v>29</v>
      </c>
      <c r="B208" s="38">
        <v>44025</v>
      </c>
      <c r="C208" s="38">
        <v>44011</v>
      </c>
      <c r="D208" s="38">
        <v>44004</v>
      </c>
      <c r="E208" s="35">
        <v>44025</v>
      </c>
      <c r="F208" s="5">
        <v>5575</v>
      </c>
      <c r="G208" s="5" t="s">
        <v>91</v>
      </c>
      <c r="H208" s="5" t="s">
        <v>934</v>
      </c>
      <c r="I208" s="5" t="s">
        <v>92</v>
      </c>
      <c r="J208" s="21" t="s">
        <v>131</v>
      </c>
      <c r="K208" s="21" t="s">
        <v>935</v>
      </c>
      <c r="L208" s="6" t="s">
        <v>936</v>
      </c>
      <c r="M208" s="5">
        <v>0</v>
      </c>
      <c r="N208" s="5" t="s">
        <v>91</v>
      </c>
      <c r="O208" s="5" t="s">
        <v>91</v>
      </c>
      <c r="P208" s="5" t="s">
        <v>91</v>
      </c>
      <c r="Q208" s="6"/>
      <c r="R208" s="6" t="s">
        <v>112</v>
      </c>
      <c r="S208" s="6"/>
      <c r="T208" s="6"/>
      <c r="U208" s="5"/>
      <c r="V208" s="6"/>
      <c r="W208" s="6" t="s">
        <v>794</v>
      </c>
      <c r="X208" s="6"/>
      <c r="Y208" s="22"/>
      <c r="Z208" s="6"/>
      <c r="AA208" s="21"/>
      <c r="AB208" s="23"/>
      <c r="AC208" s="21" t="s">
        <v>30</v>
      </c>
      <c r="AD208" s="24" t="s">
        <v>937</v>
      </c>
      <c r="AE208" s="6" t="s">
        <v>35</v>
      </c>
      <c r="AF208" s="6"/>
      <c r="AG208" s="6" t="s">
        <v>3041</v>
      </c>
    </row>
    <row r="209" spans="1:33" ht="15" customHeight="1" x14ac:dyDescent="0.25">
      <c r="A209" s="5">
        <v>29</v>
      </c>
      <c r="B209" s="38">
        <v>44025</v>
      </c>
      <c r="C209" s="38">
        <v>44011</v>
      </c>
      <c r="D209" s="38">
        <v>44004</v>
      </c>
      <c r="E209" s="35">
        <v>44025</v>
      </c>
      <c r="F209" s="5">
        <v>5581</v>
      </c>
      <c r="G209" s="5" t="s">
        <v>91</v>
      </c>
      <c r="H209" s="5" t="s">
        <v>91</v>
      </c>
      <c r="I209" s="5" t="s">
        <v>92</v>
      </c>
      <c r="J209" s="21" t="s">
        <v>131</v>
      </c>
      <c r="K209" s="21" t="s">
        <v>938</v>
      </c>
      <c r="L209" s="6" t="s">
        <v>939</v>
      </c>
      <c r="M209" s="5">
        <v>0</v>
      </c>
      <c r="N209" s="5" t="s">
        <v>91</v>
      </c>
      <c r="O209" s="5" t="s">
        <v>91</v>
      </c>
      <c r="P209" s="5" t="s">
        <v>91</v>
      </c>
      <c r="Q209" s="6"/>
      <c r="R209" s="6" t="s">
        <v>112</v>
      </c>
      <c r="S209" s="6"/>
      <c r="T209" s="6"/>
      <c r="U209" s="5"/>
      <c r="V209" s="6"/>
      <c r="W209" s="6" t="s">
        <v>794</v>
      </c>
      <c r="X209" s="6"/>
      <c r="Y209" s="22"/>
      <c r="Z209" s="6"/>
      <c r="AA209" s="21"/>
      <c r="AB209" s="23"/>
      <c r="AC209" s="21" t="s">
        <v>30</v>
      </c>
      <c r="AD209" s="24" t="s">
        <v>174</v>
      </c>
      <c r="AE209" s="6" t="s">
        <v>34</v>
      </c>
      <c r="AF209" s="6"/>
      <c r="AG209" s="6" t="s">
        <v>3042</v>
      </c>
    </row>
    <row r="210" spans="1:33" ht="7.5" customHeight="1" x14ac:dyDescent="0.25">
      <c r="A210" s="27"/>
      <c r="B210" s="39"/>
      <c r="C210" s="39"/>
      <c r="D210" s="39"/>
      <c r="E210" s="28"/>
      <c r="F210" s="27"/>
      <c r="G210" s="27"/>
      <c r="H210" s="27"/>
      <c r="I210" s="27"/>
      <c r="J210" s="30"/>
      <c r="K210" s="30"/>
      <c r="L210" s="29"/>
      <c r="M210" s="27"/>
      <c r="N210" s="27"/>
      <c r="O210" s="27"/>
      <c r="P210" s="27"/>
      <c r="Q210" s="29"/>
      <c r="R210" s="29"/>
      <c r="S210" s="29"/>
      <c r="T210" s="29"/>
      <c r="U210" s="27"/>
      <c r="V210" s="29"/>
      <c r="W210" s="29"/>
      <c r="X210" s="29"/>
      <c r="Y210" s="31"/>
      <c r="Z210" s="29"/>
      <c r="AA210" s="30"/>
      <c r="AB210" s="32"/>
      <c r="AC210" s="30"/>
      <c r="AD210" s="33"/>
      <c r="AE210" s="29"/>
      <c r="AF210" s="29"/>
      <c r="AG210" s="29"/>
    </row>
    <row r="211" spans="1:33" ht="15" customHeight="1" x14ac:dyDescent="0.25">
      <c r="A211" s="5">
        <v>29</v>
      </c>
      <c r="B211" s="38">
        <v>44027</v>
      </c>
      <c r="C211" s="38">
        <v>44011</v>
      </c>
      <c r="D211" s="38">
        <v>44000</v>
      </c>
      <c r="E211" s="35">
        <v>44027</v>
      </c>
      <c r="F211" s="5">
        <v>5569</v>
      </c>
      <c r="G211" s="5" t="s">
        <v>91</v>
      </c>
      <c r="H211" s="5" t="s">
        <v>43</v>
      </c>
      <c r="I211" s="5" t="s">
        <v>92</v>
      </c>
      <c r="J211" s="21" t="s">
        <v>131</v>
      </c>
      <c r="K211" s="21" t="s">
        <v>1007</v>
      </c>
      <c r="L211" s="6" t="s">
        <v>1008</v>
      </c>
      <c r="M211" s="5">
        <v>0</v>
      </c>
      <c r="N211" s="5" t="s">
        <v>91</v>
      </c>
      <c r="O211" s="5" t="s">
        <v>91</v>
      </c>
      <c r="P211" s="5" t="s">
        <v>91</v>
      </c>
      <c r="Q211" s="6"/>
      <c r="R211" s="6" t="s">
        <v>734</v>
      </c>
      <c r="S211" s="6"/>
      <c r="T211" s="6"/>
      <c r="U211" s="5"/>
      <c r="V211" s="6" t="s">
        <v>1009</v>
      </c>
      <c r="W211" s="6" t="s">
        <v>1010</v>
      </c>
      <c r="X211" s="6"/>
      <c r="Y211" s="22"/>
      <c r="Z211" s="6"/>
      <c r="AA211" s="21"/>
      <c r="AB211" s="23"/>
      <c r="AC211" s="21" t="s">
        <v>39</v>
      </c>
      <c r="AD211" s="24" t="s">
        <v>1011</v>
      </c>
      <c r="AE211" s="6" t="s">
        <v>31</v>
      </c>
      <c r="AF211" s="6"/>
      <c r="AG211" s="6" t="s">
        <v>3041</v>
      </c>
    </row>
    <row r="212" spans="1:33" ht="7.5" customHeight="1" x14ac:dyDescent="0.25">
      <c r="A212" s="27"/>
      <c r="B212" s="39"/>
      <c r="C212" s="39"/>
      <c r="D212" s="39"/>
      <c r="E212" s="28"/>
      <c r="F212" s="27"/>
      <c r="G212" s="27"/>
      <c r="H212" s="27"/>
      <c r="I212" s="27"/>
      <c r="J212" s="30"/>
      <c r="K212" s="30"/>
      <c r="L212" s="29"/>
      <c r="M212" s="27"/>
      <c r="N212" s="27"/>
      <c r="O212" s="27"/>
      <c r="P212" s="27"/>
      <c r="Q212" s="29"/>
      <c r="R212" s="29"/>
      <c r="S212" s="29"/>
      <c r="T212" s="29"/>
      <c r="U212" s="27"/>
      <c r="V212" s="29"/>
      <c r="W212" s="29"/>
      <c r="X212" s="29"/>
      <c r="Y212" s="31"/>
      <c r="Z212" s="29"/>
      <c r="AA212" s="30"/>
      <c r="AB212" s="32"/>
      <c r="AC212" s="30"/>
      <c r="AD212" s="33"/>
      <c r="AE212" s="29"/>
      <c r="AF212" s="29"/>
      <c r="AG212" s="29"/>
    </row>
    <row r="213" spans="1:33" ht="15" customHeight="1" x14ac:dyDescent="0.25">
      <c r="A213" s="5">
        <v>30</v>
      </c>
      <c r="B213" s="38">
        <v>44032</v>
      </c>
      <c r="C213" s="38">
        <v>44011</v>
      </c>
      <c r="D213" s="38">
        <v>44004</v>
      </c>
      <c r="E213" s="36">
        <v>44032</v>
      </c>
      <c r="F213" s="5">
        <v>5557</v>
      </c>
      <c r="G213" s="5" t="s">
        <v>91</v>
      </c>
      <c r="H213" s="5" t="s">
        <v>43</v>
      </c>
      <c r="I213" s="5" t="s">
        <v>92</v>
      </c>
      <c r="J213" s="21" t="s">
        <v>131</v>
      </c>
      <c r="K213" s="21" t="s">
        <v>1087</v>
      </c>
      <c r="L213" s="6" t="s">
        <v>1088</v>
      </c>
      <c r="M213" s="5">
        <v>15</v>
      </c>
      <c r="N213" s="5" t="s">
        <v>91</v>
      </c>
      <c r="O213" s="5" t="s">
        <v>91</v>
      </c>
      <c r="P213" s="5" t="s">
        <v>91</v>
      </c>
      <c r="Q213" s="6" t="s">
        <v>559</v>
      </c>
      <c r="R213" s="6" t="s">
        <v>123</v>
      </c>
      <c r="S213" s="6"/>
      <c r="T213" s="6"/>
      <c r="U213" s="5"/>
      <c r="V213" s="6"/>
      <c r="W213" s="6" t="s">
        <v>183</v>
      </c>
      <c r="X213" s="6"/>
      <c r="Y213" s="22"/>
      <c r="Z213" s="6">
        <v>5.7</v>
      </c>
      <c r="AA213" s="21"/>
      <c r="AB213" s="23"/>
      <c r="AC213" s="21" t="s">
        <v>32</v>
      </c>
      <c r="AD213" s="24" t="s">
        <v>1089</v>
      </c>
      <c r="AE213" s="6" t="s">
        <v>34</v>
      </c>
      <c r="AF213" s="6"/>
      <c r="AG213" s="6" t="s">
        <v>3042</v>
      </c>
    </row>
    <row r="214" spans="1:33" ht="15" customHeight="1" x14ac:dyDescent="0.25">
      <c r="A214" s="5">
        <v>30</v>
      </c>
      <c r="B214" s="38">
        <v>44032</v>
      </c>
      <c r="C214" s="38">
        <v>44011</v>
      </c>
      <c r="D214" s="38">
        <v>44004</v>
      </c>
      <c r="E214" s="36">
        <v>44032</v>
      </c>
      <c r="F214" s="5">
        <v>5577</v>
      </c>
      <c r="G214" s="5" t="s">
        <v>91</v>
      </c>
      <c r="H214" s="5" t="s">
        <v>41</v>
      </c>
      <c r="I214" s="5" t="s">
        <v>92</v>
      </c>
      <c r="J214" s="21" t="s">
        <v>131</v>
      </c>
      <c r="K214" s="21" t="s">
        <v>1090</v>
      </c>
      <c r="L214" s="6" t="s">
        <v>1091</v>
      </c>
      <c r="M214" s="5">
        <v>12</v>
      </c>
      <c r="N214" s="5" t="s">
        <v>91</v>
      </c>
      <c r="O214" s="5" t="s">
        <v>91</v>
      </c>
      <c r="P214" s="5" t="s">
        <v>91</v>
      </c>
      <c r="Q214" s="6"/>
      <c r="R214" s="6" t="s">
        <v>123</v>
      </c>
      <c r="S214" s="6"/>
      <c r="T214" s="6"/>
      <c r="U214" s="5"/>
      <c r="V214" s="6"/>
      <c r="W214" s="6" t="s">
        <v>730</v>
      </c>
      <c r="X214" s="6"/>
      <c r="Y214" s="22"/>
      <c r="Z214" s="6">
        <v>2</v>
      </c>
      <c r="AA214" s="21"/>
      <c r="AB214" s="23"/>
      <c r="AC214" s="21" t="s">
        <v>30</v>
      </c>
      <c r="AD214" s="24" t="s">
        <v>1092</v>
      </c>
      <c r="AE214" s="6" t="s">
        <v>31</v>
      </c>
      <c r="AF214" s="6"/>
      <c r="AG214" s="6" t="s">
        <v>3040</v>
      </c>
    </row>
    <row r="215" spans="1:33" ht="15" customHeight="1" x14ac:dyDescent="0.25">
      <c r="A215" s="5">
        <v>30</v>
      </c>
      <c r="B215" s="38">
        <v>44032</v>
      </c>
      <c r="C215" s="38">
        <v>44011</v>
      </c>
      <c r="D215" s="38">
        <v>44004</v>
      </c>
      <c r="E215" s="36">
        <v>44032</v>
      </c>
      <c r="F215" s="5">
        <v>5582</v>
      </c>
      <c r="G215" s="5" t="s">
        <v>91</v>
      </c>
      <c r="H215" s="5" t="s">
        <v>40</v>
      </c>
      <c r="I215" s="5" t="s">
        <v>92</v>
      </c>
      <c r="J215" s="21" t="s">
        <v>131</v>
      </c>
      <c r="K215" s="21" t="s">
        <v>1093</v>
      </c>
      <c r="L215" s="6" t="s">
        <v>851</v>
      </c>
      <c r="M215" s="5">
        <v>1</v>
      </c>
      <c r="N215" s="5" t="s">
        <v>91</v>
      </c>
      <c r="O215" s="5" t="s">
        <v>91</v>
      </c>
      <c r="P215" s="5" t="s">
        <v>91</v>
      </c>
      <c r="Q215" s="6"/>
      <c r="R215" s="6" t="s">
        <v>123</v>
      </c>
      <c r="S215" s="6"/>
      <c r="T215" s="6"/>
      <c r="U215" s="5"/>
      <c r="V215" s="6"/>
      <c r="W215" s="6" t="s">
        <v>794</v>
      </c>
      <c r="X215" s="6"/>
      <c r="Y215" s="22"/>
      <c r="Z215" s="6"/>
      <c r="AA215" s="21"/>
      <c r="AB215" s="23"/>
      <c r="AC215" s="21" t="s">
        <v>30</v>
      </c>
      <c r="AD215" s="24" t="s">
        <v>1094</v>
      </c>
      <c r="AE215" s="6" t="s">
        <v>36</v>
      </c>
      <c r="AF215" s="6"/>
      <c r="AG215" s="6" t="s">
        <v>3041</v>
      </c>
    </row>
    <row r="216" spans="1:33" ht="7.5" customHeight="1" x14ac:dyDescent="0.25">
      <c r="A216" s="27"/>
      <c r="B216" s="39"/>
      <c r="C216" s="39"/>
      <c r="D216" s="39"/>
      <c r="E216" s="28"/>
      <c r="F216" s="27"/>
      <c r="G216" s="27"/>
      <c r="H216" s="27"/>
      <c r="I216" s="27"/>
      <c r="J216" s="30"/>
      <c r="K216" s="30"/>
      <c r="L216" s="29"/>
      <c r="M216" s="27"/>
      <c r="N216" s="27"/>
      <c r="O216" s="27"/>
      <c r="P216" s="27"/>
      <c r="Q216" s="29"/>
      <c r="R216" s="29"/>
      <c r="S216" s="29"/>
      <c r="T216" s="29"/>
      <c r="U216" s="27"/>
      <c r="V216" s="29"/>
      <c r="W216" s="29"/>
      <c r="X216" s="29"/>
      <c r="Y216" s="31"/>
      <c r="Z216" s="29"/>
      <c r="AA216" s="30"/>
      <c r="AB216" s="32"/>
      <c r="AC216" s="30"/>
      <c r="AD216" s="33"/>
      <c r="AE216" s="29"/>
      <c r="AF216" s="29"/>
      <c r="AG216" s="29"/>
    </row>
    <row r="217" spans="1:33" ht="15" customHeight="1" x14ac:dyDescent="0.25">
      <c r="A217" s="5">
        <v>28</v>
      </c>
      <c r="B217" s="38">
        <v>44020</v>
      </c>
      <c r="C217" s="38">
        <v>44011</v>
      </c>
      <c r="D217" s="38">
        <v>44001</v>
      </c>
      <c r="E217" s="34">
        <v>44020</v>
      </c>
      <c r="F217" s="5">
        <v>6691</v>
      </c>
      <c r="G217" s="5" t="s">
        <v>91</v>
      </c>
      <c r="H217" s="5" t="s">
        <v>41</v>
      </c>
      <c r="I217" s="5" t="s">
        <v>92</v>
      </c>
      <c r="J217" s="21" t="s">
        <v>191</v>
      </c>
      <c r="K217" s="21" t="s">
        <v>869</v>
      </c>
      <c r="L217" s="6" t="s">
        <v>870</v>
      </c>
      <c r="M217" s="5">
        <v>13</v>
      </c>
      <c r="N217" s="5" t="s">
        <v>91</v>
      </c>
      <c r="O217" s="5" t="s">
        <v>91</v>
      </c>
      <c r="P217" s="5" t="s">
        <v>91</v>
      </c>
      <c r="Q217" s="6" t="s">
        <v>559</v>
      </c>
      <c r="R217" s="6" t="s">
        <v>194</v>
      </c>
      <c r="S217" s="6"/>
      <c r="T217" s="6"/>
      <c r="U217" s="5"/>
      <c r="V217" s="6"/>
      <c r="W217" s="6" t="s">
        <v>871</v>
      </c>
      <c r="X217" s="6"/>
      <c r="Y217" s="22"/>
      <c r="Z217" s="6">
        <v>3</v>
      </c>
      <c r="AA217" s="21"/>
      <c r="AB217" s="23"/>
      <c r="AC217" s="21" t="s">
        <v>30</v>
      </c>
      <c r="AD217" s="24" t="s">
        <v>872</v>
      </c>
      <c r="AE217" s="6" t="s">
        <v>34</v>
      </c>
      <c r="AF217" s="6"/>
      <c r="AG217" s="6" t="s">
        <v>3041</v>
      </c>
    </row>
    <row r="218" spans="1:33" ht="7.5" customHeight="1" x14ac:dyDescent="0.25">
      <c r="A218" s="27"/>
      <c r="B218" s="39"/>
      <c r="C218" s="39"/>
      <c r="D218" s="39"/>
      <c r="E218" s="28"/>
      <c r="F218" s="27"/>
      <c r="G218" s="27"/>
      <c r="H218" s="27"/>
      <c r="I218" s="27"/>
      <c r="J218" s="30"/>
      <c r="K218" s="30"/>
      <c r="L218" s="29"/>
      <c r="M218" s="27"/>
      <c r="N218" s="27"/>
      <c r="O218" s="27"/>
      <c r="P218" s="27"/>
      <c r="Q218" s="29"/>
      <c r="R218" s="29"/>
      <c r="S218" s="29"/>
      <c r="T218" s="29"/>
      <c r="U218" s="27"/>
      <c r="V218" s="29"/>
      <c r="W218" s="29"/>
      <c r="X218" s="29"/>
      <c r="Y218" s="31"/>
      <c r="Z218" s="29"/>
      <c r="AA218" s="30"/>
      <c r="AB218" s="32"/>
      <c r="AC218" s="30"/>
      <c r="AD218" s="33"/>
      <c r="AE218" s="29"/>
      <c r="AF218" s="29"/>
      <c r="AG218" s="29"/>
    </row>
    <row r="219" spans="1:33" ht="15" customHeight="1" x14ac:dyDescent="0.25">
      <c r="A219" s="5">
        <v>30</v>
      </c>
      <c r="B219" s="38">
        <v>44032</v>
      </c>
      <c r="C219" s="38">
        <v>44011</v>
      </c>
      <c r="D219" s="38">
        <v>44004</v>
      </c>
      <c r="E219" s="36">
        <v>44032</v>
      </c>
      <c r="F219" s="5">
        <v>7737</v>
      </c>
      <c r="G219" s="5" t="s">
        <v>91</v>
      </c>
      <c r="H219" s="5" t="s">
        <v>40</v>
      </c>
      <c r="I219" s="5" t="s">
        <v>92</v>
      </c>
      <c r="J219" s="21" t="s">
        <v>214</v>
      </c>
      <c r="K219" s="21" t="s">
        <v>1099</v>
      </c>
      <c r="L219" s="6" t="s">
        <v>1100</v>
      </c>
      <c r="M219" s="5">
        <v>7</v>
      </c>
      <c r="N219" s="5" t="s">
        <v>91</v>
      </c>
      <c r="O219" s="5" t="s">
        <v>91</v>
      </c>
      <c r="P219" s="5" t="s">
        <v>91</v>
      </c>
      <c r="Q219" s="6" t="s">
        <v>559</v>
      </c>
      <c r="R219" s="6" t="s">
        <v>223</v>
      </c>
      <c r="S219" s="6"/>
      <c r="T219" s="6"/>
      <c r="U219" s="5"/>
      <c r="V219" s="6"/>
      <c r="W219" s="6" t="s">
        <v>624</v>
      </c>
      <c r="X219" s="6"/>
      <c r="Y219" s="22"/>
      <c r="Z219" s="6">
        <v>3.44</v>
      </c>
      <c r="AA219" s="21" t="s">
        <v>1101</v>
      </c>
      <c r="AB219" s="23"/>
      <c r="AC219" s="21" t="s">
        <v>33</v>
      </c>
      <c r="AD219" s="24" t="s">
        <v>1102</v>
      </c>
      <c r="AE219" s="6" t="s">
        <v>37</v>
      </c>
      <c r="AF219" s="6"/>
      <c r="AG219" s="6" t="s">
        <v>3040</v>
      </c>
    </row>
    <row r="220" spans="1:33" ht="7.5" customHeight="1" x14ac:dyDescent="0.25">
      <c r="A220" s="27"/>
      <c r="B220" s="39"/>
      <c r="C220" s="39"/>
      <c r="D220" s="39"/>
      <c r="E220" s="28"/>
      <c r="F220" s="27"/>
      <c r="G220" s="27"/>
      <c r="H220" s="27"/>
      <c r="I220" s="27"/>
      <c r="J220" s="30"/>
      <c r="K220" s="30"/>
      <c r="L220" s="29"/>
      <c r="M220" s="27"/>
      <c r="N220" s="27"/>
      <c r="O220" s="27"/>
      <c r="P220" s="27"/>
      <c r="Q220" s="29"/>
      <c r="R220" s="29"/>
      <c r="S220" s="29"/>
      <c r="T220" s="29"/>
      <c r="U220" s="27"/>
      <c r="V220" s="29"/>
      <c r="W220" s="29"/>
      <c r="X220" s="29"/>
      <c r="Y220" s="31"/>
      <c r="Z220" s="29"/>
      <c r="AA220" s="30"/>
      <c r="AB220" s="32"/>
      <c r="AC220" s="30"/>
      <c r="AD220" s="33"/>
      <c r="AE220" s="29"/>
      <c r="AF220" s="29"/>
      <c r="AG220" s="29"/>
    </row>
    <row r="221" spans="1:33" ht="15" customHeight="1" x14ac:dyDescent="0.25">
      <c r="A221" s="5">
        <v>28</v>
      </c>
      <c r="B221" s="38">
        <v>44020</v>
      </c>
      <c r="C221" s="38">
        <v>44011</v>
      </c>
      <c r="D221" s="38">
        <v>43994</v>
      </c>
      <c r="E221" s="34">
        <v>44020</v>
      </c>
      <c r="F221" s="5">
        <v>8710</v>
      </c>
      <c r="G221" s="5" t="s">
        <v>91</v>
      </c>
      <c r="H221" s="5" t="s">
        <v>43</v>
      </c>
      <c r="I221" s="5" t="s">
        <v>92</v>
      </c>
      <c r="J221" s="21" t="s">
        <v>147</v>
      </c>
      <c r="K221" s="21" t="s">
        <v>873</v>
      </c>
      <c r="L221" s="6" t="s">
        <v>874</v>
      </c>
      <c r="M221" s="5">
        <v>3</v>
      </c>
      <c r="N221" s="5" t="s">
        <v>91</v>
      </c>
      <c r="O221" s="5" t="s">
        <v>91</v>
      </c>
      <c r="P221" s="5" t="s">
        <v>91</v>
      </c>
      <c r="Q221" s="6" t="s">
        <v>559</v>
      </c>
      <c r="R221" s="6" t="s">
        <v>875</v>
      </c>
      <c r="S221" s="6"/>
      <c r="T221" s="6"/>
      <c r="U221" s="5"/>
      <c r="V221" s="6"/>
      <c r="W221" s="6" t="s">
        <v>876</v>
      </c>
      <c r="X221" s="6"/>
      <c r="Y221" s="22"/>
      <c r="Z221" s="6"/>
      <c r="AA221" s="21"/>
      <c r="AB221" s="23">
        <v>44014</v>
      </c>
      <c r="AC221" s="21" t="s">
        <v>30</v>
      </c>
      <c r="AD221" s="24" t="s">
        <v>44</v>
      </c>
      <c r="AE221" s="6" t="s">
        <v>31</v>
      </c>
      <c r="AF221" s="6"/>
      <c r="AG221" s="6" t="s">
        <v>3042</v>
      </c>
    </row>
    <row r="222" spans="1:33" ht="7.5" customHeight="1" x14ac:dyDescent="0.25">
      <c r="A222" s="27"/>
      <c r="B222" s="39"/>
      <c r="C222" s="39"/>
      <c r="D222" s="39"/>
      <c r="E222" s="28"/>
      <c r="F222" s="27"/>
      <c r="G222" s="27"/>
      <c r="H222" s="27"/>
      <c r="I222" s="27"/>
      <c r="J222" s="30"/>
      <c r="K222" s="30"/>
      <c r="L222" s="29"/>
      <c r="M222" s="27"/>
      <c r="N222" s="27"/>
      <c r="O222" s="27"/>
      <c r="P222" s="27"/>
      <c r="Q222" s="29"/>
      <c r="R222" s="29"/>
      <c r="S222" s="29"/>
      <c r="T222" s="29"/>
      <c r="U222" s="27"/>
      <c r="V222" s="29"/>
      <c r="W222" s="29"/>
      <c r="X222" s="29"/>
      <c r="Y222" s="31"/>
      <c r="Z222" s="29"/>
      <c r="AA222" s="30"/>
      <c r="AB222" s="32"/>
      <c r="AC222" s="30"/>
      <c r="AD222" s="33"/>
      <c r="AE222" s="29"/>
      <c r="AF222" s="29"/>
      <c r="AG222" s="29"/>
    </row>
    <row r="223" spans="1:33" ht="15" customHeight="1" x14ac:dyDescent="0.25">
      <c r="A223" s="5">
        <v>29</v>
      </c>
      <c r="B223" s="38">
        <v>44025</v>
      </c>
      <c r="C223" s="38">
        <v>44011</v>
      </c>
      <c r="D223" s="38">
        <v>44004</v>
      </c>
      <c r="E223" s="35">
        <v>44025</v>
      </c>
      <c r="F223" s="5">
        <v>8699</v>
      </c>
      <c r="G223" s="5" t="s">
        <v>91</v>
      </c>
      <c r="H223" s="5" t="s">
        <v>41</v>
      </c>
      <c r="I223" s="5" t="s">
        <v>92</v>
      </c>
      <c r="J223" s="21" t="s">
        <v>147</v>
      </c>
      <c r="K223" s="21" t="s">
        <v>944</v>
      </c>
      <c r="L223" s="6" t="s">
        <v>945</v>
      </c>
      <c r="M223" s="5">
        <v>5</v>
      </c>
      <c r="N223" s="5" t="s">
        <v>91</v>
      </c>
      <c r="O223" s="5" t="s">
        <v>91</v>
      </c>
      <c r="P223" s="5" t="s">
        <v>91</v>
      </c>
      <c r="Q223" s="6" t="s">
        <v>741</v>
      </c>
      <c r="R223" s="6" t="s">
        <v>742</v>
      </c>
      <c r="S223" s="6" t="s">
        <v>244</v>
      </c>
      <c r="T223" s="6" t="s">
        <v>946</v>
      </c>
      <c r="U223" s="5"/>
      <c r="V223" s="6"/>
      <c r="W223" s="6" t="s">
        <v>947</v>
      </c>
      <c r="X223" s="6" t="s">
        <v>948</v>
      </c>
      <c r="Y223" s="22"/>
      <c r="Z223" s="6"/>
      <c r="AA223" s="21"/>
      <c r="AB223" s="23">
        <v>43999</v>
      </c>
      <c r="AC223" s="21" t="s">
        <v>30</v>
      </c>
      <c r="AD223" s="24" t="s">
        <v>922</v>
      </c>
      <c r="AE223" s="6" t="s">
        <v>31</v>
      </c>
      <c r="AF223" s="6"/>
      <c r="AG223" s="6" t="s">
        <v>3040</v>
      </c>
    </row>
    <row r="224" spans="1:33" ht="7.5" customHeight="1" x14ac:dyDescent="0.25">
      <c r="A224" s="27"/>
      <c r="B224" s="39"/>
      <c r="C224" s="39"/>
      <c r="D224" s="39"/>
      <c r="E224" s="28"/>
      <c r="F224" s="27"/>
      <c r="G224" s="27"/>
      <c r="H224" s="27"/>
      <c r="I224" s="27"/>
      <c r="J224" s="30"/>
      <c r="K224" s="30"/>
      <c r="L224" s="29"/>
      <c r="M224" s="27"/>
      <c r="N224" s="27"/>
      <c r="O224" s="27"/>
      <c r="P224" s="27"/>
      <c r="Q224" s="29"/>
      <c r="R224" s="29"/>
      <c r="S224" s="29"/>
      <c r="T224" s="29"/>
      <c r="U224" s="27"/>
      <c r="V224" s="29"/>
      <c r="W224" s="29"/>
      <c r="X224" s="29"/>
      <c r="Y224" s="31"/>
      <c r="Z224" s="29"/>
      <c r="AA224" s="30"/>
      <c r="AB224" s="32"/>
      <c r="AC224" s="30"/>
      <c r="AD224" s="33"/>
      <c r="AE224" s="29"/>
      <c r="AF224" s="29"/>
      <c r="AG224" s="29"/>
    </row>
    <row r="225" spans="1:33" ht="15" customHeight="1" x14ac:dyDescent="0.25">
      <c r="A225" s="5">
        <v>29</v>
      </c>
      <c r="B225" s="38">
        <v>44026</v>
      </c>
      <c r="C225" s="38">
        <v>44012</v>
      </c>
      <c r="D225" s="38">
        <v>44005</v>
      </c>
      <c r="E225" s="35">
        <v>44026</v>
      </c>
      <c r="F225" s="5">
        <v>3020</v>
      </c>
      <c r="G225" s="5" t="s">
        <v>91</v>
      </c>
      <c r="H225" s="5" t="s">
        <v>40</v>
      </c>
      <c r="I225" s="5" t="s">
        <v>92</v>
      </c>
      <c r="J225" s="21" t="s">
        <v>93</v>
      </c>
      <c r="K225" s="21" t="s">
        <v>953</v>
      </c>
      <c r="L225" s="6" t="s">
        <v>95</v>
      </c>
      <c r="M225" s="5">
        <v>12</v>
      </c>
      <c r="N225" s="5" t="s">
        <v>91</v>
      </c>
      <c r="O225" s="5" t="s">
        <v>91</v>
      </c>
      <c r="P225" s="5" t="s">
        <v>91</v>
      </c>
      <c r="Q225" s="6" t="s">
        <v>559</v>
      </c>
      <c r="R225" s="6" t="s">
        <v>776</v>
      </c>
      <c r="S225" s="6" t="s">
        <v>668</v>
      </c>
      <c r="T225" s="6"/>
      <c r="U225" s="5"/>
      <c r="V225" s="6"/>
      <c r="W225" s="6" t="s">
        <v>954</v>
      </c>
      <c r="X225" s="6" t="s">
        <v>955</v>
      </c>
      <c r="Y225" s="22">
        <v>273438525</v>
      </c>
      <c r="Z225" s="6"/>
      <c r="AA225" s="21">
        <v>10129</v>
      </c>
      <c r="AB225" s="23"/>
      <c r="AC225" s="21" t="s">
        <v>32</v>
      </c>
      <c r="AD225" s="24" t="s">
        <v>956</v>
      </c>
      <c r="AE225" s="6" t="s">
        <v>31</v>
      </c>
      <c r="AF225" s="6"/>
      <c r="AG225" s="6" t="s">
        <v>3042</v>
      </c>
    </row>
    <row r="226" spans="1:33" ht="7.5" customHeight="1" x14ac:dyDescent="0.25">
      <c r="A226" s="27"/>
      <c r="B226" s="39"/>
      <c r="C226" s="39"/>
      <c r="D226" s="39"/>
      <c r="E226" s="28"/>
      <c r="F226" s="27"/>
      <c r="G226" s="27"/>
      <c r="H226" s="27"/>
      <c r="I226" s="27"/>
      <c r="J226" s="30"/>
      <c r="K226" s="30"/>
      <c r="L226" s="29"/>
      <c r="M226" s="27"/>
      <c r="N226" s="27"/>
      <c r="O226" s="27"/>
      <c r="P226" s="27"/>
      <c r="Q226" s="29"/>
      <c r="R226" s="29"/>
      <c r="S226" s="29"/>
      <c r="T226" s="29"/>
      <c r="U226" s="27"/>
      <c r="V226" s="29"/>
      <c r="W226" s="29"/>
      <c r="X226" s="29"/>
      <c r="Y226" s="31"/>
      <c r="Z226" s="29"/>
      <c r="AA226" s="30"/>
      <c r="AB226" s="32"/>
      <c r="AC226" s="30"/>
      <c r="AD226" s="33"/>
      <c r="AE226" s="29"/>
      <c r="AF226" s="29"/>
      <c r="AG226" s="29"/>
    </row>
    <row r="227" spans="1:33" ht="15" customHeight="1" x14ac:dyDescent="0.25">
      <c r="A227" s="5">
        <v>31</v>
      </c>
      <c r="B227" s="38">
        <v>44039</v>
      </c>
      <c r="C227" s="38">
        <v>44012</v>
      </c>
      <c r="D227" s="38">
        <v>43980</v>
      </c>
      <c r="E227" s="28">
        <v>44039</v>
      </c>
      <c r="F227" s="5">
        <v>6686</v>
      </c>
      <c r="G227" s="5" t="s">
        <v>91</v>
      </c>
      <c r="H227" s="5" t="s">
        <v>41</v>
      </c>
      <c r="I227" s="5" t="s">
        <v>92</v>
      </c>
      <c r="J227" s="21" t="s">
        <v>191</v>
      </c>
      <c r="K227" s="21" t="s">
        <v>1302</v>
      </c>
      <c r="L227" s="6" t="s">
        <v>1303</v>
      </c>
      <c r="M227" s="5">
        <v>17</v>
      </c>
      <c r="N227" s="5" t="s">
        <v>91</v>
      </c>
      <c r="O227" s="5" t="s">
        <v>91</v>
      </c>
      <c r="P227" s="5" t="s">
        <v>91</v>
      </c>
      <c r="Q227" s="6" t="s">
        <v>559</v>
      </c>
      <c r="R227" s="6" t="s">
        <v>194</v>
      </c>
      <c r="S227" s="6"/>
      <c r="T227" s="6"/>
      <c r="U227" s="5"/>
      <c r="V227" s="6" t="s">
        <v>1304</v>
      </c>
      <c r="W227" s="6" t="s">
        <v>1305</v>
      </c>
      <c r="X227" s="6"/>
      <c r="Y227" s="22"/>
      <c r="Z227" s="6">
        <v>3</v>
      </c>
      <c r="AA227" s="21"/>
      <c r="AB227" s="23"/>
      <c r="AC227" s="21" t="s">
        <v>30</v>
      </c>
      <c r="AD227" s="24" t="s">
        <v>1306</v>
      </c>
      <c r="AE227" s="6" t="s">
        <v>31</v>
      </c>
      <c r="AF227" s="6"/>
      <c r="AG227" s="6" t="s">
        <v>3042</v>
      </c>
    </row>
    <row r="228" spans="1:33" ht="7.5" customHeight="1" x14ac:dyDescent="0.25">
      <c r="A228" s="27"/>
      <c r="B228" s="39"/>
      <c r="C228" s="39"/>
      <c r="D228" s="39"/>
      <c r="E228" s="28"/>
      <c r="F228" s="27"/>
      <c r="G228" s="27"/>
      <c r="H228" s="27"/>
      <c r="I228" s="27"/>
      <c r="J228" s="30"/>
      <c r="K228" s="30"/>
      <c r="L228" s="29"/>
      <c r="M228" s="27"/>
      <c r="N228" s="27"/>
      <c r="O228" s="27"/>
      <c r="P228" s="27"/>
      <c r="Q228" s="29"/>
      <c r="R228" s="29"/>
      <c r="S228" s="29"/>
      <c r="T228" s="29"/>
      <c r="U228" s="27"/>
      <c r="V228" s="29"/>
      <c r="W228" s="29"/>
      <c r="X228" s="29"/>
      <c r="Y228" s="31"/>
      <c r="Z228" s="29"/>
      <c r="AA228" s="30"/>
      <c r="AB228" s="32"/>
      <c r="AC228" s="30"/>
      <c r="AD228" s="33"/>
      <c r="AE228" s="29"/>
      <c r="AF228" s="29"/>
      <c r="AG228" s="29"/>
    </row>
    <row r="229" spans="1:33" ht="15" customHeight="1" x14ac:dyDescent="0.25">
      <c r="A229" s="5">
        <v>29</v>
      </c>
      <c r="B229" s="38">
        <v>44026</v>
      </c>
      <c r="C229" s="38">
        <v>44012</v>
      </c>
      <c r="D229" s="38">
        <v>44005</v>
      </c>
      <c r="E229" s="35">
        <v>44026</v>
      </c>
      <c r="F229" s="5">
        <v>7742</v>
      </c>
      <c r="G229" s="5" t="s">
        <v>91</v>
      </c>
      <c r="H229" s="5" t="s">
        <v>41</v>
      </c>
      <c r="I229" s="5" t="s">
        <v>92</v>
      </c>
      <c r="J229" s="21" t="s">
        <v>214</v>
      </c>
      <c r="K229" s="21" t="s">
        <v>968</v>
      </c>
      <c r="L229" s="6" t="s">
        <v>969</v>
      </c>
      <c r="M229" s="5">
        <v>22</v>
      </c>
      <c r="N229" s="5" t="s">
        <v>91</v>
      </c>
      <c r="O229" s="5" t="s">
        <v>91</v>
      </c>
      <c r="P229" s="5" t="s">
        <v>91</v>
      </c>
      <c r="Q229" s="6"/>
      <c r="R229" s="6" t="s">
        <v>112</v>
      </c>
      <c r="S229" s="6"/>
      <c r="T229" s="6"/>
      <c r="U229" s="5"/>
      <c r="V229" s="6" t="s">
        <v>970</v>
      </c>
      <c r="W229" s="6" t="s">
        <v>971</v>
      </c>
      <c r="X229" s="6"/>
      <c r="Y229" s="22" t="s">
        <v>972</v>
      </c>
      <c r="Z229" s="6">
        <v>7.1</v>
      </c>
      <c r="AA229" s="21"/>
      <c r="AB229" s="23"/>
      <c r="AC229" s="21" t="s">
        <v>30</v>
      </c>
      <c r="AD229" s="24" t="s">
        <v>973</v>
      </c>
      <c r="AE229" s="6" t="s">
        <v>36</v>
      </c>
      <c r="AF229" s="6"/>
      <c r="AG229" s="6" t="s">
        <v>3039</v>
      </c>
    </row>
    <row r="230" spans="1:33" ht="7.5" customHeight="1" x14ac:dyDescent="0.25">
      <c r="A230" s="27"/>
      <c r="B230" s="39"/>
      <c r="C230" s="39"/>
      <c r="D230" s="39"/>
      <c r="E230" s="28"/>
      <c r="F230" s="27"/>
      <c r="G230" s="27"/>
      <c r="H230" s="27"/>
      <c r="I230" s="27"/>
      <c r="J230" s="30"/>
      <c r="K230" s="30"/>
      <c r="L230" s="29"/>
      <c r="M230" s="27"/>
      <c r="N230" s="27"/>
      <c r="O230" s="27"/>
      <c r="P230" s="27"/>
      <c r="Q230" s="29"/>
      <c r="R230" s="29"/>
      <c r="S230" s="29"/>
      <c r="T230" s="29"/>
      <c r="U230" s="27"/>
      <c r="V230" s="29"/>
      <c r="W230" s="29"/>
      <c r="X230" s="29"/>
      <c r="Y230" s="31"/>
      <c r="Z230" s="29"/>
      <c r="AA230" s="30"/>
      <c r="AB230" s="32"/>
      <c r="AC230" s="30"/>
      <c r="AD230" s="33"/>
      <c r="AE230" s="29"/>
      <c r="AF230" s="29"/>
      <c r="AG230" s="29"/>
    </row>
    <row r="231" spans="1:33" ht="15" customHeight="1" x14ac:dyDescent="0.25">
      <c r="A231" s="5">
        <v>31</v>
      </c>
      <c r="B231" s="38">
        <v>44039</v>
      </c>
      <c r="C231" s="38">
        <v>44012</v>
      </c>
      <c r="D231" s="38">
        <v>44018</v>
      </c>
      <c r="E231" s="28">
        <v>44039</v>
      </c>
      <c r="F231" s="5">
        <v>7745</v>
      </c>
      <c r="G231" s="5" t="s">
        <v>91</v>
      </c>
      <c r="H231" s="5" t="s">
        <v>41</v>
      </c>
      <c r="I231" s="5" t="s">
        <v>92</v>
      </c>
      <c r="J231" s="21" t="s">
        <v>214</v>
      </c>
      <c r="K231" s="21" t="s">
        <v>1307</v>
      </c>
      <c r="L231" s="6" t="s">
        <v>1308</v>
      </c>
      <c r="M231" s="5">
        <v>11</v>
      </c>
      <c r="N231" s="5" t="s">
        <v>91</v>
      </c>
      <c r="O231" s="5" t="s">
        <v>91</v>
      </c>
      <c r="P231" s="5" t="s">
        <v>91</v>
      </c>
      <c r="Q231" s="6"/>
      <c r="R231" s="6" t="s">
        <v>229</v>
      </c>
      <c r="S231" s="6"/>
      <c r="T231" s="6"/>
      <c r="U231" s="5"/>
      <c r="V231" s="6"/>
      <c r="W231" s="6" t="s">
        <v>1309</v>
      </c>
      <c r="X231" s="6" t="s">
        <v>1310</v>
      </c>
      <c r="Y231" s="22" t="s">
        <v>1311</v>
      </c>
      <c r="Z231" s="6"/>
      <c r="AA231" s="21" t="s">
        <v>1312</v>
      </c>
      <c r="AB231" s="23">
        <v>44022</v>
      </c>
      <c r="AC231" s="21" t="s">
        <v>33</v>
      </c>
      <c r="AD231" s="24" t="s">
        <v>1313</v>
      </c>
      <c r="AE231" s="6" t="s">
        <v>35</v>
      </c>
      <c r="AF231" s="6"/>
      <c r="AG231" s="6" t="s">
        <v>3039</v>
      </c>
    </row>
    <row r="232" spans="1:33" ht="7.5" customHeight="1" x14ac:dyDescent="0.25">
      <c r="A232" s="27"/>
      <c r="B232" s="39"/>
      <c r="C232" s="39"/>
      <c r="D232" s="39"/>
      <c r="E232" s="28"/>
      <c r="F232" s="27"/>
      <c r="G232" s="27"/>
      <c r="H232" s="27"/>
      <c r="I232" s="27"/>
      <c r="J232" s="30"/>
      <c r="K232" s="30"/>
      <c r="L232" s="29"/>
      <c r="M232" s="27"/>
      <c r="N232" s="27"/>
      <c r="O232" s="27"/>
      <c r="P232" s="27"/>
      <c r="Q232" s="29"/>
      <c r="R232" s="29"/>
      <c r="S232" s="29"/>
      <c r="T232" s="29"/>
      <c r="U232" s="27"/>
      <c r="V232" s="29"/>
      <c r="W232" s="29"/>
      <c r="X232" s="29"/>
      <c r="Y232" s="31"/>
      <c r="Z232" s="29"/>
      <c r="AA232" s="30"/>
      <c r="AB232" s="32"/>
      <c r="AC232" s="30"/>
      <c r="AD232" s="33"/>
      <c r="AE232" s="29"/>
      <c r="AF232" s="29"/>
      <c r="AG232" s="29"/>
    </row>
    <row r="233" spans="1:33" ht="15" customHeight="1" x14ac:dyDescent="0.25">
      <c r="A233" s="5">
        <v>29</v>
      </c>
      <c r="B233" s="38">
        <v>44026</v>
      </c>
      <c r="C233" s="38">
        <v>44012</v>
      </c>
      <c r="D233" s="38">
        <v>44005</v>
      </c>
      <c r="E233" s="35">
        <v>44026</v>
      </c>
      <c r="F233" s="5">
        <v>9652</v>
      </c>
      <c r="G233" s="5" t="s">
        <v>91</v>
      </c>
      <c r="H233" s="5" t="s">
        <v>43</v>
      </c>
      <c r="I233" s="5" t="s">
        <v>92</v>
      </c>
      <c r="J233" s="21" t="s">
        <v>159</v>
      </c>
      <c r="K233" s="21">
        <v>256977</v>
      </c>
      <c r="L233" s="6" t="s">
        <v>978</v>
      </c>
      <c r="M233" s="5">
        <v>4</v>
      </c>
      <c r="N233" s="5" t="s">
        <v>91</v>
      </c>
      <c r="O233" s="5" t="s">
        <v>91</v>
      </c>
      <c r="P233" s="5" t="s">
        <v>91</v>
      </c>
      <c r="Q233" s="6"/>
      <c r="R233" s="6" t="s">
        <v>979</v>
      </c>
      <c r="S233" s="6"/>
      <c r="T233" s="6"/>
      <c r="U233" s="5"/>
      <c r="V233" s="6"/>
      <c r="W233" s="6" t="s">
        <v>980</v>
      </c>
      <c r="X233" s="6"/>
      <c r="Y233" s="22"/>
      <c r="Z233" s="6"/>
      <c r="AA233" s="21"/>
      <c r="AB233" s="23"/>
      <c r="AC233" s="21" t="s">
        <v>32</v>
      </c>
      <c r="AD233" s="24" t="s">
        <v>981</v>
      </c>
      <c r="AE233" s="6" t="s">
        <v>37</v>
      </c>
      <c r="AF233" s="6"/>
      <c r="AG233" s="6" t="s">
        <v>3042</v>
      </c>
    </row>
    <row r="234" spans="1:33" ht="7.5" customHeight="1" x14ac:dyDescent="0.25">
      <c r="A234" s="27"/>
      <c r="B234" s="39"/>
      <c r="C234" s="39"/>
      <c r="D234" s="39"/>
      <c r="E234" s="28"/>
      <c r="F234" s="27"/>
      <c r="G234" s="27"/>
      <c r="H234" s="27"/>
      <c r="I234" s="27"/>
      <c r="J234" s="30"/>
      <c r="K234" s="30"/>
      <c r="L234" s="29"/>
      <c r="M234" s="27"/>
      <c r="N234" s="27"/>
      <c r="O234" s="27"/>
      <c r="P234" s="27"/>
      <c r="Q234" s="29"/>
      <c r="R234" s="29"/>
      <c r="S234" s="29"/>
      <c r="T234" s="29"/>
      <c r="U234" s="27"/>
      <c r="V234" s="29"/>
      <c r="W234" s="29"/>
      <c r="X234" s="29"/>
      <c r="Y234" s="31"/>
      <c r="Z234" s="29"/>
      <c r="AA234" s="30"/>
      <c r="AB234" s="32"/>
      <c r="AC234" s="30"/>
      <c r="AD234" s="33"/>
      <c r="AE234" s="29"/>
      <c r="AF234" s="29"/>
      <c r="AG234" s="29"/>
    </row>
    <row r="235" spans="1:33" ht="15" customHeight="1" x14ac:dyDescent="0.25">
      <c r="A235" s="5">
        <v>30</v>
      </c>
      <c r="B235" s="38">
        <v>44034</v>
      </c>
      <c r="C235" s="38">
        <v>44013</v>
      </c>
      <c r="D235" s="38">
        <v>44006</v>
      </c>
      <c r="E235" s="36">
        <v>44034</v>
      </c>
      <c r="F235" s="5">
        <v>10664</v>
      </c>
      <c r="G235" s="5" t="s">
        <v>91</v>
      </c>
      <c r="H235" s="5" t="s">
        <v>41</v>
      </c>
      <c r="I235" s="5" t="s">
        <v>92</v>
      </c>
      <c r="J235" s="21" t="s">
        <v>170</v>
      </c>
      <c r="K235" s="21" t="s">
        <v>1154</v>
      </c>
      <c r="L235" s="6" t="s">
        <v>1155</v>
      </c>
      <c r="M235" s="5">
        <v>13</v>
      </c>
      <c r="N235" s="5" t="s">
        <v>91</v>
      </c>
      <c r="O235" s="5" t="s">
        <v>91</v>
      </c>
      <c r="P235" s="5" t="s">
        <v>91</v>
      </c>
      <c r="Q235" s="6"/>
      <c r="R235" s="6" t="s">
        <v>112</v>
      </c>
      <c r="S235" s="6"/>
      <c r="T235" s="6"/>
      <c r="U235" s="5"/>
      <c r="V235" s="6"/>
      <c r="W235" s="6" t="s">
        <v>985</v>
      </c>
      <c r="X235" s="6" t="s">
        <v>832</v>
      </c>
      <c r="Y235" s="22" t="s">
        <v>1156</v>
      </c>
      <c r="Z235" s="6"/>
      <c r="AA235" s="21" t="s">
        <v>1157</v>
      </c>
      <c r="AB235" s="23"/>
      <c r="AC235" s="21" t="s">
        <v>33</v>
      </c>
      <c r="AD235" s="24" t="s">
        <v>1158</v>
      </c>
      <c r="AE235" s="6" t="s">
        <v>35</v>
      </c>
      <c r="AF235" s="6"/>
      <c r="AG235" s="6" t="s">
        <v>3039</v>
      </c>
    </row>
    <row r="236" spans="1:33" ht="7.5" customHeight="1" x14ac:dyDescent="0.25">
      <c r="A236" s="27"/>
      <c r="B236" s="39"/>
      <c r="C236" s="39"/>
      <c r="D236" s="39"/>
      <c r="E236" s="28"/>
      <c r="F236" s="27"/>
      <c r="G236" s="27"/>
      <c r="H236" s="27"/>
      <c r="I236" s="27"/>
      <c r="J236" s="30"/>
      <c r="K236" s="30"/>
      <c r="L236" s="29"/>
      <c r="M236" s="27"/>
      <c r="N236" s="27"/>
      <c r="O236" s="27"/>
      <c r="P236" s="27"/>
      <c r="Q236" s="29"/>
      <c r="R236" s="29"/>
      <c r="S236" s="29"/>
      <c r="T236" s="29"/>
      <c r="U236" s="27"/>
      <c r="V236" s="29"/>
      <c r="W236" s="29"/>
      <c r="X236" s="29"/>
      <c r="Y236" s="31"/>
      <c r="Z236" s="29"/>
      <c r="AA236" s="30"/>
      <c r="AB236" s="32"/>
      <c r="AC236" s="30"/>
      <c r="AD236" s="33"/>
      <c r="AE236" s="29"/>
      <c r="AF236" s="29"/>
      <c r="AG236" s="29"/>
    </row>
    <row r="237" spans="1:33" ht="15" customHeight="1" x14ac:dyDescent="0.25">
      <c r="A237" s="5">
        <v>29</v>
      </c>
      <c r="B237" s="38">
        <v>44027</v>
      </c>
      <c r="C237" s="38">
        <v>44013</v>
      </c>
      <c r="D237" s="38">
        <v>44006</v>
      </c>
      <c r="E237" s="35">
        <v>44027</v>
      </c>
      <c r="F237" s="5">
        <v>3022</v>
      </c>
      <c r="G237" s="5" t="s">
        <v>91</v>
      </c>
      <c r="H237" s="5" t="s">
        <v>40</v>
      </c>
      <c r="I237" s="5" t="s">
        <v>92</v>
      </c>
      <c r="J237" s="21" t="s">
        <v>93</v>
      </c>
      <c r="K237" s="21" t="s">
        <v>988</v>
      </c>
      <c r="L237" s="6" t="s">
        <v>989</v>
      </c>
      <c r="M237" s="5">
        <v>9</v>
      </c>
      <c r="N237" s="5" t="s">
        <v>91</v>
      </c>
      <c r="O237" s="5" t="s">
        <v>91</v>
      </c>
      <c r="P237" s="5" t="s">
        <v>91</v>
      </c>
      <c r="Q237" s="6"/>
      <c r="R237" s="6" t="s">
        <v>776</v>
      </c>
      <c r="S237" s="6" t="s">
        <v>265</v>
      </c>
      <c r="T237" s="6"/>
      <c r="U237" s="5"/>
      <c r="V237" s="6"/>
      <c r="W237" s="6" t="s">
        <v>990</v>
      </c>
      <c r="X237" s="6"/>
      <c r="Y237" s="22"/>
      <c r="Z237" s="6"/>
      <c r="AA237" s="21">
        <v>10132</v>
      </c>
      <c r="AB237" s="23"/>
      <c r="AC237" s="21" t="s">
        <v>32</v>
      </c>
      <c r="AD237" s="24" t="s">
        <v>991</v>
      </c>
      <c r="AE237" s="6" t="s">
        <v>31</v>
      </c>
      <c r="AF237" s="6"/>
      <c r="AG237" s="6" t="s">
        <v>3040</v>
      </c>
    </row>
    <row r="238" spans="1:33" ht="15" customHeight="1" x14ac:dyDescent="0.25">
      <c r="A238" s="5">
        <v>29</v>
      </c>
      <c r="B238" s="38">
        <v>44027</v>
      </c>
      <c r="C238" s="38">
        <v>44013</v>
      </c>
      <c r="D238" s="38">
        <v>44006</v>
      </c>
      <c r="E238" s="35">
        <v>44027</v>
      </c>
      <c r="F238" s="5">
        <v>3024</v>
      </c>
      <c r="G238" s="5" t="s">
        <v>91</v>
      </c>
      <c r="H238" s="5" t="s">
        <v>43</v>
      </c>
      <c r="I238" s="5" t="s">
        <v>92</v>
      </c>
      <c r="J238" s="21" t="s">
        <v>93</v>
      </c>
      <c r="K238" s="21" t="s">
        <v>992</v>
      </c>
      <c r="L238" s="6" t="s">
        <v>993</v>
      </c>
      <c r="M238" s="5">
        <v>4</v>
      </c>
      <c r="N238" s="5" t="s">
        <v>91</v>
      </c>
      <c r="O238" s="5" t="s">
        <v>91</v>
      </c>
      <c r="P238" s="5" t="s">
        <v>91</v>
      </c>
      <c r="Q238" s="6"/>
      <c r="R238" s="6" t="s">
        <v>380</v>
      </c>
      <c r="S238" s="6"/>
      <c r="T238" s="6"/>
      <c r="U238" s="5"/>
      <c r="V238" s="6"/>
      <c r="W238" s="6" t="s">
        <v>994</v>
      </c>
      <c r="X238" s="6" t="s">
        <v>995</v>
      </c>
      <c r="Y238" s="22" t="s">
        <v>996</v>
      </c>
      <c r="Z238" s="6"/>
      <c r="AA238" s="21"/>
      <c r="AB238" s="23"/>
      <c r="AC238" s="21" t="s">
        <v>32</v>
      </c>
      <c r="AD238" s="24" t="s">
        <v>997</v>
      </c>
      <c r="AE238" s="6" t="s">
        <v>35</v>
      </c>
      <c r="AF238" s="6"/>
      <c r="AG238" s="6" t="s">
        <v>3041</v>
      </c>
    </row>
    <row r="239" spans="1:33" ht="15" customHeight="1" x14ac:dyDescent="0.25">
      <c r="A239" s="5">
        <v>29</v>
      </c>
      <c r="B239" s="38">
        <v>44027</v>
      </c>
      <c r="C239" s="38">
        <v>44013</v>
      </c>
      <c r="D239" s="38">
        <v>44006</v>
      </c>
      <c r="E239" s="35">
        <v>44027</v>
      </c>
      <c r="F239" s="5">
        <v>12055</v>
      </c>
      <c r="G239" s="5" t="s">
        <v>91</v>
      </c>
      <c r="H239" s="5" t="s">
        <v>43</v>
      </c>
      <c r="I239" s="5" t="s">
        <v>92</v>
      </c>
      <c r="J239" s="21" t="s">
        <v>275</v>
      </c>
      <c r="K239" s="21" t="s">
        <v>998</v>
      </c>
      <c r="L239" s="6" t="s">
        <v>805</v>
      </c>
      <c r="M239" s="5">
        <v>0</v>
      </c>
      <c r="N239" s="5" t="s">
        <v>91</v>
      </c>
      <c r="O239" s="5" t="s">
        <v>91</v>
      </c>
      <c r="P239" s="5" t="s">
        <v>91</v>
      </c>
      <c r="Q239" s="6"/>
      <c r="R239" s="6" t="s">
        <v>112</v>
      </c>
      <c r="S239" s="6"/>
      <c r="T239" s="6"/>
      <c r="U239" s="5"/>
      <c r="V239" s="6"/>
      <c r="W239" s="6" t="s">
        <v>999</v>
      </c>
      <c r="X239" s="6" t="s">
        <v>428</v>
      </c>
      <c r="Y239" s="22"/>
      <c r="Z239" s="6"/>
      <c r="AA239" s="21"/>
      <c r="AB239" s="23">
        <v>44014</v>
      </c>
      <c r="AC239" s="21" t="s">
        <v>32</v>
      </c>
      <c r="AD239" s="24" t="s">
        <v>1000</v>
      </c>
      <c r="AE239" s="6" t="s">
        <v>31</v>
      </c>
      <c r="AF239" s="6"/>
      <c r="AG239" s="6" t="s">
        <v>3042</v>
      </c>
    </row>
    <row r="240" spans="1:33" ht="15" customHeight="1" x14ac:dyDescent="0.25">
      <c r="A240" s="5">
        <v>29</v>
      </c>
      <c r="B240" s="38">
        <v>44027</v>
      </c>
      <c r="C240" s="38">
        <v>44013</v>
      </c>
      <c r="D240" s="38">
        <v>44006</v>
      </c>
      <c r="E240" s="35">
        <v>44027</v>
      </c>
      <c r="F240" s="5">
        <v>12056</v>
      </c>
      <c r="G240" s="5" t="s">
        <v>91</v>
      </c>
      <c r="H240" s="5" t="s">
        <v>43</v>
      </c>
      <c r="I240" s="5" t="s">
        <v>92</v>
      </c>
      <c r="J240" s="21" t="s">
        <v>275</v>
      </c>
      <c r="K240" s="21" t="s">
        <v>1001</v>
      </c>
      <c r="L240" s="6" t="s">
        <v>1002</v>
      </c>
      <c r="M240" s="5">
        <v>0</v>
      </c>
      <c r="N240" s="5" t="s">
        <v>91</v>
      </c>
      <c r="O240" s="5" t="s">
        <v>91</v>
      </c>
      <c r="P240" s="5" t="s">
        <v>91</v>
      </c>
      <c r="Q240" s="6"/>
      <c r="R240" s="6" t="s">
        <v>112</v>
      </c>
      <c r="S240" s="6"/>
      <c r="T240" s="6"/>
      <c r="U240" s="5"/>
      <c r="V240" s="6" t="s">
        <v>1003</v>
      </c>
      <c r="W240" s="6" t="s">
        <v>999</v>
      </c>
      <c r="X240" s="6"/>
      <c r="Y240" s="22"/>
      <c r="Z240" s="6"/>
      <c r="AA240" s="21"/>
      <c r="AB240" s="23">
        <v>44014</v>
      </c>
      <c r="AC240" s="21" t="s">
        <v>33</v>
      </c>
      <c r="AD240" s="24" t="s">
        <v>1004</v>
      </c>
      <c r="AE240" s="6" t="s">
        <v>31</v>
      </c>
      <c r="AF240" s="6"/>
      <c r="AG240" s="6" t="s">
        <v>3039</v>
      </c>
    </row>
    <row r="241" spans="1:33" ht="15" customHeight="1" x14ac:dyDescent="0.25">
      <c r="A241" s="5">
        <v>29</v>
      </c>
      <c r="B241" s="38">
        <v>44027</v>
      </c>
      <c r="C241" s="38">
        <v>44013</v>
      </c>
      <c r="D241" s="38">
        <v>44006</v>
      </c>
      <c r="E241" s="35">
        <v>44027</v>
      </c>
      <c r="F241" s="5">
        <v>12059</v>
      </c>
      <c r="G241" s="5" t="s">
        <v>91</v>
      </c>
      <c r="H241" s="5" t="s">
        <v>41</v>
      </c>
      <c r="I241" s="5" t="s">
        <v>92</v>
      </c>
      <c r="J241" s="21" t="s">
        <v>275</v>
      </c>
      <c r="K241" s="21" t="s">
        <v>1005</v>
      </c>
      <c r="L241" s="6" t="s">
        <v>989</v>
      </c>
      <c r="M241" s="5">
        <v>0</v>
      </c>
      <c r="N241" s="5" t="s">
        <v>91</v>
      </c>
      <c r="O241" s="5" t="s">
        <v>91</v>
      </c>
      <c r="P241" s="5" t="s">
        <v>91</v>
      </c>
      <c r="Q241" s="6"/>
      <c r="R241" s="6" t="s">
        <v>112</v>
      </c>
      <c r="S241" s="6"/>
      <c r="T241" s="6"/>
      <c r="U241" s="5"/>
      <c r="V241" s="6"/>
      <c r="W241" s="6" t="s">
        <v>999</v>
      </c>
      <c r="X241" s="6"/>
      <c r="Y241" s="22"/>
      <c r="Z241" s="6"/>
      <c r="AA241" s="21"/>
      <c r="AB241" s="23">
        <v>44018</v>
      </c>
      <c r="AC241" s="21" t="s">
        <v>30</v>
      </c>
      <c r="AD241" s="24" t="s">
        <v>1006</v>
      </c>
      <c r="AE241" s="6" t="s">
        <v>36</v>
      </c>
      <c r="AF241" s="6"/>
      <c r="AG241" s="6" t="s">
        <v>3040</v>
      </c>
    </row>
    <row r="242" spans="1:33" ht="7.5" customHeight="1" x14ac:dyDescent="0.25">
      <c r="A242" s="27"/>
      <c r="B242" s="39"/>
      <c r="C242" s="39"/>
      <c r="D242" s="39"/>
      <c r="E242" s="28"/>
      <c r="F242" s="27"/>
      <c r="G242" s="27"/>
      <c r="H242" s="27"/>
      <c r="I242" s="27"/>
      <c r="J242" s="30"/>
      <c r="K242" s="30"/>
      <c r="L242" s="29"/>
      <c r="M242" s="27"/>
      <c r="N242" s="27"/>
      <c r="O242" s="27"/>
      <c r="P242" s="27"/>
      <c r="Q242" s="29"/>
      <c r="R242" s="29"/>
      <c r="S242" s="29"/>
      <c r="T242" s="29"/>
      <c r="U242" s="27"/>
      <c r="V242" s="29"/>
      <c r="W242" s="29"/>
      <c r="X242" s="29"/>
      <c r="Y242" s="31"/>
      <c r="Z242" s="29"/>
      <c r="AA242" s="30"/>
      <c r="AB242" s="32"/>
      <c r="AC242" s="30"/>
      <c r="AD242" s="33"/>
      <c r="AE242" s="29"/>
      <c r="AF242" s="29"/>
      <c r="AG242" s="29"/>
    </row>
    <row r="243" spans="1:33" ht="15" customHeight="1" x14ac:dyDescent="0.25">
      <c r="A243" s="5">
        <v>30</v>
      </c>
      <c r="B243" s="38">
        <v>44034</v>
      </c>
      <c r="C243" s="38">
        <v>44013</v>
      </c>
      <c r="D243" s="38">
        <v>44006</v>
      </c>
      <c r="E243" s="36">
        <v>44034</v>
      </c>
      <c r="F243" s="5">
        <v>12057</v>
      </c>
      <c r="G243" s="5" t="s">
        <v>91</v>
      </c>
      <c r="H243" s="5" t="s">
        <v>41</v>
      </c>
      <c r="I243" s="5" t="s">
        <v>92</v>
      </c>
      <c r="J243" s="21" t="s">
        <v>275</v>
      </c>
      <c r="K243" s="21" t="s">
        <v>1159</v>
      </c>
      <c r="L243" s="6" t="s">
        <v>1160</v>
      </c>
      <c r="M243" s="5">
        <v>16</v>
      </c>
      <c r="N243" s="5" t="s">
        <v>91</v>
      </c>
      <c r="O243" s="5" t="s">
        <v>91</v>
      </c>
      <c r="P243" s="5" t="s">
        <v>91</v>
      </c>
      <c r="Q243" s="6"/>
      <c r="R243" s="6" t="s">
        <v>112</v>
      </c>
      <c r="S243" s="6"/>
      <c r="T243" s="6"/>
      <c r="U243" s="5"/>
      <c r="V243" s="6"/>
      <c r="W243" s="6" t="s">
        <v>572</v>
      </c>
      <c r="X243" s="6"/>
      <c r="Y243" s="22"/>
      <c r="Z243" s="6">
        <v>4.2</v>
      </c>
      <c r="AA243" s="21"/>
      <c r="AB243" s="23">
        <v>44015</v>
      </c>
      <c r="AC243" s="21" t="s">
        <v>30</v>
      </c>
      <c r="AD243" s="24" t="s">
        <v>1161</v>
      </c>
      <c r="AE243" s="6" t="s">
        <v>34</v>
      </c>
      <c r="AF243" s="6"/>
      <c r="AG243" s="6" t="s">
        <v>3040</v>
      </c>
    </row>
    <row r="244" spans="1:33" ht="15" customHeight="1" x14ac:dyDescent="0.25">
      <c r="A244" s="5">
        <v>30</v>
      </c>
      <c r="B244" s="38">
        <v>44034</v>
      </c>
      <c r="C244" s="38">
        <v>44013</v>
      </c>
      <c r="D244" s="38">
        <v>44006</v>
      </c>
      <c r="E244" s="36">
        <v>44034</v>
      </c>
      <c r="F244" s="5">
        <v>12058</v>
      </c>
      <c r="G244" s="5" t="s">
        <v>91</v>
      </c>
      <c r="H244" s="5" t="s">
        <v>41</v>
      </c>
      <c r="I244" s="5" t="s">
        <v>92</v>
      </c>
      <c r="J244" s="21" t="s">
        <v>275</v>
      </c>
      <c r="K244" s="21" t="s">
        <v>1162</v>
      </c>
      <c r="L244" s="6" t="s">
        <v>1163</v>
      </c>
      <c r="M244" s="5">
        <v>1</v>
      </c>
      <c r="N244" s="5" t="s">
        <v>91</v>
      </c>
      <c r="O244" s="5" t="s">
        <v>91</v>
      </c>
      <c r="P244" s="5" t="s">
        <v>91</v>
      </c>
      <c r="Q244" s="6"/>
      <c r="R244" s="6" t="s">
        <v>112</v>
      </c>
      <c r="S244" s="6"/>
      <c r="T244" s="6"/>
      <c r="U244" s="5"/>
      <c r="V244" s="6"/>
      <c r="W244" s="6" t="s">
        <v>1164</v>
      </c>
      <c r="X244" s="6"/>
      <c r="Y244" s="22"/>
      <c r="Z244" s="6">
        <v>0.5</v>
      </c>
      <c r="AA244" s="21"/>
      <c r="AB244" s="23">
        <v>44015</v>
      </c>
      <c r="AC244" s="21" t="s">
        <v>30</v>
      </c>
      <c r="AD244" s="24" t="s">
        <v>1165</v>
      </c>
      <c r="AE244" s="6" t="s">
        <v>31</v>
      </c>
      <c r="AF244" s="6"/>
      <c r="AG244" s="6" t="s">
        <v>3041</v>
      </c>
    </row>
    <row r="245" spans="1:33" ht="7.5" customHeight="1" x14ac:dyDescent="0.25">
      <c r="A245" s="27"/>
      <c r="B245" s="39"/>
      <c r="C245" s="39"/>
      <c r="D245" s="39"/>
      <c r="E245" s="28"/>
      <c r="F245" s="27"/>
      <c r="G245" s="27"/>
      <c r="H245" s="27"/>
      <c r="I245" s="27"/>
      <c r="J245" s="30"/>
      <c r="K245" s="30"/>
      <c r="L245" s="29"/>
      <c r="M245" s="27"/>
      <c r="N245" s="27"/>
      <c r="O245" s="27"/>
      <c r="P245" s="27"/>
      <c r="Q245" s="29"/>
      <c r="R245" s="29"/>
      <c r="S245" s="29"/>
      <c r="T245" s="29"/>
      <c r="U245" s="27"/>
      <c r="V245" s="29"/>
      <c r="W245" s="29"/>
      <c r="X245" s="29"/>
      <c r="Y245" s="31"/>
      <c r="Z245" s="29"/>
      <c r="AA245" s="30"/>
      <c r="AB245" s="32"/>
      <c r="AC245" s="30"/>
      <c r="AD245" s="33"/>
      <c r="AE245" s="29"/>
      <c r="AF245" s="29"/>
      <c r="AG245" s="29"/>
    </row>
    <row r="246" spans="1:33" ht="15" customHeight="1" x14ac:dyDescent="0.25">
      <c r="A246" s="5">
        <v>29</v>
      </c>
      <c r="B246" s="38">
        <v>44027</v>
      </c>
      <c r="C246" s="38">
        <v>44013</v>
      </c>
      <c r="D246" s="38">
        <v>44006</v>
      </c>
      <c r="E246" s="35">
        <v>44027</v>
      </c>
      <c r="F246" s="5">
        <v>5587</v>
      </c>
      <c r="G246" s="5" t="s">
        <v>91</v>
      </c>
      <c r="H246" s="5" t="s">
        <v>40</v>
      </c>
      <c r="I246" s="5" t="s">
        <v>92</v>
      </c>
      <c r="J246" s="21" t="s">
        <v>131</v>
      </c>
      <c r="K246" s="21" t="s">
        <v>1015</v>
      </c>
      <c r="L246" s="6" t="s">
        <v>1016</v>
      </c>
      <c r="M246" s="5">
        <v>1</v>
      </c>
      <c r="N246" s="5" t="s">
        <v>91</v>
      </c>
      <c r="O246" s="5" t="s">
        <v>91</v>
      </c>
      <c r="P246" s="5" t="s">
        <v>91</v>
      </c>
      <c r="Q246" s="6"/>
      <c r="R246" s="6" t="s">
        <v>112</v>
      </c>
      <c r="S246" s="6"/>
      <c r="T246" s="6"/>
      <c r="U246" s="5"/>
      <c r="V246" s="6"/>
      <c r="W246" s="6" t="s">
        <v>794</v>
      </c>
      <c r="X246" s="6"/>
      <c r="Y246" s="22"/>
      <c r="Z246" s="6"/>
      <c r="AA246" s="21"/>
      <c r="AB246" s="23">
        <v>44014</v>
      </c>
      <c r="AC246" s="21" t="s">
        <v>30</v>
      </c>
      <c r="AD246" s="24" t="s">
        <v>1017</v>
      </c>
      <c r="AE246" s="6" t="s">
        <v>37</v>
      </c>
      <c r="AF246" s="6"/>
      <c r="AG246" s="6" t="s">
        <v>3039</v>
      </c>
    </row>
    <row r="247" spans="1:33" ht="7.5" customHeight="1" x14ac:dyDescent="0.25">
      <c r="A247" s="27"/>
      <c r="B247" s="39"/>
      <c r="C247" s="39"/>
      <c r="D247" s="39"/>
      <c r="E247" s="28"/>
      <c r="F247" s="27"/>
      <c r="G247" s="27"/>
      <c r="H247" s="27"/>
      <c r="I247" s="27"/>
      <c r="J247" s="30"/>
      <c r="K247" s="30"/>
      <c r="L247" s="29"/>
      <c r="M247" s="27"/>
      <c r="N247" s="27"/>
      <c r="O247" s="27"/>
      <c r="P247" s="27"/>
      <c r="Q247" s="29"/>
      <c r="R247" s="29"/>
      <c r="S247" s="29"/>
      <c r="T247" s="29"/>
      <c r="U247" s="27"/>
      <c r="V247" s="29"/>
      <c r="W247" s="29"/>
      <c r="X247" s="29"/>
      <c r="Y247" s="31"/>
      <c r="Z247" s="29"/>
      <c r="AA247" s="30"/>
      <c r="AB247" s="32"/>
      <c r="AC247" s="30"/>
      <c r="AD247" s="33"/>
      <c r="AE247" s="29"/>
      <c r="AF247" s="29"/>
      <c r="AG247" s="29"/>
    </row>
    <row r="248" spans="1:33" ht="15" customHeight="1" x14ac:dyDescent="0.25">
      <c r="A248" s="5">
        <v>30</v>
      </c>
      <c r="B248" s="38">
        <v>44034</v>
      </c>
      <c r="C248" s="38">
        <v>44013</v>
      </c>
      <c r="D248" s="38">
        <v>44006</v>
      </c>
      <c r="E248" s="36">
        <v>44034</v>
      </c>
      <c r="F248" s="5">
        <v>5589</v>
      </c>
      <c r="G248" s="5" t="s">
        <v>91</v>
      </c>
      <c r="H248" s="5" t="s">
        <v>41</v>
      </c>
      <c r="I248" s="5" t="s">
        <v>92</v>
      </c>
      <c r="J248" s="21" t="s">
        <v>131</v>
      </c>
      <c r="K248" s="21" t="s">
        <v>1174</v>
      </c>
      <c r="L248" s="6" t="s">
        <v>989</v>
      </c>
      <c r="M248" s="5">
        <v>8</v>
      </c>
      <c r="N248" s="5" t="s">
        <v>91</v>
      </c>
      <c r="O248" s="5" t="s">
        <v>91</v>
      </c>
      <c r="P248" s="5" t="s">
        <v>91</v>
      </c>
      <c r="Q248" s="6"/>
      <c r="R248" s="6" t="s">
        <v>112</v>
      </c>
      <c r="S248" s="6"/>
      <c r="T248" s="6"/>
      <c r="U248" s="5"/>
      <c r="V248" s="6"/>
      <c r="W248" s="6" t="s">
        <v>1010</v>
      </c>
      <c r="X248" s="6"/>
      <c r="Y248" s="22"/>
      <c r="Z248" s="6">
        <v>2</v>
      </c>
      <c r="AA248" s="21"/>
      <c r="AB248" s="23">
        <v>44015</v>
      </c>
      <c r="AC248" s="21" t="s">
        <v>30</v>
      </c>
      <c r="AD248" s="24" t="s">
        <v>1175</v>
      </c>
      <c r="AE248" s="6" t="s">
        <v>31</v>
      </c>
      <c r="AF248" s="6"/>
      <c r="AG248" s="6" t="s">
        <v>3040</v>
      </c>
    </row>
    <row r="249" spans="1:33" ht="7.5" customHeight="1" x14ac:dyDescent="0.25">
      <c r="A249" s="27"/>
      <c r="B249" s="39"/>
      <c r="C249" s="39"/>
      <c r="D249" s="39"/>
      <c r="E249" s="28"/>
      <c r="F249" s="27"/>
      <c r="G249" s="27"/>
      <c r="H249" s="27"/>
      <c r="I249" s="27"/>
      <c r="J249" s="30"/>
      <c r="K249" s="30"/>
      <c r="L249" s="29"/>
      <c r="M249" s="27"/>
      <c r="N249" s="27"/>
      <c r="O249" s="27"/>
      <c r="P249" s="27"/>
      <c r="Q249" s="29"/>
      <c r="R249" s="29"/>
      <c r="S249" s="29"/>
      <c r="T249" s="29"/>
      <c r="U249" s="27"/>
      <c r="V249" s="29"/>
      <c r="W249" s="29"/>
      <c r="X249" s="29"/>
      <c r="Y249" s="31"/>
      <c r="Z249" s="29"/>
      <c r="AA249" s="30"/>
      <c r="AB249" s="32"/>
      <c r="AC249" s="30"/>
      <c r="AD249" s="33"/>
      <c r="AE249" s="29"/>
      <c r="AF249" s="29"/>
      <c r="AG249" s="29"/>
    </row>
    <row r="250" spans="1:33" ht="15" customHeight="1" x14ac:dyDescent="0.25">
      <c r="A250" s="5">
        <v>29</v>
      </c>
      <c r="B250" s="38">
        <v>44027</v>
      </c>
      <c r="C250" s="38">
        <v>44013</v>
      </c>
      <c r="D250" s="38">
        <v>44006</v>
      </c>
      <c r="E250" s="35">
        <v>44027</v>
      </c>
      <c r="F250" s="5">
        <v>8701</v>
      </c>
      <c r="G250" s="5" t="s">
        <v>91</v>
      </c>
      <c r="H250" s="5" t="s">
        <v>43</v>
      </c>
      <c r="I250" s="5" t="s">
        <v>92</v>
      </c>
      <c r="J250" s="21" t="s">
        <v>147</v>
      </c>
      <c r="K250" s="21" t="s">
        <v>1029</v>
      </c>
      <c r="L250" s="6" t="s">
        <v>1030</v>
      </c>
      <c r="M250" s="5">
        <v>19</v>
      </c>
      <c r="N250" s="5" t="s">
        <v>91</v>
      </c>
      <c r="O250" s="5" t="s">
        <v>91</v>
      </c>
      <c r="P250" s="5" t="s">
        <v>91</v>
      </c>
      <c r="Q250" s="6" t="s">
        <v>741</v>
      </c>
      <c r="R250" s="6" t="s">
        <v>879</v>
      </c>
      <c r="S250" s="6" t="s">
        <v>244</v>
      </c>
      <c r="T250" s="6"/>
      <c r="U250" s="5"/>
      <c r="V250" s="6"/>
      <c r="W250" s="6" t="s">
        <v>1031</v>
      </c>
      <c r="X250" s="6" t="s">
        <v>1032</v>
      </c>
      <c r="Y250" s="22">
        <v>274691947</v>
      </c>
      <c r="Z250" s="6"/>
      <c r="AA250" s="21"/>
      <c r="AB250" s="23">
        <v>44001</v>
      </c>
      <c r="AC250" s="21" t="s">
        <v>32</v>
      </c>
      <c r="AD250" s="24" t="s">
        <v>1033</v>
      </c>
      <c r="AE250" s="6" t="s">
        <v>31</v>
      </c>
      <c r="AF250" s="6"/>
      <c r="AG250" s="6" t="s">
        <v>3039</v>
      </c>
    </row>
    <row r="251" spans="1:33" ht="7.5" customHeight="1" x14ac:dyDescent="0.25">
      <c r="A251" s="27"/>
      <c r="B251" s="39"/>
      <c r="C251" s="39"/>
      <c r="D251" s="39"/>
      <c r="E251" s="28"/>
      <c r="F251" s="27"/>
      <c r="G251" s="27"/>
      <c r="H251" s="27"/>
      <c r="I251" s="27"/>
      <c r="J251" s="30"/>
      <c r="K251" s="30"/>
      <c r="L251" s="29"/>
      <c r="M251" s="27"/>
      <c r="N251" s="27"/>
      <c r="O251" s="27"/>
      <c r="P251" s="27"/>
      <c r="Q251" s="29"/>
      <c r="R251" s="29"/>
      <c r="S251" s="29"/>
      <c r="T251" s="29"/>
      <c r="U251" s="27"/>
      <c r="V251" s="29"/>
      <c r="W251" s="29"/>
      <c r="X251" s="29"/>
      <c r="Y251" s="31"/>
      <c r="Z251" s="29"/>
      <c r="AA251" s="30"/>
      <c r="AB251" s="32"/>
      <c r="AC251" s="30"/>
      <c r="AD251" s="33"/>
      <c r="AE251" s="29"/>
      <c r="AF251" s="29"/>
      <c r="AG251" s="29"/>
    </row>
    <row r="252" spans="1:33" ht="15" customHeight="1" x14ac:dyDescent="0.25">
      <c r="A252" s="5">
        <v>29</v>
      </c>
      <c r="B252" s="38">
        <v>44028</v>
      </c>
      <c r="C252" s="38">
        <v>44014</v>
      </c>
      <c r="D252" s="38">
        <v>44007</v>
      </c>
      <c r="E252" s="35">
        <v>44028</v>
      </c>
      <c r="F252" s="5">
        <v>3021</v>
      </c>
      <c r="G252" s="5" t="s">
        <v>91</v>
      </c>
      <c r="H252" s="5" t="s">
        <v>40</v>
      </c>
      <c r="I252" s="5" t="s">
        <v>92</v>
      </c>
      <c r="J252" s="21" t="s">
        <v>93</v>
      </c>
      <c r="K252" s="21" t="s">
        <v>1034</v>
      </c>
      <c r="L252" s="6" t="s">
        <v>1035</v>
      </c>
      <c r="M252" s="5">
        <v>14</v>
      </c>
      <c r="N252" s="5" t="s">
        <v>91</v>
      </c>
      <c r="O252" s="5" t="s">
        <v>91</v>
      </c>
      <c r="P252" s="5" t="s">
        <v>91</v>
      </c>
      <c r="Q252" s="6" t="s">
        <v>559</v>
      </c>
      <c r="R252" s="6" t="s">
        <v>742</v>
      </c>
      <c r="S252" s="6"/>
      <c r="T252" s="6"/>
      <c r="U252" s="5"/>
      <c r="V252" s="6" t="s">
        <v>1036</v>
      </c>
      <c r="W252" s="6" t="s">
        <v>1037</v>
      </c>
      <c r="X252" s="6" t="s">
        <v>823</v>
      </c>
      <c r="Y252" s="22">
        <v>220538341</v>
      </c>
      <c r="Z252" s="6"/>
      <c r="AA252" s="21">
        <v>10133</v>
      </c>
      <c r="AB252" s="23"/>
      <c r="AC252" s="21" t="s">
        <v>33</v>
      </c>
      <c r="AD252" s="24" t="s">
        <v>1038</v>
      </c>
      <c r="AE252" s="6" t="s">
        <v>35</v>
      </c>
      <c r="AF252" s="6"/>
      <c r="AG252" s="6" t="s">
        <v>3040</v>
      </c>
    </row>
    <row r="253" spans="1:33" ht="7.5" customHeight="1" x14ac:dyDescent="0.25">
      <c r="A253" s="27"/>
      <c r="B253" s="39"/>
      <c r="C253" s="39"/>
      <c r="D253" s="39"/>
      <c r="E253" s="28"/>
      <c r="F253" s="27"/>
      <c r="G253" s="27"/>
      <c r="H253" s="27"/>
      <c r="I253" s="27"/>
      <c r="J253" s="30"/>
      <c r="K253" s="30"/>
      <c r="L253" s="29"/>
      <c r="M253" s="27"/>
      <c r="N253" s="27"/>
      <c r="O253" s="27"/>
      <c r="P253" s="27"/>
      <c r="Q253" s="29"/>
      <c r="R253" s="29"/>
      <c r="S253" s="29"/>
      <c r="T253" s="29"/>
      <c r="U253" s="27"/>
      <c r="V253" s="29"/>
      <c r="W253" s="29"/>
      <c r="X253" s="29"/>
      <c r="Y253" s="31"/>
      <c r="Z253" s="29"/>
      <c r="AA253" s="30"/>
      <c r="AB253" s="32"/>
      <c r="AC253" s="30"/>
      <c r="AD253" s="33"/>
      <c r="AE253" s="29"/>
      <c r="AF253" s="29"/>
      <c r="AG253" s="29"/>
    </row>
    <row r="254" spans="1:33" ht="15" customHeight="1" x14ac:dyDescent="0.25">
      <c r="A254" s="5">
        <v>30</v>
      </c>
      <c r="B254" s="38">
        <v>44032</v>
      </c>
      <c r="C254" s="38">
        <v>44014</v>
      </c>
      <c r="D254" s="38">
        <v>43997</v>
      </c>
      <c r="E254" s="36">
        <v>44032</v>
      </c>
      <c r="F254" s="5">
        <v>12052</v>
      </c>
      <c r="G254" s="5" t="s">
        <v>91</v>
      </c>
      <c r="H254" s="5" t="s">
        <v>43</v>
      </c>
      <c r="I254" s="5" t="s">
        <v>92</v>
      </c>
      <c r="J254" s="21" t="s">
        <v>275</v>
      </c>
      <c r="K254" s="21" t="s">
        <v>1073</v>
      </c>
      <c r="L254" s="6" t="s">
        <v>1074</v>
      </c>
      <c r="M254" s="5">
        <v>16</v>
      </c>
      <c r="N254" s="5" t="s">
        <v>91</v>
      </c>
      <c r="O254" s="5" t="s">
        <v>91</v>
      </c>
      <c r="P254" s="5" t="s">
        <v>91</v>
      </c>
      <c r="Q254" s="6" t="s">
        <v>559</v>
      </c>
      <c r="R254" s="6" t="s">
        <v>123</v>
      </c>
      <c r="S254" s="6"/>
      <c r="T254" s="6"/>
      <c r="U254" s="5"/>
      <c r="V254" s="6"/>
      <c r="W254" s="6" t="s">
        <v>572</v>
      </c>
      <c r="X254" s="6"/>
      <c r="Y254" s="22"/>
      <c r="Z254" s="6">
        <v>5</v>
      </c>
      <c r="AA254" s="21"/>
      <c r="AB254" s="23"/>
      <c r="AC254" s="21" t="s">
        <v>30</v>
      </c>
      <c r="AD254" s="24" t="s">
        <v>1075</v>
      </c>
      <c r="AE254" s="6" t="s">
        <v>37</v>
      </c>
      <c r="AF254" s="6"/>
      <c r="AG254" s="6" t="s">
        <v>3042</v>
      </c>
    </row>
    <row r="255" spans="1:33" ht="7.5" customHeight="1" x14ac:dyDescent="0.25">
      <c r="A255" s="27"/>
      <c r="B255" s="39"/>
      <c r="C255" s="39"/>
      <c r="D255" s="39"/>
      <c r="E255" s="28"/>
      <c r="F255" s="27"/>
      <c r="G255" s="27"/>
      <c r="H255" s="27"/>
      <c r="I255" s="27"/>
      <c r="J255" s="30"/>
      <c r="K255" s="30"/>
      <c r="L255" s="29"/>
      <c r="M255" s="27"/>
      <c r="N255" s="27"/>
      <c r="O255" s="27"/>
      <c r="P255" s="27"/>
      <c r="Q255" s="29"/>
      <c r="R255" s="29"/>
      <c r="S255" s="29"/>
      <c r="T255" s="29"/>
      <c r="U255" s="27"/>
      <c r="V255" s="29"/>
      <c r="W255" s="29"/>
      <c r="X255" s="29"/>
      <c r="Y255" s="31"/>
      <c r="Z255" s="29"/>
      <c r="AA255" s="30"/>
      <c r="AB255" s="32"/>
      <c r="AC255" s="30"/>
      <c r="AD255" s="33"/>
      <c r="AE255" s="29"/>
      <c r="AF255" s="29"/>
      <c r="AG255" s="29"/>
    </row>
    <row r="256" spans="1:33" ht="15" customHeight="1" x14ac:dyDescent="0.25">
      <c r="A256" s="5">
        <v>29</v>
      </c>
      <c r="B256" s="38">
        <v>44028</v>
      </c>
      <c r="C256" s="38">
        <v>44014</v>
      </c>
      <c r="D256" s="38">
        <v>44007</v>
      </c>
      <c r="E256" s="35">
        <v>44028</v>
      </c>
      <c r="F256" s="5">
        <v>4793</v>
      </c>
      <c r="G256" s="5" t="s">
        <v>91</v>
      </c>
      <c r="H256" s="5" t="s">
        <v>41</v>
      </c>
      <c r="I256" s="5" t="s">
        <v>92</v>
      </c>
      <c r="J256" s="21" t="s">
        <v>109</v>
      </c>
      <c r="K256" s="21" t="s">
        <v>1043</v>
      </c>
      <c r="L256" s="6" t="s">
        <v>1044</v>
      </c>
      <c r="M256" s="5">
        <v>1</v>
      </c>
      <c r="N256" s="5" t="s">
        <v>91</v>
      </c>
      <c r="O256" s="5" t="s">
        <v>91</v>
      </c>
      <c r="P256" s="5" t="s">
        <v>91</v>
      </c>
      <c r="Q256" s="6"/>
      <c r="R256" s="6" t="s">
        <v>734</v>
      </c>
      <c r="S256" s="6"/>
      <c r="T256" s="6"/>
      <c r="U256" s="5"/>
      <c r="V256" s="6"/>
      <c r="W256" s="6" t="s">
        <v>1045</v>
      </c>
      <c r="X256" s="6"/>
      <c r="Y256" s="22"/>
      <c r="Z256" s="6"/>
      <c r="AA256" s="21"/>
      <c r="AB256" s="23">
        <v>44014</v>
      </c>
      <c r="AC256" s="21" t="s">
        <v>30</v>
      </c>
      <c r="AD256" s="24" t="s">
        <v>1046</v>
      </c>
      <c r="AE256" s="6" t="s">
        <v>31</v>
      </c>
      <c r="AF256" s="6"/>
      <c r="AG256" s="6" t="s">
        <v>3042</v>
      </c>
    </row>
    <row r="257" spans="1:33" ht="7.5" customHeight="1" x14ac:dyDescent="0.25">
      <c r="A257" s="27"/>
      <c r="B257" s="39"/>
      <c r="C257" s="39"/>
      <c r="D257" s="39"/>
      <c r="E257" s="28"/>
      <c r="F257" s="27"/>
      <c r="G257" s="27"/>
      <c r="H257" s="27"/>
      <c r="I257" s="27"/>
      <c r="J257" s="30"/>
      <c r="K257" s="30"/>
      <c r="L257" s="29"/>
      <c r="M257" s="27"/>
      <c r="N257" s="27"/>
      <c r="O257" s="27"/>
      <c r="P257" s="27"/>
      <c r="Q257" s="29"/>
      <c r="R257" s="29"/>
      <c r="S257" s="29"/>
      <c r="T257" s="29"/>
      <c r="U257" s="27"/>
      <c r="V257" s="29"/>
      <c r="W257" s="29"/>
      <c r="X257" s="29"/>
      <c r="Y257" s="31"/>
      <c r="Z257" s="29"/>
      <c r="AA257" s="30"/>
      <c r="AB257" s="32"/>
      <c r="AC257" s="30"/>
      <c r="AD257" s="33"/>
      <c r="AE257" s="29"/>
      <c r="AF257" s="29"/>
      <c r="AG257" s="29"/>
    </row>
    <row r="258" spans="1:33" ht="15" customHeight="1" x14ac:dyDescent="0.25">
      <c r="A258" s="5">
        <v>30</v>
      </c>
      <c r="B258" s="38">
        <v>44032</v>
      </c>
      <c r="C258" s="38">
        <v>44014</v>
      </c>
      <c r="D258" s="38">
        <v>43997</v>
      </c>
      <c r="E258" s="36">
        <v>44032</v>
      </c>
      <c r="F258" s="5">
        <v>5566</v>
      </c>
      <c r="G258" s="5" t="s">
        <v>91</v>
      </c>
      <c r="H258" s="5" t="s">
        <v>43</v>
      </c>
      <c r="I258" s="5" t="s">
        <v>92</v>
      </c>
      <c r="J258" s="21" t="s">
        <v>131</v>
      </c>
      <c r="K258" s="21" t="s">
        <v>1098</v>
      </c>
      <c r="L258" s="6" t="s">
        <v>932</v>
      </c>
      <c r="M258" s="5">
        <v>0</v>
      </c>
      <c r="N258" s="5" t="s">
        <v>91</v>
      </c>
      <c r="O258" s="5" t="s">
        <v>91</v>
      </c>
      <c r="P258" s="5" t="s">
        <v>91</v>
      </c>
      <c r="Q258" s="6"/>
      <c r="R258" s="6" t="s">
        <v>734</v>
      </c>
      <c r="S258" s="6"/>
      <c r="T258" s="6"/>
      <c r="U258" s="5"/>
      <c r="V258" s="6"/>
      <c r="W258" s="6" t="s">
        <v>794</v>
      </c>
      <c r="X258" s="6"/>
      <c r="Y258" s="22"/>
      <c r="Z258" s="6">
        <v>4.5</v>
      </c>
      <c r="AA258" s="21"/>
      <c r="AB258" s="23"/>
      <c r="AC258" s="21" t="s">
        <v>32</v>
      </c>
      <c r="AD258" s="24" t="s">
        <v>174</v>
      </c>
      <c r="AE258" s="6" t="s">
        <v>31</v>
      </c>
      <c r="AF258" s="6"/>
      <c r="AG258" s="6" t="s">
        <v>3039</v>
      </c>
    </row>
    <row r="259" spans="1:33" ht="7.5" customHeight="1" x14ac:dyDescent="0.25">
      <c r="A259" s="27"/>
      <c r="B259" s="39"/>
      <c r="C259" s="39"/>
      <c r="D259" s="39"/>
      <c r="E259" s="28"/>
      <c r="F259" s="27"/>
      <c r="G259" s="27"/>
      <c r="H259" s="27"/>
      <c r="I259" s="27"/>
      <c r="J259" s="30"/>
      <c r="K259" s="30"/>
      <c r="L259" s="29"/>
      <c r="M259" s="27"/>
      <c r="N259" s="27"/>
      <c r="O259" s="27"/>
      <c r="P259" s="27"/>
      <c r="Q259" s="29"/>
      <c r="R259" s="29"/>
      <c r="S259" s="29"/>
      <c r="T259" s="29"/>
      <c r="U259" s="27"/>
      <c r="V259" s="29"/>
      <c r="W259" s="29"/>
      <c r="X259" s="29"/>
      <c r="Y259" s="31"/>
      <c r="Z259" s="29"/>
      <c r="AA259" s="30"/>
      <c r="AB259" s="32"/>
      <c r="AC259" s="30"/>
      <c r="AD259" s="33"/>
      <c r="AE259" s="29"/>
      <c r="AF259" s="29"/>
      <c r="AG259" s="29"/>
    </row>
    <row r="260" spans="1:33" ht="15" customHeight="1" x14ac:dyDescent="0.25">
      <c r="A260" s="5">
        <v>30</v>
      </c>
      <c r="B260" s="38">
        <v>44033</v>
      </c>
      <c r="C260" s="38">
        <v>44015</v>
      </c>
      <c r="D260" s="38">
        <v>44007</v>
      </c>
      <c r="E260" s="36">
        <v>44033</v>
      </c>
      <c r="F260" s="5">
        <v>3026</v>
      </c>
      <c r="G260" s="5" t="s">
        <v>91</v>
      </c>
      <c r="H260" s="5" t="s">
        <v>43</v>
      </c>
      <c r="I260" s="5" t="s">
        <v>92</v>
      </c>
      <c r="J260" s="21" t="s">
        <v>93</v>
      </c>
      <c r="K260" s="21" t="s">
        <v>1125</v>
      </c>
      <c r="L260" s="6" t="s">
        <v>1126</v>
      </c>
      <c r="M260" s="5">
        <v>18</v>
      </c>
      <c r="N260" s="5" t="s">
        <v>91</v>
      </c>
      <c r="O260" s="5" t="s">
        <v>91</v>
      </c>
      <c r="P260" s="5" t="s">
        <v>91</v>
      </c>
      <c r="Q260" s="6"/>
      <c r="R260" s="6" t="s">
        <v>776</v>
      </c>
      <c r="S260" s="6" t="s">
        <v>265</v>
      </c>
      <c r="T260" s="6"/>
      <c r="U260" s="5"/>
      <c r="V260" s="6"/>
      <c r="W260" s="6" t="s">
        <v>1127</v>
      </c>
      <c r="X260" s="6" t="s">
        <v>1128</v>
      </c>
      <c r="Y260" s="22" t="s">
        <v>1129</v>
      </c>
      <c r="Z260" s="6"/>
      <c r="AA260" s="21">
        <v>10128</v>
      </c>
      <c r="AB260" s="23"/>
      <c r="AC260" s="21" t="s">
        <v>30</v>
      </c>
      <c r="AD260" s="24" t="s">
        <v>1130</v>
      </c>
      <c r="AE260" s="6" t="s">
        <v>31</v>
      </c>
      <c r="AF260" s="6"/>
      <c r="AG260" s="6" t="s">
        <v>3042</v>
      </c>
    </row>
    <row r="261" spans="1:33" ht="7.5" customHeight="1" x14ac:dyDescent="0.25">
      <c r="A261" s="27"/>
      <c r="B261" s="39"/>
      <c r="C261" s="39"/>
      <c r="D261" s="39"/>
      <c r="E261" s="28"/>
      <c r="F261" s="27"/>
      <c r="G261" s="27"/>
      <c r="H261" s="27"/>
      <c r="I261" s="27"/>
      <c r="J261" s="30"/>
      <c r="K261" s="30"/>
      <c r="L261" s="29"/>
      <c r="M261" s="27"/>
      <c r="N261" s="27"/>
      <c r="O261" s="27"/>
      <c r="P261" s="27"/>
      <c r="Q261" s="29"/>
      <c r="R261" s="29"/>
      <c r="S261" s="29"/>
      <c r="T261" s="29"/>
      <c r="U261" s="27"/>
      <c r="V261" s="29"/>
      <c r="W261" s="29"/>
      <c r="X261" s="29"/>
      <c r="Y261" s="31"/>
      <c r="Z261" s="29"/>
      <c r="AA261" s="30"/>
      <c r="AB261" s="32"/>
      <c r="AC261" s="30"/>
      <c r="AD261" s="33"/>
      <c r="AE261" s="29"/>
      <c r="AF261" s="29"/>
      <c r="AG261" s="29"/>
    </row>
    <row r="262" spans="1:33" ht="15" customHeight="1" x14ac:dyDescent="0.25">
      <c r="A262" s="5">
        <v>29</v>
      </c>
      <c r="B262" s="38">
        <v>44026</v>
      </c>
      <c r="C262" s="38">
        <v>44015</v>
      </c>
      <c r="D262" s="38">
        <v>43977</v>
      </c>
      <c r="E262" s="35">
        <v>44026</v>
      </c>
      <c r="F262" s="5">
        <v>4762</v>
      </c>
      <c r="G262" s="5" t="s">
        <v>91</v>
      </c>
      <c r="H262" s="5" t="s">
        <v>41</v>
      </c>
      <c r="I262" s="5" t="s">
        <v>92</v>
      </c>
      <c r="J262" s="21" t="s">
        <v>109</v>
      </c>
      <c r="K262" s="21" t="s">
        <v>215</v>
      </c>
      <c r="L262" s="6" t="s">
        <v>667</v>
      </c>
      <c r="M262" s="5">
        <v>11</v>
      </c>
      <c r="N262" s="5" t="s">
        <v>91</v>
      </c>
      <c r="O262" s="5" t="s">
        <v>91</v>
      </c>
      <c r="P262" s="5" t="s">
        <v>91</v>
      </c>
      <c r="Q262" s="6" t="s">
        <v>559</v>
      </c>
      <c r="R262" s="6" t="s">
        <v>123</v>
      </c>
      <c r="S262" s="6"/>
      <c r="T262" s="6"/>
      <c r="U262" s="5"/>
      <c r="V262" s="6"/>
      <c r="W262" s="6" t="s">
        <v>669</v>
      </c>
      <c r="X262" s="6"/>
      <c r="Y262" s="22"/>
      <c r="Z262" s="6">
        <v>5.6</v>
      </c>
      <c r="AA262" s="21">
        <v>13934</v>
      </c>
      <c r="AB262" s="23"/>
      <c r="AC262" s="21" t="s">
        <v>32</v>
      </c>
      <c r="AD262" s="24" t="s">
        <v>957</v>
      </c>
      <c r="AE262" s="6" t="s">
        <v>31</v>
      </c>
      <c r="AF262" s="6"/>
      <c r="AG262" s="6" t="s">
        <v>3039</v>
      </c>
    </row>
    <row r="263" spans="1:33" ht="7.5" customHeight="1" x14ac:dyDescent="0.25">
      <c r="A263" s="27"/>
      <c r="B263" s="39"/>
      <c r="C263" s="39"/>
      <c r="D263" s="39"/>
      <c r="E263" s="28"/>
      <c r="F263" s="27"/>
      <c r="G263" s="27"/>
      <c r="H263" s="27"/>
      <c r="I263" s="27"/>
      <c r="J263" s="30"/>
      <c r="K263" s="30"/>
      <c r="L263" s="29"/>
      <c r="M263" s="27"/>
      <c r="N263" s="27"/>
      <c r="O263" s="27"/>
      <c r="P263" s="27"/>
      <c r="Q263" s="29"/>
      <c r="R263" s="29"/>
      <c r="S263" s="29"/>
      <c r="T263" s="29"/>
      <c r="U263" s="27"/>
      <c r="V263" s="29"/>
      <c r="W263" s="29"/>
      <c r="X263" s="29"/>
      <c r="Y263" s="31"/>
      <c r="Z263" s="29"/>
      <c r="AA263" s="30"/>
      <c r="AB263" s="32"/>
      <c r="AC263" s="30"/>
      <c r="AD263" s="33"/>
      <c r="AE263" s="29"/>
      <c r="AF263" s="29"/>
      <c r="AG263" s="29"/>
    </row>
    <row r="264" spans="1:33" ht="15" customHeight="1" x14ac:dyDescent="0.25">
      <c r="A264" s="5">
        <v>29</v>
      </c>
      <c r="B264" s="38">
        <v>44029</v>
      </c>
      <c r="C264" s="38">
        <v>44015</v>
      </c>
      <c r="D264" s="38">
        <v>44008</v>
      </c>
      <c r="E264" s="35">
        <v>44029</v>
      </c>
      <c r="F264" s="5">
        <v>4794</v>
      </c>
      <c r="G264" s="5" t="s">
        <v>91</v>
      </c>
      <c r="H264" s="5" t="s">
        <v>40</v>
      </c>
      <c r="I264" s="5" t="s">
        <v>92</v>
      </c>
      <c r="J264" s="21" t="s">
        <v>109</v>
      </c>
      <c r="K264" s="21" t="s">
        <v>1051</v>
      </c>
      <c r="L264" s="6" t="s">
        <v>1052</v>
      </c>
      <c r="M264" s="5">
        <v>3</v>
      </c>
      <c r="N264" s="5" t="s">
        <v>91</v>
      </c>
      <c r="O264" s="5" t="s">
        <v>91</v>
      </c>
      <c r="P264" s="5" t="s">
        <v>91</v>
      </c>
      <c r="Q264" s="6"/>
      <c r="R264" s="6" t="s">
        <v>112</v>
      </c>
      <c r="S264" s="6"/>
      <c r="T264" s="6"/>
      <c r="U264" s="5"/>
      <c r="V264" s="6"/>
      <c r="W264" s="6" t="s">
        <v>1053</v>
      </c>
      <c r="X264" s="6"/>
      <c r="Y264" s="22"/>
      <c r="Z264" s="6"/>
      <c r="AA264" s="21">
        <v>15192</v>
      </c>
      <c r="AB264" s="23">
        <v>44018</v>
      </c>
      <c r="AC264" s="21" t="s">
        <v>33</v>
      </c>
      <c r="AD264" s="24" t="s">
        <v>1054</v>
      </c>
      <c r="AE264" s="6" t="s">
        <v>31</v>
      </c>
      <c r="AF264" s="6"/>
      <c r="AG264" s="6" t="s">
        <v>3041</v>
      </c>
    </row>
    <row r="265" spans="1:33" ht="7.5" customHeight="1" x14ac:dyDescent="0.25">
      <c r="A265" s="27"/>
      <c r="B265" s="39"/>
      <c r="C265" s="39"/>
      <c r="D265" s="39"/>
      <c r="E265" s="28"/>
      <c r="F265" s="27"/>
      <c r="G265" s="27"/>
      <c r="H265" s="27"/>
      <c r="I265" s="27"/>
      <c r="J265" s="30"/>
      <c r="K265" s="30"/>
      <c r="L265" s="29"/>
      <c r="M265" s="27"/>
      <c r="N265" s="27"/>
      <c r="O265" s="27"/>
      <c r="P265" s="27"/>
      <c r="Q265" s="29"/>
      <c r="R265" s="29"/>
      <c r="S265" s="29"/>
      <c r="T265" s="29"/>
      <c r="U265" s="27"/>
      <c r="V265" s="29"/>
      <c r="W265" s="29"/>
      <c r="X265" s="29"/>
      <c r="Y265" s="31"/>
      <c r="Z265" s="29"/>
      <c r="AA265" s="30"/>
      <c r="AB265" s="32"/>
      <c r="AC265" s="30"/>
      <c r="AD265" s="33"/>
      <c r="AE265" s="29"/>
      <c r="AF265" s="29"/>
      <c r="AG265" s="29"/>
    </row>
    <row r="266" spans="1:33" ht="15" customHeight="1" x14ac:dyDescent="0.25">
      <c r="A266" s="5">
        <v>29</v>
      </c>
      <c r="B266" s="38">
        <v>44026</v>
      </c>
      <c r="C266" s="38">
        <v>44015</v>
      </c>
      <c r="D266" s="38">
        <v>44004</v>
      </c>
      <c r="E266" s="35">
        <v>44026</v>
      </c>
      <c r="F266" s="5">
        <v>9653</v>
      </c>
      <c r="G266" s="5" t="s">
        <v>91</v>
      </c>
      <c r="H266" s="5" t="s">
        <v>40</v>
      </c>
      <c r="I266" s="5" t="s">
        <v>92</v>
      </c>
      <c r="J266" s="21" t="s">
        <v>159</v>
      </c>
      <c r="K266" s="21">
        <v>257060</v>
      </c>
      <c r="L266" s="6" t="s">
        <v>805</v>
      </c>
      <c r="M266" s="5">
        <v>2</v>
      </c>
      <c r="N266" s="5" t="s">
        <v>91</v>
      </c>
      <c r="O266" s="5" t="s">
        <v>91</v>
      </c>
      <c r="P266" s="5" t="s">
        <v>91</v>
      </c>
      <c r="Q266" s="6"/>
      <c r="R266" s="6"/>
      <c r="S266" s="6"/>
      <c r="T266" s="6"/>
      <c r="U266" s="5"/>
      <c r="V266" s="6"/>
      <c r="W266" s="6" t="s">
        <v>976</v>
      </c>
      <c r="X266" s="6"/>
      <c r="Y266" s="22"/>
      <c r="Z266" s="6"/>
      <c r="AA266" s="21"/>
      <c r="AB266" s="23">
        <v>44018</v>
      </c>
      <c r="AC266" s="21" t="s">
        <v>30</v>
      </c>
      <c r="AD266" s="24" t="s">
        <v>977</v>
      </c>
      <c r="AE266" s="6" t="s">
        <v>31</v>
      </c>
      <c r="AF266" s="6"/>
      <c r="AG266" s="6" t="s">
        <v>3041</v>
      </c>
    </row>
    <row r="267" spans="1:33" ht="7.5" customHeight="1" x14ac:dyDescent="0.25">
      <c r="A267" s="27"/>
      <c r="B267" s="39"/>
      <c r="C267" s="39"/>
      <c r="D267" s="39"/>
      <c r="E267" s="28"/>
      <c r="F267" s="27"/>
      <c r="G267" s="27"/>
      <c r="H267" s="27"/>
      <c r="I267" s="27"/>
      <c r="J267" s="30"/>
      <c r="K267" s="30"/>
      <c r="L267" s="29"/>
      <c r="M267" s="27"/>
      <c r="N267" s="27"/>
      <c r="O267" s="27"/>
      <c r="P267" s="27"/>
      <c r="Q267" s="29"/>
      <c r="R267" s="29"/>
      <c r="S267" s="29"/>
      <c r="T267" s="29"/>
      <c r="U267" s="27"/>
      <c r="V267" s="29"/>
      <c r="W267" s="29"/>
      <c r="X267" s="29"/>
      <c r="Y267" s="31"/>
      <c r="Z267" s="29"/>
      <c r="AA267" s="30"/>
      <c r="AB267" s="32"/>
      <c r="AC267" s="30"/>
      <c r="AD267" s="33"/>
      <c r="AE267" s="29"/>
      <c r="AF267" s="29"/>
      <c r="AG267" s="29"/>
    </row>
    <row r="268" spans="1:33" ht="15" customHeight="1" x14ac:dyDescent="0.25">
      <c r="A268" s="5">
        <v>30</v>
      </c>
      <c r="B268" s="38">
        <v>44034</v>
      </c>
      <c r="C268" s="38">
        <v>44018</v>
      </c>
      <c r="D268" s="38">
        <v>44000</v>
      </c>
      <c r="E268" s="36">
        <v>44034</v>
      </c>
      <c r="F268" s="5">
        <v>1610</v>
      </c>
      <c r="G268" s="5" t="s">
        <v>91</v>
      </c>
      <c r="H268" s="5" t="s">
        <v>43</v>
      </c>
      <c r="I268" s="5" t="s">
        <v>92</v>
      </c>
      <c r="J268" s="21" t="s">
        <v>372</v>
      </c>
      <c r="K268" s="21" t="s">
        <v>1144</v>
      </c>
      <c r="L268" s="6" t="s">
        <v>1145</v>
      </c>
      <c r="M268" s="5">
        <v>26</v>
      </c>
      <c r="N268" s="5" t="s">
        <v>91</v>
      </c>
      <c r="O268" s="5" t="s">
        <v>91</v>
      </c>
      <c r="P268" s="5" t="s">
        <v>91</v>
      </c>
      <c r="Q268" s="6"/>
      <c r="R268" s="6" t="s">
        <v>1146</v>
      </c>
      <c r="S268" s="6" t="s">
        <v>1147</v>
      </c>
      <c r="T268" s="6" t="s">
        <v>1148</v>
      </c>
      <c r="U268" s="5"/>
      <c r="V268" s="6" t="s">
        <v>1149</v>
      </c>
      <c r="W268" s="6" t="s">
        <v>1150</v>
      </c>
      <c r="X268" s="6" t="s">
        <v>1151</v>
      </c>
      <c r="Y268" s="22">
        <v>274387388</v>
      </c>
      <c r="Z268" s="6"/>
      <c r="AA268" s="21" t="s">
        <v>1152</v>
      </c>
      <c r="AB268" s="23">
        <v>43999</v>
      </c>
      <c r="AC268" s="21" t="s">
        <v>30</v>
      </c>
      <c r="AD268" s="24" t="s">
        <v>1153</v>
      </c>
      <c r="AE268" s="6" t="s">
        <v>31</v>
      </c>
      <c r="AF268" s="6"/>
      <c r="AG268" s="6" t="s">
        <v>3042</v>
      </c>
    </row>
    <row r="269" spans="1:33" ht="7.5" customHeight="1" x14ac:dyDescent="0.25">
      <c r="A269" s="27"/>
      <c r="B269" s="39"/>
      <c r="C269" s="39"/>
      <c r="D269" s="39"/>
      <c r="E269" s="28"/>
      <c r="F269" s="27"/>
      <c r="G269" s="27"/>
      <c r="H269" s="27"/>
      <c r="I269" s="27"/>
      <c r="J269" s="30"/>
      <c r="K269" s="30"/>
      <c r="L269" s="29"/>
      <c r="M269" s="27"/>
      <c r="N269" s="27"/>
      <c r="O269" s="27"/>
      <c r="P269" s="27"/>
      <c r="Q269" s="29"/>
      <c r="R269" s="29"/>
      <c r="S269" s="29"/>
      <c r="T269" s="29"/>
      <c r="U269" s="27"/>
      <c r="V269" s="29"/>
      <c r="W269" s="29"/>
      <c r="X269" s="29"/>
      <c r="Y269" s="31"/>
      <c r="Z269" s="29"/>
      <c r="AA269" s="30"/>
      <c r="AB269" s="32"/>
      <c r="AC269" s="30"/>
      <c r="AD269" s="33"/>
      <c r="AE269" s="29"/>
      <c r="AF269" s="29"/>
      <c r="AG269" s="29"/>
    </row>
    <row r="270" spans="1:33" ht="15" customHeight="1" x14ac:dyDescent="0.25">
      <c r="A270" s="5">
        <v>30</v>
      </c>
      <c r="B270" s="38">
        <v>44032</v>
      </c>
      <c r="C270" s="38">
        <v>44018</v>
      </c>
      <c r="D270" s="38">
        <v>44011</v>
      </c>
      <c r="E270" s="36">
        <v>44032</v>
      </c>
      <c r="F270" s="5">
        <v>3025</v>
      </c>
      <c r="G270" s="5" t="s">
        <v>91</v>
      </c>
      <c r="H270" s="5" t="s">
        <v>40</v>
      </c>
      <c r="I270" s="5" t="s">
        <v>92</v>
      </c>
      <c r="J270" s="21" t="s">
        <v>93</v>
      </c>
      <c r="K270" s="21" t="s">
        <v>1060</v>
      </c>
      <c r="L270" s="6" t="s">
        <v>1061</v>
      </c>
      <c r="M270" s="5">
        <v>16</v>
      </c>
      <c r="N270" s="5" t="s">
        <v>91</v>
      </c>
      <c r="O270" s="5" t="s">
        <v>91</v>
      </c>
      <c r="P270" s="5" t="s">
        <v>91</v>
      </c>
      <c r="Q270" s="6"/>
      <c r="R270" s="6" t="s">
        <v>1062</v>
      </c>
      <c r="S270" s="6" t="s">
        <v>98</v>
      </c>
      <c r="T270" s="6"/>
      <c r="U270" s="5"/>
      <c r="V270" s="6" t="s">
        <v>1063</v>
      </c>
      <c r="W270" s="6" t="s">
        <v>1064</v>
      </c>
      <c r="X270" s="6" t="s">
        <v>832</v>
      </c>
      <c r="Y270" s="22" t="s">
        <v>1057</v>
      </c>
      <c r="Z270" s="6"/>
      <c r="AA270" s="21"/>
      <c r="AB270" s="23"/>
      <c r="AC270" s="21" t="s">
        <v>32</v>
      </c>
      <c r="AD270" s="24" t="s">
        <v>1065</v>
      </c>
      <c r="AE270" s="6" t="s">
        <v>31</v>
      </c>
      <c r="AF270" s="6"/>
      <c r="AG270" s="6" t="s">
        <v>3039</v>
      </c>
    </row>
    <row r="271" spans="1:33" ht="15" customHeight="1" x14ac:dyDescent="0.25">
      <c r="A271" s="5">
        <v>30</v>
      </c>
      <c r="B271" s="38">
        <v>44032</v>
      </c>
      <c r="C271" s="38">
        <v>44018</v>
      </c>
      <c r="D271" s="38">
        <v>44011</v>
      </c>
      <c r="E271" s="36">
        <v>44032</v>
      </c>
      <c r="F271" s="5">
        <v>4777</v>
      </c>
      <c r="G271" s="5" t="s">
        <v>91</v>
      </c>
      <c r="H271" s="5" t="s">
        <v>43</v>
      </c>
      <c r="I271" s="5" t="s">
        <v>92</v>
      </c>
      <c r="J271" s="21" t="s">
        <v>109</v>
      </c>
      <c r="K271" s="21" t="s">
        <v>1080</v>
      </c>
      <c r="L271" s="6" t="s">
        <v>1081</v>
      </c>
      <c r="M271" s="5">
        <v>3</v>
      </c>
      <c r="N271" s="5" t="s">
        <v>91</v>
      </c>
      <c r="O271" s="5" t="s">
        <v>91</v>
      </c>
      <c r="P271" s="5" t="s">
        <v>91</v>
      </c>
      <c r="Q271" s="6"/>
      <c r="R271" s="6" t="s">
        <v>123</v>
      </c>
      <c r="S271" s="6" t="s">
        <v>428</v>
      </c>
      <c r="T271" s="6"/>
      <c r="U271" s="5"/>
      <c r="V271" s="6"/>
      <c r="W271" s="6" t="s">
        <v>1082</v>
      </c>
      <c r="X271" s="6"/>
      <c r="Y271" s="22"/>
      <c r="Z271" s="6">
        <v>1.65</v>
      </c>
      <c r="AA271" s="21">
        <v>14066</v>
      </c>
      <c r="AB271" s="23"/>
      <c r="AC271" s="21" t="s">
        <v>30</v>
      </c>
      <c r="AD271" s="24" t="s">
        <v>1083</v>
      </c>
      <c r="AE271" s="6" t="s">
        <v>31</v>
      </c>
      <c r="AF271" s="6"/>
      <c r="AG271" s="6" t="s">
        <v>3040</v>
      </c>
    </row>
    <row r="272" spans="1:33" ht="7.5" customHeight="1" x14ac:dyDescent="0.25">
      <c r="A272" s="27"/>
      <c r="B272" s="39"/>
      <c r="C272" s="39"/>
      <c r="D272" s="39"/>
      <c r="E272" s="28"/>
      <c r="F272" s="27"/>
      <c r="G272" s="27"/>
      <c r="H272" s="27"/>
      <c r="I272" s="27"/>
      <c r="J272" s="30"/>
      <c r="K272" s="30"/>
      <c r="L272" s="29"/>
      <c r="M272" s="27"/>
      <c r="N272" s="27"/>
      <c r="O272" s="27"/>
      <c r="P272" s="27"/>
      <c r="Q272" s="29"/>
      <c r="R272" s="29"/>
      <c r="S272" s="29"/>
      <c r="T272" s="29"/>
      <c r="U272" s="27"/>
      <c r="V272" s="29"/>
      <c r="W272" s="29"/>
      <c r="X272" s="29"/>
      <c r="Y272" s="31"/>
      <c r="Z272" s="29"/>
      <c r="AA272" s="30"/>
      <c r="AB272" s="32"/>
      <c r="AC272" s="30"/>
      <c r="AD272" s="33"/>
      <c r="AE272" s="29"/>
      <c r="AF272" s="29"/>
      <c r="AG272" s="29"/>
    </row>
    <row r="273" spans="1:33" ht="15" customHeight="1" x14ac:dyDescent="0.25">
      <c r="A273" s="5">
        <v>29</v>
      </c>
      <c r="B273" s="38">
        <v>44027</v>
      </c>
      <c r="C273" s="38">
        <v>44018</v>
      </c>
      <c r="D273" s="38">
        <v>44013</v>
      </c>
      <c r="E273" s="35">
        <v>44027</v>
      </c>
      <c r="F273" s="5">
        <v>5586</v>
      </c>
      <c r="G273" s="5" t="s">
        <v>91</v>
      </c>
      <c r="H273" s="5" t="s">
        <v>40</v>
      </c>
      <c r="I273" s="5" t="s">
        <v>92</v>
      </c>
      <c r="J273" s="21" t="s">
        <v>131</v>
      </c>
      <c r="K273" s="21" t="s">
        <v>1018</v>
      </c>
      <c r="L273" s="6" t="s">
        <v>1019</v>
      </c>
      <c r="M273" s="5">
        <v>0</v>
      </c>
      <c r="N273" s="5" t="s">
        <v>91</v>
      </c>
      <c r="O273" s="5" t="s">
        <v>91</v>
      </c>
      <c r="P273" s="5" t="s">
        <v>91</v>
      </c>
      <c r="Q273" s="6"/>
      <c r="R273" s="6" t="s">
        <v>112</v>
      </c>
      <c r="S273" s="6"/>
      <c r="T273" s="6"/>
      <c r="U273" s="5"/>
      <c r="V273" s="6"/>
      <c r="W273" s="6" t="s">
        <v>794</v>
      </c>
      <c r="X273" s="6"/>
      <c r="Y273" s="22"/>
      <c r="Z273" s="6">
        <v>4</v>
      </c>
      <c r="AA273" s="21"/>
      <c r="AB273" s="23">
        <v>44014</v>
      </c>
      <c r="AC273" s="21" t="s">
        <v>30</v>
      </c>
      <c r="AD273" s="24" t="s">
        <v>1020</v>
      </c>
      <c r="AE273" s="6" t="s">
        <v>38</v>
      </c>
      <c r="AF273" s="6"/>
      <c r="AG273" s="6" t="s">
        <v>3040</v>
      </c>
    </row>
    <row r="274" spans="1:33" ht="15" customHeight="1" x14ac:dyDescent="0.25">
      <c r="A274" s="5">
        <v>29</v>
      </c>
      <c r="B274" s="38">
        <v>44027</v>
      </c>
      <c r="C274" s="38">
        <v>44018</v>
      </c>
      <c r="D274" s="38">
        <v>44007</v>
      </c>
      <c r="E274" s="35">
        <v>44027</v>
      </c>
      <c r="F274" s="5">
        <v>5578</v>
      </c>
      <c r="G274" s="5" t="s">
        <v>91</v>
      </c>
      <c r="H274" s="5" t="s">
        <v>41</v>
      </c>
      <c r="I274" s="5" t="s">
        <v>92</v>
      </c>
      <c r="J274" s="21" t="s">
        <v>131</v>
      </c>
      <c r="K274" s="21" t="s">
        <v>1021</v>
      </c>
      <c r="L274" s="6" t="s">
        <v>1022</v>
      </c>
      <c r="M274" s="5">
        <v>1</v>
      </c>
      <c r="N274" s="5" t="s">
        <v>91</v>
      </c>
      <c r="O274" s="5" t="s">
        <v>91</v>
      </c>
      <c r="P274" s="5" t="s">
        <v>91</v>
      </c>
      <c r="Q274" s="6"/>
      <c r="R274" s="6" t="s">
        <v>123</v>
      </c>
      <c r="S274" s="6"/>
      <c r="T274" s="6"/>
      <c r="U274" s="5"/>
      <c r="V274" s="6"/>
      <c r="W274" s="6" t="s">
        <v>794</v>
      </c>
      <c r="X274" s="6"/>
      <c r="Y274" s="22"/>
      <c r="Z274" s="6"/>
      <c r="AA274" s="21"/>
      <c r="AB274" s="23">
        <v>44025</v>
      </c>
      <c r="AC274" s="21" t="s">
        <v>32</v>
      </c>
      <c r="AD274" s="24" t="s">
        <v>1023</v>
      </c>
      <c r="AE274" s="6" t="s">
        <v>31</v>
      </c>
      <c r="AF274" s="6"/>
      <c r="AG274" s="6" t="s">
        <v>3041</v>
      </c>
    </row>
    <row r="275" spans="1:33" ht="15" customHeight="1" x14ac:dyDescent="0.25">
      <c r="A275" s="5">
        <v>29</v>
      </c>
      <c r="B275" s="38">
        <v>44027</v>
      </c>
      <c r="C275" s="38">
        <v>44018</v>
      </c>
      <c r="D275" s="38">
        <v>44020</v>
      </c>
      <c r="E275" s="35">
        <v>44027</v>
      </c>
      <c r="F275" s="5">
        <v>5597</v>
      </c>
      <c r="G275" s="5" t="s">
        <v>91</v>
      </c>
      <c r="H275" s="5" t="s">
        <v>41</v>
      </c>
      <c r="I275" s="5" t="s">
        <v>92</v>
      </c>
      <c r="J275" s="21" t="s">
        <v>131</v>
      </c>
      <c r="K275" s="21" t="s">
        <v>1024</v>
      </c>
      <c r="L275" s="6" t="s">
        <v>1025</v>
      </c>
      <c r="M275" s="5">
        <v>0</v>
      </c>
      <c r="N275" s="5" t="s">
        <v>91</v>
      </c>
      <c r="O275" s="5" t="s">
        <v>91</v>
      </c>
      <c r="P275" s="5" t="s">
        <v>91</v>
      </c>
      <c r="Q275" s="6"/>
      <c r="R275" s="6" t="s">
        <v>1026</v>
      </c>
      <c r="S275" s="6"/>
      <c r="T275" s="6"/>
      <c r="U275" s="5"/>
      <c r="V275" s="6"/>
      <c r="W275" s="6" t="s">
        <v>1027</v>
      </c>
      <c r="X275" s="6"/>
      <c r="Y275" s="22"/>
      <c r="Z275" s="6"/>
      <c r="AA275" s="21"/>
      <c r="AB275" s="23">
        <v>44026</v>
      </c>
      <c r="AC275" s="21" t="s">
        <v>32</v>
      </c>
      <c r="AD275" s="24" t="s">
        <v>1028</v>
      </c>
      <c r="AE275" s="6" t="s">
        <v>34</v>
      </c>
      <c r="AF275" s="6"/>
      <c r="AG275" s="6" t="s">
        <v>3042</v>
      </c>
    </row>
    <row r="276" spans="1:33" ht="7.5" customHeight="1" x14ac:dyDescent="0.25">
      <c r="A276" s="27"/>
      <c r="B276" s="39"/>
      <c r="C276" s="39"/>
      <c r="D276" s="39"/>
      <c r="E276" s="28"/>
      <c r="F276" s="27"/>
      <c r="G276" s="27"/>
      <c r="H276" s="27"/>
      <c r="I276" s="27"/>
      <c r="J276" s="30"/>
      <c r="K276" s="30"/>
      <c r="L276" s="29"/>
      <c r="M276" s="27"/>
      <c r="N276" s="27"/>
      <c r="O276" s="27"/>
      <c r="P276" s="27"/>
      <c r="Q276" s="29"/>
      <c r="R276" s="29"/>
      <c r="S276" s="29"/>
      <c r="T276" s="29"/>
      <c r="U276" s="27"/>
      <c r="V276" s="29"/>
      <c r="W276" s="29"/>
      <c r="X276" s="29"/>
      <c r="Y276" s="31"/>
      <c r="Z276" s="29"/>
      <c r="AA276" s="30"/>
      <c r="AB276" s="32"/>
      <c r="AC276" s="30"/>
      <c r="AD276" s="33"/>
      <c r="AE276" s="29"/>
      <c r="AF276" s="29"/>
      <c r="AG276" s="29"/>
    </row>
    <row r="277" spans="1:33" ht="15" customHeight="1" x14ac:dyDescent="0.25">
      <c r="A277" s="5">
        <v>30</v>
      </c>
      <c r="B277" s="38">
        <v>44032</v>
      </c>
      <c r="C277" s="38">
        <v>44018</v>
      </c>
      <c r="D277" s="38">
        <v>44011</v>
      </c>
      <c r="E277" s="36">
        <v>44032</v>
      </c>
      <c r="F277" s="5">
        <v>5588</v>
      </c>
      <c r="G277" s="5" t="s">
        <v>91</v>
      </c>
      <c r="H277" s="5" t="s">
        <v>41</v>
      </c>
      <c r="I277" s="5" t="s">
        <v>92</v>
      </c>
      <c r="J277" s="21" t="s">
        <v>131</v>
      </c>
      <c r="K277" s="21" t="s">
        <v>1095</v>
      </c>
      <c r="L277" s="6" t="s">
        <v>1096</v>
      </c>
      <c r="M277" s="5">
        <v>2</v>
      </c>
      <c r="N277" s="5" t="s">
        <v>91</v>
      </c>
      <c r="O277" s="5" t="s">
        <v>91</v>
      </c>
      <c r="P277" s="5" t="s">
        <v>91</v>
      </c>
      <c r="Q277" s="6"/>
      <c r="R277" s="6" t="s">
        <v>123</v>
      </c>
      <c r="S277" s="6"/>
      <c r="T277" s="6"/>
      <c r="U277" s="5"/>
      <c r="V277" s="6"/>
      <c r="W277" s="6" t="s">
        <v>794</v>
      </c>
      <c r="X277" s="6"/>
      <c r="Y277" s="22"/>
      <c r="Z277" s="6">
        <v>1</v>
      </c>
      <c r="AA277" s="21"/>
      <c r="AB277" s="23">
        <v>44014</v>
      </c>
      <c r="AC277" s="21" t="s">
        <v>30</v>
      </c>
      <c r="AD277" s="24" t="s">
        <v>1097</v>
      </c>
      <c r="AE277" s="6" t="s">
        <v>38</v>
      </c>
      <c r="AF277" s="6"/>
      <c r="AG277" s="6" t="s">
        <v>3042</v>
      </c>
    </row>
    <row r="278" spans="1:33" ht="7.5" customHeight="1" x14ac:dyDescent="0.25">
      <c r="A278" s="27"/>
      <c r="B278" s="39"/>
      <c r="C278" s="39"/>
      <c r="D278" s="39"/>
      <c r="E278" s="28"/>
      <c r="F278" s="27"/>
      <c r="G278" s="27"/>
      <c r="H278" s="27"/>
      <c r="I278" s="27"/>
      <c r="J278" s="30"/>
      <c r="K278" s="30"/>
      <c r="L278" s="29"/>
      <c r="M278" s="27"/>
      <c r="N278" s="27"/>
      <c r="O278" s="27"/>
      <c r="P278" s="27"/>
      <c r="Q278" s="29"/>
      <c r="R278" s="29"/>
      <c r="S278" s="29"/>
      <c r="T278" s="29"/>
      <c r="U278" s="27"/>
      <c r="V278" s="29"/>
      <c r="W278" s="29"/>
      <c r="X278" s="29"/>
      <c r="Y278" s="31"/>
      <c r="Z278" s="29"/>
      <c r="AA278" s="30"/>
      <c r="AB278" s="32"/>
      <c r="AC278" s="30"/>
      <c r="AD278" s="33"/>
      <c r="AE278" s="29"/>
      <c r="AF278" s="29"/>
      <c r="AG278" s="29"/>
    </row>
    <row r="279" spans="1:33" ht="15" customHeight="1" x14ac:dyDescent="0.25">
      <c r="A279" s="5">
        <v>30</v>
      </c>
      <c r="B279" s="38">
        <v>44034</v>
      </c>
      <c r="C279" s="38">
        <v>44018</v>
      </c>
      <c r="D279" s="38">
        <v>43980</v>
      </c>
      <c r="E279" s="36">
        <v>44034</v>
      </c>
      <c r="F279" s="5">
        <v>8659</v>
      </c>
      <c r="G279" s="5" t="s">
        <v>91</v>
      </c>
      <c r="H279" s="5" t="s">
        <v>41</v>
      </c>
      <c r="I279" s="5" t="s">
        <v>92</v>
      </c>
      <c r="J279" s="21" t="s">
        <v>147</v>
      </c>
      <c r="K279" s="21" t="s">
        <v>709</v>
      </c>
      <c r="L279" s="6" t="s">
        <v>710</v>
      </c>
      <c r="M279" s="5">
        <v>16</v>
      </c>
      <c r="N279" s="5" t="s">
        <v>91</v>
      </c>
      <c r="O279" s="5" t="s">
        <v>91</v>
      </c>
      <c r="P279" s="5" t="s">
        <v>91</v>
      </c>
      <c r="Q279" s="6" t="s">
        <v>741</v>
      </c>
      <c r="R279" s="6" t="s">
        <v>1211</v>
      </c>
      <c r="S279" s="6" t="s">
        <v>265</v>
      </c>
      <c r="T279" s="6"/>
      <c r="U279" s="5"/>
      <c r="V279" s="6"/>
      <c r="W279" s="6" t="s">
        <v>708</v>
      </c>
      <c r="X279" s="6"/>
      <c r="Y279" s="22"/>
      <c r="Z279" s="6"/>
      <c r="AA279" s="21"/>
      <c r="AB279" s="23">
        <v>43902</v>
      </c>
      <c r="AC279" s="21" t="s">
        <v>32</v>
      </c>
      <c r="AD279" s="24" t="s">
        <v>1212</v>
      </c>
      <c r="AE279" s="6" t="s">
        <v>31</v>
      </c>
      <c r="AF279" s="6"/>
      <c r="AG279" s="6" t="s">
        <v>3042</v>
      </c>
    </row>
    <row r="280" spans="1:33" ht="7.5" customHeight="1" x14ac:dyDescent="0.25">
      <c r="A280" s="27"/>
      <c r="B280" s="39"/>
      <c r="C280" s="39"/>
      <c r="D280" s="39"/>
      <c r="E280" s="28"/>
      <c r="F280" s="27"/>
      <c r="G280" s="27"/>
      <c r="H280" s="27"/>
      <c r="I280" s="27"/>
      <c r="J280" s="30"/>
      <c r="K280" s="30"/>
      <c r="L280" s="29"/>
      <c r="M280" s="27"/>
      <c r="N280" s="27"/>
      <c r="O280" s="27"/>
      <c r="P280" s="27"/>
      <c r="Q280" s="29"/>
      <c r="R280" s="29"/>
      <c r="S280" s="29"/>
      <c r="T280" s="29"/>
      <c r="U280" s="27"/>
      <c r="V280" s="29"/>
      <c r="W280" s="29"/>
      <c r="X280" s="29"/>
      <c r="Y280" s="31"/>
      <c r="Z280" s="29"/>
      <c r="AA280" s="30"/>
      <c r="AB280" s="32"/>
      <c r="AC280" s="30"/>
      <c r="AD280" s="33"/>
      <c r="AE280" s="29"/>
      <c r="AF280" s="29"/>
      <c r="AG280" s="29"/>
    </row>
    <row r="281" spans="1:33" ht="15" customHeight="1" x14ac:dyDescent="0.25">
      <c r="A281" s="5">
        <v>30</v>
      </c>
      <c r="B281" s="38">
        <v>44033</v>
      </c>
      <c r="C281" s="38">
        <v>44019</v>
      </c>
      <c r="D281" s="38">
        <v>44012</v>
      </c>
      <c r="E281" s="36">
        <v>44033</v>
      </c>
      <c r="F281" s="5">
        <v>1609</v>
      </c>
      <c r="G281" s="5" t="s">
        <v>91</v>
      </c>
      <c r="H281" s="5" t="s">
        <v>40</v>
      </c>
      <c r="I281" s="5" t="s">
        <v>92</v>
      </c>
      <c r="J281" s="21" t="s">
        <v>372</v>
      </c>
      <c r="K281" s="21" t="s">
        <v>1107</v>
      </c>
      <c r="L281" s="6" t="s">
        <v>1108</v>
      </c>
      <c r="M281" s="5">
        <v>13</v>
      </c>
      <c r="N281" s="5" t="s">
        <v>91</v>
      </c>
      <c r="O281" s="5" t="s">
        <v>91</v>
      </c>
      <c r="P281" s="5" t="s">
        <v>91</v>
      </c>
      <c r="Q281" s="6"/>
      <c r="R281" s="6" t="s">
        <v>776</v>
      </c>
      <c r="S281" s="6" t="s">
        <v>1109</v>
      </c>
      <c r="T281" s="6" t="s">
        <v>1110</v>
      </c>
      <c r="U281" s="5"/>
      <c r="V281" s="6"/>
      <c r="W281" s="6" t="s">
        <v>1111</v>
      </c>
      <c r="X281" s="6" t="s">
        <v>1112</v>
      </c>
      <c r="Y281" s="22">
        <v>21313559</v>
      </c>
      <c r="Z281" s="6"/>
      <c r="AA281" s="21" t="s">
        <v>1113</v>
      </c>
      <c r="AB281" s="23">
        <v>43997</v>
      </c>
      <c r="AC281" s="21" t="s">
        <v>33</v>
      </c>
      <c r="AD281" s="24" t="s">
        <v>1114</v>
      </c>
      <c r="AE281" s="6" t="s">
        <v>31</v>
      </c>
      <c r="AF281" s="6"/>
      <c r="AG281" s="6" t="s">
        <v>3042</v>
      </c>
    </row>
    <row r="282" spans="1:33" ht="15" customHeight="1" x14ac:dyDescent="0.25">
      <c r="A282" s="5">
        <v>30</v>
      </c>
      <c r="B282" s="38">
        <v>44033</v>
      </c>
      <c r="C282" s="38">
        <v>44019</v>
      </c>
      <c r="D282" s="38">
        <v>44012</v>
      </c>
      <c r="E282" s="36">
        <v>44033</v>
      </c>
      <c r="F282" s="5">
        <v>1609</v>
      </c>
      <c r="G282" s="5" t="s">
        <v>91</v>
      </c>
      <c r="H282" s="5" t="s">
        <v>40</v>
      </c>
      <c r="I282" s="5" t="s">
        <v>92</v>
      </c>
      <c r="J282" s="21" t="s">
        <v>372</v>
      </c>
      <c r="K282" s="21" t="s">
        <v>1115</v>
      </c>
      <c r="L282" s="6" t="s">
        <v>152</v>
      </c>
      <c r="M282" s="5">
        <v>5</v>
      </c>
      <c r="N282" s="5" t="s">
        <v>91</v>
      </c>
      <c r="O282" s="5" t="s">
        <v>91</v>
      </c>
      <c r="P282" s="5" t="s">
        <v>91</v>
      </c>
      <c r="Q282" s="6"/>
      <c r="R282" s="6" t="s">
        <v>776</v>
      </c>
      <c r="S282" s="6"/>
      <c r="T282" s="6"/>
      <c r="U282" s="5"/>
      <c r="V282" s="6"/>
      <c r="W282" s="6" t="s">
        <v>1111</v>
      </c>
      <c r="X282" s="6" t="s">
        <v>1112</v>
      </c>
      <c r="Y282" s="22">
        <v>21313560</v>
      </c>
      <c r="Z282" s="6"/>
      <c r="AA282" s="21" t="s">
        <v>1113</v>
      </c>
      <c r="AB282" s="23">
        <v>43997</v>
      </c>
      <c r="AC282" s="21" t="s">
        <v>30</v>
      </c>
      <c r="AD282" s="24" t="s">
        <v>1114</v>
      </c>
      <c r="AE282" s="6" t="s">
        <v>37</v>
      </c>
      <c r="AF282" s="6"/>
      <c r="AG282" s="6" t="s">
        <v>3039</v>
      </c>
    </row>
    <row r="283" spans="1:33" ht="7.5" customHeight="1" x14ac:dyDescent="0.25">
      <c r="A283" s="27"/>
      <c r="B283" s="39"/>
      <c r="C283" s="39"/>
      <c r="D283" s="39"/>
      <c r="E283" s="28"/>
      <c r="F283" s="27"/>
      <c r="G283" s="27"/>
      <c r="H283" s="27"/>
      <c r="I283" s="27"/>
      <c r="J283" s="30"/>
      <c r="K283" s="30"/>
      <c r="L283" s="29"/>
      <c r="M283" s="27"/>
      <c r="N283" s="27"/>
      <c r="O283" s="27"/>
      <c r="P283" s="27"/>
      <c r="Q283" s="29"/>
      <c r="R283" s="29"/>
      <c r="S283" s="29"/>
      <c r="T283" s="29"/>
      <c r="U283" s="27"/>
      <c r="V283" s="29"/>
      <c r="W283" s="29"/>
      <c r="X283" s="29"/>
      <c r="Y283" s="31"/>
      <c r="Z283" s="29"/>
      <c r="AA283" s="30"/>
      <c r="AB283" s="32"/>
      <c r="AC283" s="30"/>
      <c r="AD283" s="33"/>
      <c r="AE283" s="29"/>
      <c r="AF283" s="29"/>
      <c r="AG283" s="29"/>
    </row>
    <row r="284" spans="1:33" ht="15" customHeight="1" x14ac:dyDescent="0.25">
      <c r="A284" s="5">
        <v>29</v>
      </c>
      <c r="B284" s="38">
        <v>44028</v>
      </c>
      <c r="C284" s="38">
        <v>44019</v>
      </c>
      <c r="D284" s="38">
        <v>43963</v>
      </c>
      <c r="E284" s="35">
        <v>44028</v>
      </c>
      <c r="F284" s="5">
        <v>4754</v>
      </c>
      <c r="G284" s="5" t="s">
        <v>91</v>
      </c>
      <c r="H284" s="5" t="s">
        <v>43</v>
      </c>
      <c r="I284" s="5" t="s">
        <v>92</v>
      </c>
      <c r="J284" s="21" t="s">
        <v>109</v>
      </c>
      <c r="K284" s="21" t="s">
        <v>1039</v>
      </c>
      <c r="L284" s="6" t="s">
        <v>1040</v>
      </c>
      <c r="M284" s="5">
        <v>15</v>
      </c>
      <c r="N284" s="5" t="s">
        <v>91</v>
      </c>
      <c r="O284" s="5" t="s">
        <v>91</v>
      </c>
      <c r="P284" s="5" t="s">
        <v>91</v>
      </c>
      <c r="Q284" s="6" t="s">
        <v>559</v>
      </c>
      <c r="R284" s="6" t="s">
        <v>112</v>
      </c>
      <c r="S284" s="6"/>
      <c r="T284" s="6"/>
      <c r="U284" s="5"/>
      <c r="V284" s="6"/>
      <c r="W284" s="6" t="s">
        <v>1041</v>
      </c>
      <c r="X284" s="6"/>
      <c r="Y284" s="22"/>
      <c r="Z284" s="6">
        <v>5.9</v>
      </c>
      <c r="AA284" s="21">
        <v>14141</v>
      </c>
      <c r="AB284" s="23">
        <v>43958</v>
      </c>
      <c r="AC284" s="21" t="s">
        <v>32</v>
      </c>
      <c r="AD284" s="24" t="s">
        <v>1042</v>
      </c>
      <c r="AE284" s="6" t="s">
        <v>31</v>
      </c>
      <c r="AF284" s="6"/>
      <c r="AG284" s="6" t="s">
        <v>3041</v>
      </c>
    </row>
    <row r="285" spans="1:33" ht="7.5" customHeight="1" x14ac:dyDescent="0.25">
      <c r="A285" s="27"/>
      <c r="B285" s="39"/>
      <c r="C285" s="39"/>
      <c r="D285" s="39"/>
      <c r="E285" s="28"/>
      <c r="F285" s="27"/>
      <c r="G285" s="27"/>
      <c r="H285" s="27"/>
      <c r="I285" s="27"/>
      <c r="J285" s="30"/>
      <c r="K285" s="30"/>
      <c r="L285" s="29"/>
      <c r="M285" s="27"/>
      <c r="N285" s="27"/>
      <c r="O285" s="27"/>
      <c r="P285" s="27"/>
      <c r="Q285" s="29"/>
      <c r="R285" s="29"/>
      <c r="S285" s="29"/>
      <c r="T285" s="29"/>
      <c r="U285" s="27"/>
      <c r="V285" s="29"/>
      <c r="W285" s="29"/>
      <c r="X285" s="29"/>
      <c r="Y285" s="31"/>
      <c r="Z285" s="29"/>
      <c r="AA285" s="30"/>
      <c r="AB285" s="32"/>
      <c r="AC285" s="30"/>
      <c r="AD285" s="33"/>
      <c r="AE285" s="29"/>
      <c r="AF285" s="29"/>
      <c r="AG285" s="29"/>
    </row>
    <row r="286" spans="1:33" ht="15" customHeight="1" x14ac:dyDescent="0.25">
      <c r="A286" s="5">
        <v>30</v>
      </c>
      <c r="B286" s="38">
        <v>44035</v>
      </c>
      <c r="C286" s="38">
        <v>44019</v>
      </c>
      <c r="D286" s="38">
        <v>44000</v>
      </c>
      <c r="E286" s="36">
        <v>44035</v>
      </c>
      <c r="F286" s="5">
        <v>4785</v>
      </c>
      <c r="G286" s="5" t="s">
        <v>91</v>
      </c>
      <c r="H286" s="5" t="s">
        <v>43</v>
      </c>
      <c r="I286" s="5" t="s">
        <v>92</v>
      </c>
      <c r="J286" s="21" t="s">
        <v>109</v>
      </c>
      <c r="K286" s="21" t="s">
        <v>965</v>
      </c>
      <c r="L286" s="6" t="s">
        <v>1220</v>
      </c>
      <c r="M286" s="5">
        <v>0</v>
      </c>
      <c r="N286" s="5" t="s">
        <v>91</v>
      </c>
      <c r="O286" s="5" t="s">
        <v>91</v>
      </c>
      <c r="P286" s="5" t="s">
        <v>91</v>
      </c>
      <c r="Q286" s="6"/>
      <c r="R286" s="6" t="s">
        <v>112</v>
      </c>
      <c r="S286" s="6"/>
      <c r="T286" s="6"/>
      <c r="U286" s="5"/>
      <c r="V286" s="6" t="s">
        <v>113</v>
      </c>
      <c r="W286" s="6" t="s">
        <v>1221</v>
      </c>
      <c r="X286" s="6"/>
      <c r="Y286" s="22"/>
      <c r="Z286" s="6">
        <v>3.6</v>
      </c>
      <c r="AA286" s="21">
        <v>13427</v>
      </c>
      <c r="AB286" s="23">
        <v>44036</v>
      </c>
      <c r="AC286" s="21" t="s">
        <v>32</v>
      </c>
      <c r="AD286" s="24" t="s">
        <v>174</v>
      </c>
      <c r="AE286" s="6" t="s">
        <v>31</v>
      </c>
      <c r="AF286" s="6"/>
      <c r="AG286" s="6" t="s">
        <v>3040</v>
      </c>
    </row>
    <row r="287" spans="1:33" ht="7.5" customHeight="1" x14ac:dyDescent="0.25">
      <c r="A287" s="27"/>
      <c r="B287" s="39"/>
      <c r="C287" s="39"/>
      <c r="D287" s="39"/>
      <c r="E287" s="28"/>
      <c r="F287" s="27"/>
      <c r="G287" s="27"/>
      <c r="H287" s="27"/>
      <c r="I287" s="27"/>
      <c r="J287" s="30"/>
      <c r="K287" s="30"/>
      <c r="L287" s="29"/>
      <c r="M287" s="27"/>
      <c r="N287" s="27"/>
      <c r="O287" s="27"/>
      <c r="P287" s="27"/>
      <c r="Q287" s="29"/>
      <c r="R287" s="29"/>
      <c r="S287" s="29"/>
      <c r="T287" s="29"/>
      <c r="U287" s="27"/>
      <c r="V287" s="29"/>
      <c r="W287" s="29"/>
      <c r="X287" s="29"/>
      <c r="Y287" s="31"/>
      <c r="Z287" s="29"/>
      <c r="AA287" s="30"/>
      <c r="AB287" s="32"/>
      <c r="AC287" s="30"/>
      <c r="AD287" s="33"/>
      <c r="AE287" s="29"/>
      <c r="AF287" s="29"/>
      <c r="AG287" s="29"/>
    </row>
    <row r="288" spans="1:33" ht="15" customHeight="1" x14ac:dyDescent="0.25">
      <c r="A288" s="5">
        <v>31</v>
      </c>
      <c r="B288" s="38">
        <v>44040</v>
      </c>
      <c r="C288" s="38">
        <v>44019</v>
      </c>
      <c r="D288" s="38">
        <v>44012</v>
      </c>
      <c r="E288" s="28">
        <v>44040</v>
      </c>
      <c r="F288" s="5">
        <v>4787</v>
      </c>
      <c r="G288" s="5" t="s">
        <v>91</v>
      </c>
      <c r="H288" s="5" t="s">
        <v>41</v>
      </c>
      <c r="I288" s="5" t="s">
        <v>92</v>
      </c>
      <c r="J288" s="21" t="s">
        <v>109</v>
      </c>
      <c r="K288" s="21" t="s">
        <v>1320</v>
      </c>
      <c r="L288" s="6" t="s">
        <v>1321</v>
      </c>
      <c r="M288" s="5">
        <v>7</v>
      </c>
      <c r="N288" s="5" t="s">
        <v>91</v>
      </c>
      <c r="O288" s="5" t="s">
        <v>91</v>
      </c>
      <c r="P288" s="5" t="s">
        <v>91</v>
      </c>
      <c r="Q288" s="6"/>
      <c r="R288" s="6" t="s">
        <v>776</v>
      </c>
      <c r="S288" s="6"/>
      <c r="T288" s="6"/>
      <c r="U288" s="5"/>
      <c r="V288" s="6"/>
      <c r="W288" s="6" t="s">
        <v>1322</v>
      </c>
      <c r="X288" s="6"/>
      <c r="Y288" s="22"/>
      <c r="Z288" s="6"/>
      <c r="AA288" s="21">
        <v>15079</v>
      </c>
      <c r="AB288" s="23"/>
      <c r="AC288" s="21" t="s">
        <v>33</v>
      </c>
      <c r="AD288" s="24" t="s">
        <v>1323</v>
      </c>
      <c r="AE288" s="6" t="s">
        <v>31</v>
      </c>
      <c r="AF288" s="6"/>
      <c r="AG288" s="6" t="s">
        <v>3041</v>
      </c>
    </row>
    <row r="289" spans="1:33" ht="7.5" customHeight="1" x14ac:dyDescent="0.25">
      <c r="A289" s="27"/>
      <c r="B289" s="39"/>
      <c r="C289" s="39"/>
      <c r="D289" s="39"/>
      <c r="E289" s="28"/>
      <c r="F289" s="27"/>
      <c r="G289" s="27"/>
      <c r="H289" s="27"/>
      <c r="I289" s="27"/>
      <c r="J289" s="30"/>
      <c r="K289" s="30"/>
      <c r="L289" s="29"/>
      <c r="M289" s="27"/>
      <c r="N289" s="27"/>
      <c r="O289" s="27"/>
      <c r="P289" s="27"/>
      <c r="Q289" s="29"/>
      <c r="R289" s="29"/>
      <c r="S289" s="29"/>
      <c r="T289" s="29"/>
      <c r="U289" s="27"/>
      <c r="V289" s="29"/>
      <c r="W289" s="29"/>
      <c r="X289" s="29"/>
      <c r="Y289" s="31"/>
      <c r="Z289" s="29"/>
      <c r="AA289" s="30"/>
      <c r="AB289" s="32"/>
      <c r="AC289" s="30"/>
      <c r="AD289" s="33"/>
      <c r="AE289" s="29"/>
      <c r="AF289" s="29"/>
      <c r="AG289" s="29"/>
    </row>
    <row r="290" spans="1:33" ht="15" customHeight="1" x14ac:dyDescent="0.25">
      <c r="A290" s="5">
        <v>29</v>
      </c>
      <c r="B290" s="38">
        <v>44028</v>
      </c>
      <c r="C290" s="38">
        <v>44019</v>
      </c>
      <c r="D290" s="38">
        <v>43994</v>
      </c>
      <c r="E290" s="35">
        <v>44028</v>
      </c>
      <c r="F290" s="5">
        <v>8710</v>
      </c>
      <c r="G290" s="5" t="s">
        <v>91</v>
      </c>
      <c r="H290" s="5" t="s">
        <v>40</v>
      </c>
      <c r="I290" s="5" t="s">
        <v>92</v>
      </c>
      <c r="J290" s="21" t="s">
        <v>147</v>
      </c>
      <c r="K290" s="21" t="s">
        <v>873</v>
      </c>
      <c r="L290" s="6" t="s">
        <v>1047</v>
      </c>
      <c r="M290" s="5">
        <v>0</v>
      </c>
      <c r="N290" s="5" t="s">
        <v>91</v>
      </c>
      <c r="O290" s="5" t="s">
        <v>91</v>
      </c>
      <c r="P290" s="5" t="s">
        <v>91</v>
      </c>
      <c r="Q290" s="6" t="s">
        <v>559</v>
      </c>
      <c r="R290" s="6" t="s">
        <v>1048</v>
      </c>
      <c r="S290" s="6"/>
      <c r="T290" s="6"/>
      <c r="U290" s="5"/>
      <c r="V290" s="6"/>
      <c r="W290" s="6" t="s">
        <v>876</v>
      </c>
      <c r="X290" s="6"/>
      <c r="Y290" s="22"/>
      <c r="Z290" s="6"/>
      <c r="AA290" s="21"/>
      <c r="AB290" s="23">
        <v>44014</v>
      </c>
      <c r="AC290" s="21" t="s">
        <v>30</v>
      </c>
      <c r="AD290" s="24" t="s">
        <v>115</v>
      </c>
      <c r="AE290" s="6" t="s">
        <v>36</v>
      </c>
      <c r="AF290" s="6"/>
      <c r="AG290" s="6" t="s">
        <v>3039</v>
      </c>
    </row>
    <row r="291" spans="1:33" ht="7.5" customHeight="1" x14ac:dyDescent="0.25">
      <c r="A291" s="27"/>
      <c r="B291" s="39"/>
      <c r="C291" s="39"/>
      <c r="D291" s="39"/>
      <c r="E291" s="28"/>
      <c r="F291" s="27"/>
      <c r="G291" s="27"/>
      <c r="H291" s="27"/>
      <c r="I291" s="27"/>
      <c r="J291" s="30"/>
      <c r="K291" s="30"/>
      <c r="L291" s="29"/>
      <c r="M291" s="27"/>
      <c r="N291" s="27"/>
      <c r="O291" s="27"/>
      <c r="P291" s="27"/>
      <c r="Q291" s="29"/>
      <c r="R291" s="29"/>
      <c r="S291" s="29"/>
      <c r="T291" s="29"/>
      <c r="U291" s="27"/>
      <c r="V291" s="29"/>
      <c r="W291" s="29"/>
      <c r="X291" s="29"/>
      <c r="Y291" s="31"/>
      <c r="Z291" s="29"/>
      <c r="AA291" s="30"/>
      <c r="AB291" s="32"/>
      <c r="AC291" s="30"/>
      <c r="AD291" s="33"/>
      <c r="AE291" s="29"/>
      <c r="AF291" s="29"/>
      <c r="AG291" s="29"/>
    </row>
    <row r="292" spans="1:33" ht="15" customHeight="1" x14ac:dyDescent="0.25">
      <c r="A292" s="5">
        <v>30</v>
      </c>
      <c r="B292" s="38">
        <v>44033</v>
      </c>
      <c r="C292" s="38">
        <v>44019</v>
      </c>
      <c r="D292" s="38">
        <v>44012</v>
      </c>
      <c r="E292" s="36">
        <v>44033</v>
      </c>
      <c r="F292" s="5">
        <v>8704</v>
      </c>
      <c r="G292" s="5" t="s">
        <v>91</v>
      </c>
      <c r="H292" s="5" t="s">
        <v>43</v>
      </c>
      <c r="I292" s="5" t="s">
        <v>92</v>
      </c>
      <c r="J292" s="21" t="s">
        <v>147</v>
      </c>
      <c r="K292" s="21" t="s">
        <v>1137</v>
      </c>
      <c r="L292" s="6" t="s">
        <v>1138</v>
      </c>
      <c r="M292" s="5">
        <v>15</v>
      </c>
      <c r="N292" s="5" t="s">
        <v>91</v>
      </c>
      <c r="O292" s="5" t="s">
        <v>91</v>
      </c>
      <c r="P292" s="5" t="s">
        <v>91</v>
      </c>
      <c r="Q292" s="6" t="s">
        <v>741</v>
      </c>
      <c r="R292" s="6" t="s">
        <v>1062</v>
      </c>
      <c r="S292" s="6" t="s">
        <v>265</v>
      </c>
      <c r="T292" s="6" t="s">
        <v>1139</v>
      </c>
      <c r="U292" s="5" t="s">
        <v>1140</v>
      </c>
      <c r="V292" s="6"/>
      <c r="W292" s="6" t="s">
        <v>1141</v>
      </c>
      <c r="X292" s="6" t="s">
        <v>1142</v>
      </c>
      <c r="Y292" s="22">
        <v>2102088882</v>
      </c>
      <c r="Z292" s="6"/>
      <c r="AA292" s="21"/>
      <c r="AB292" s="23">
        <v>44007</v>
      </c>
      <c r="AC292" s="21" t="s">
        <v>30</v>
      </c>
      <c r="AD292" s="24" t="s">
        <v>1143</v>
      </c>
      <c r="AE292" s="6" t="s">
        <v>31</v>
      </c>
      <c r="AF292" s="6"/>
      <c r="AG292" s="6" t="s">
        <v>3041</v>
      </c>
    </row>
    <row r="293" spans="1:33" ht="7.5" customHeight="1" x14ac:dyDescent="0.25">
      <c r="A293" s="27"/>
      <c r="B293" s="39"/>
      <c r="C293" s="39"/>
      <c r="D293" s="39"/>
      <c r="E293" s="28"/>
      <c r="F293" s="27"/>
      <c r="G293" s="27"/>
      <c r="H293" s="27"/>
      <c r="I293" s="27"/>
      <c r="J293" s="30"/>
      <c r="K293" s="30"/>
      <c r="L293" s="29"/>
      <c r="M293" s="27"/>
      <c r="N293" s="27"/>
      <c r="O293" s="27"/>
      <c r="P293" s="27"/>
      <c r="Q293" s="29"/>
      <c r="R293" s="29"/>
      <c r="S293" s="29"/>
      <c r="T293" s="29"/>
      <c r="U293" s="27"/>
      <c r="V293" s="29"/>
      <c r="W293" s="29"/>
      <c r="X293" s="29"/>
      <c r="Y293" s="31"/>
      <c r="Z293" s="29"/>
      <c r="AA293" s="30"/>
      <c r="AB293" s="32"/>
      <c r="AC293" s="30"/>
      <c r="AD293" s="33"/>
      <c r="AE293" s="29"/>
      <c r="AF293" s="29"/>
      <c r="AG293" s="29"/>
    </row>
    <row r="294" spans="1:33" ht="15" customHeight="1" x14ac:dyDescent="0.25">
      <c r="A294" s="5">
        <v>31</v>
      </c>
      <c r="B294" s="38">
        <v>44041</v>
      </c>
      <c r="C294" s="38">
        <v>44020</v>
      </c>
      <c r="D294" s="38">
        <v>44013</v>
      </c>
      <c r="E294" s="28">
        <v>44041</v>
      </c>
      <c r="F294" s="5">
        <v>10668</v>
      </c>
      <c r="G294" s="5" t="s">
        <v>91</v>
      </c>
      <c r="H294" s="5" t="s">
        <v>43</v>
      </c>
      <c r="I294" s="5" t="s">
        <v>92</v>
      </c>
      <c r="J294" s="21" t="s">
        <v>170</v>
      </c>
      <c r="K294" s="21" t="s">
        <v>1330</v>
      </c>
      <c r="L294" s="6" t="s">
        <v>1331</v>
      </c>
      <c r="M294" s="5">
        <v>30</v>
      </c>
      <c r="N294" s="5" t="s">
        <v>91</v>
      </c>
      <c r="O294" s="5" t="s">
        <v>91</v>
      </c>
      <c r="P294" s="5" t="s">
        <v>91</v>
      </c>
      <c r="Q294" s="6"/>
      <c r="R294" s="6" t="s">
        <v>112</v>
      </c>
      <c r="S294" s="6"/>
      <c r="T294" s="6"/>
      <c r="U294" s="5"/>
      <c r="V294" s="6" t="s">
        <v>1332</v>
      </c>
      <c r="W294" s="6" t="s">
        <v>1333</v>
      </c>
      <c r="X294" s="6"/>
      <c r="Y294" s="22" t="s">
        <v>1334</v>
      </c>
      <c r="Z294" s="6"/>
      <c r="AA294" s="21" t="s">
        <v>1335</v>
      </c>
      <c r="AB294" s="23">
        <v>44020</v>
      </c>
      <c r="AC294" s="21" t="s">
        <v>30</v>
      </c>
      <c r="AD294" s="24" t="s">
        <v>1336</v>
      </c>
      <c r="AE294" s="6" t="s">
        <v>38</v>
      </c>
      <c r="AF294" s="6"/>
      <c r="AG294" s="6" t="s">
        <v>3039</v>
      </c>
    </row>
    <row r="295" spans="1:33" ht="15" customHeight="1" x14ac:dyDescent="0.25">
      <c r="A295" s="5">
        <v>31</v>
      </c>
      <c r="B295" s="38">
        <v>44041</v>
      </c>
      <c r="C295" s="38">
        <v>44020</v>
      </c>
      <c r="D295" s="38">
        <v>44013</v>
      </c>
      <c r="E295" s="28">
        <v>44041</v>
      </c>
      <c r="F295" s="5">
        <v>3029</v>
      </c>
      <c r="G295" s="5" t="s">
        <v>91</v>
      </c>
      <c r="H295" s="5" t="s">
        <v>40</v>
      </c>
      <c r="I295" s="5" t="s">
        <v>92</v>
      </c>
      <c r="J295" s="21" t="s">
        <v>93</v>
      </c>
      <c r="K295" s="21" t="s">
        <v>1337</v>
      </c>
      <c r="L295" s="6" t="s">
        <v>1338</v>
      </c>
      <c r="M295" s="5">
        <v>16</v>
      </c>
      <c r="N295" s="5" t="s">
        <v>91</v>
      </c>
      <c r="O295" s="5" t="s">
        <v>91</v>
      </c>
      <c r="P295" s="5" t="s">
        <v>91</v>
      </c>
      <c r="Q295" s="6"/>
      <c r="R295" s="6" t="s">
        <v>776</v>
      </c>
      <c r="S295" s="6" t="s">
        <v>265</v>
      </c>
      <c r="T295" s="6"/>
      <c r="U295" s="5"/>
      <c r="V295" s="6"/>
      <c r="W295" s="6" t="s">
        <v>1339</v>
      </c>
      <c r="X295" s="6" t="s">
        <v>1340</v>
      </c>
      <c r="Y295" s="22" t="s">
        <v>1341</v>
      </c>
      <c r="Z295" s="6" t="s">
        <v>428</v>
      </c>
      <c r="AA295" s="21">
        <v>10124</v>
      </c>
      <c r="AB295" s="23">
        <v>44020</v>
      </c>
      <c r="AC295" s="21" t="s">
        <v>30</v>
      </c>
      <c r="AD295" s="24" t="s">
        <v>1342</v>
      </c>
      <c r="AE295" s="6" t="s">
        <v>31</v>
      </c>
      <c r="AF295" s="6"/>
      <c r="AG295" s="6" t="s">
        <v>3040</v>
      </c>
    </row>
    <row r="296" spans="1:33" ht="7.5" customHeight="1" x14ac:dyDescent="0.25">
      <c r="A296" s="27"/>
      <c r="B296" s="39"/>
      <c r="C296" s="39"/>
      <c r="D296" s="39"/>
      <c r="E296" s="28"/>
      <c r="F296" s="27"/>
      <c r="G296" s="27"/>
      <c r="H296" s="27"/>
      <c r="I296" s="27"/>
      <c r="J296" s="30"/>
      <c r="K296" s="30"/>
      <c r="L296" s="29"/>
      <c r="M296" s="27"/>
      <c r="N296" s="27"/>
      <c r="O296" s="27"/>
      <c r="P296" s="27"/>
      <c r="Q296" s="29"/>
      <c r="R296" s="29"/>
      <c r="S296" s="29"/>
      <c r="T296" s="29"/>
      <c r="U296" s="27"/>
      <c r="V296" s="29"/>
      <c r="W296" s="29"/>
      <c r="X296" s="29"/>
      <c r="Y296" s="31"/>
      <c r="Z296" s="29"/>
      <c r="AA296" s="30"/>
      <c r="AB296" s="32"/>
      <c r="AC296" s="30"/>
      <c r="AD296" s="33"/>
      <c r="AE296" s="29"/>
      <c r="AF296" s="29"/>
      <c r="AG296" s="29"/>
    </row>
    <row r="297" spans="1:33" ht="15" customHeight="1" x14ac:dyDescent="0.25">
      <c r="A297" s="5">
        <v>30</v>
      </c>
      <c r="B297" s="38">
        <v>44034</v>
      </c>
      <c r="C297" s="38">
        <v>44020</v>
      </c>
      <c r="D297" s="38">
        <v>44013</v>
      </c>
      <c r="E297" s="36">
        <v>44034</v>
      </c>
      <c r="F297" s="5">
        <v>5586</v>
      </c>
      <c r="G297" s="5" t="s">
        <v>91</v>
      </c>
      <c r="H297" s="5" t="s">
        <v>40</v>
      </c>
      <c r="I297" s="5" t="s">
        <v>92</v>
      </c>
      <c r="J297" s="21" t="s">
        <v>131</v>
      </c>
      <c r="K297" s="21" t="s">
        <v>1018</v>
      </c>
      <c r="L297" s="6" t="s">
        <v>1171</v>
      </c>
      <c r="M297" s="5">
        <v>10</v>
      </c>
      <c r="N297" s="5" t="s">
        <v>91</v>
      </c>
      <c r="O297" s="5" t="s">
        <v>91</v>
      </c>
      <c r="P297" s="5" t="s">
        <v>91</v>
      </c>
      <c r="Q297" s="6"/>
      <c r="R297" s="6" t="s">
        <v>112</v>
      </c>
      <c r="S297" s="6"/>
      <c r="T297" s="6"/>
      <c r="U297" s="5"/>
      <c r="V297" s="6" t="s">
        <v>1172</v>
      </c>
      <c r="W297" s="6" t="s">
        <v>794</v>
      </c>
      <c r="X297" s="6"/>
      <c r="Y297" s="22"/>
      <c r="Z297" s="6">
        <v>4</v>
      </c>
      <c r="AA297" s="21"/>
      <c r="AB297" s="23">
        <v>44014</v>
      </c>
      <c r="AC297" s="21" t="s">
        <v>32</v>
      </c>
      <c r="AD297" s="24" t="s">
        <v>1173</v>
      </c>
      <c r="AE297" s="6" t="s">
        <v>36</v>
      </c>
      <c r="AF297" s="6"/>
      <c r="AG297" s="6" t="s">
        <v>3039</v>
      </c>
    </row>
    <row r="298" spans="1:33" ht="15" customHeight="1" x14ac:dyDescent="0.25">
      <c r="A298" s="5">
        <v>30</v>
      </c>
      <c r="B298" s="38">
        <v>44034</v>
      </c>
      <c r="C298" s="38">
        <v>44020</v>
      </c>
      <c r="D298" s="38">
        <v>44013</v>
      </c>
      <c r="E298" s="36">
        <v>44034</v>
      </c>
      <c r="F298" s="5">
        <v>5590</v>
      </c>
      <c r="G298" s="5" t="s">
        <v>91</v>
      </c>
      <c r="H298" s="5" t="s">
        <v>40</v>
      </c>
      <c r="I298" s="5" t="s">
        <v>92</v>
      </c>
      <c r="J298" s="21" t="s">
        <v>131</v>
      </c>
      <c r="K298" s="21" t="s">
        <v>1176</v>
      </c>
      <c r="L298" s="6" t="s">
        <v>1177</v>
      </c>
      <c r="M298" s="5">
        <v>0</v>
      </c>
      <c r="N298" s="5" t="s">
        <v>91</v>
      </c>
      <c r="O298" s="5" t="s">
        <v>91</v>
      </c>
      <c r="P298" s="5" t="s">
        <v>91</v>
      </c>
      <c r="Q298" s="6"/>
      <c r="R298" s="6" t="s">
        <v>112</v>
      </c>
      <c r="S298" s="6"/>
      <c r="T298" s="6"/>
      <c r="U298" s="5"/>
      <c r="V298" s="6"/>
      <c r="W298" s="6" t="s">
        <v>794</v>
      </c>
      <c r="X298" s="6"/>
      <c r="Y298" s="22"/>
      <c r="Z298" s="6"/>
      <c r="AA298" s="21"/>
      <c r="AB298" s="23">
        <v>44019</v>
      </c>
      <c r="AC298" s="21" t="s">
        <v>32</v>
      </c>
      <c r="AD298" s="24" t="s">
        <v>1178</v>
      </c>
      <c r="AE298" s="6" t="s">
        <v>31</v>
      </c>
      <c r="AF298" s="6"/>
      <c r="AG298" s="6" t="s">
        <v>3041</v>
      </c>
    </row>
    <row r="299" spans="1:33" ht="15" customHeight="1" x14ac:dyDescent="0.25">
      <c r="A299" s="5">
        <v>30</v>
      </c>
      <c r="B299" s="38">
        <v>44034</v>
      </c>
      <c r="C299" s="38">
        <v>44020</v>
      </c>
      <c r="D299" s="38">
        <v>44013</v>
      </c>
      <c r="E299" s="36">
        <v>44034</v>
      </c>
      <c r="F299" s="5">
        <v>5591</v>
      </c>
      <c r="G299" s="5" t="s">
        <v>91</v>
      </c>
      <c r="H299" s="5" t="s">
        <v>43</v>
      </c>
      <c r="I299" s="5" t="s">
        <v>92</v>
      </c>
      <c r="J299" s="21" t="s">
        <v>131</v>
      </c>
      <c r="K299" s="21" t="s">
        <v>1179</v>
      </c>
      <c r="L299" s="6" t="s">
        <v>1180</v>
      </c>
      <c r="M299" s="5">
        <v>0</v>
      </c>
      <c r="N299" s="5" t="s">
        <v>91</v>
      </c>
      <c r="O299" s="5" t="s">
        <v>91</v>
      </c>
      <c r="P299" s="5" t="s">
        <v>91</v>
      </c>
      <c r="Q299" s="6"/>
      <c r="R299" s="6" t="s">
        <v>112</v>
      </c>
      <c r="S299" s="6"/>
      <c r="T299" s="6"/>
      <c r="U299" s="5"/>
      <c r="V299" s="6"/>
      <c r="W299" s="6" t="s">
        <v>794</v>
      </c>
      <c r="X299" s="6"/>
      <c r="Y299" s="22"/>
      <c r="Z299" s="6"/>
      <c r="AA299" s="21"/>
      <c r="AB299" s="23">
        <v>44019</v>
      </c>
      <c r="AC299" s="21" t="s">
        <v>32</v>
      </c>
      <c r="AD299" s="24" t="s">
        <v>1181</v>
      </c>
      <c r="AE299" s="6" t="s">
        <v>37</v>
      </c>
      <c r="AF299" s="6"/>
      <c r="AG299" s="6" t="s">
        <v>3042</v>
      </c>
    </row>
    <row r="300" spans="1:33" ht="15" customHeight="1" x14ac:dyDescent="0.25">
      <c r="A300" s="5">
        <v>30</v>
      </c>
      <c r="B300" s="38">
        <v>44034</v>
      </c>
      <c r="C300" s="38">
        <v>44020</v>
      </c>
      <c r="D300" s="38">
        <v>44013</v>
      </c>
      <c r="E300" s="36">
        <v>44034</v>
      </c>
      <c r="F300" s="5">
        <v>5592</v>
      </c>
      <c r="G300" s="5" t="s">
        <v>91</v>
      </c>
      <c r="H300" s="5" t="s">
        <v>43</v>
      </c>
      <c r="I300" s="5" t="s">
        <v>92</v>
      </c>
      <c r="J300" s="21" t="s">
        <v>131</v>
      </c>
      <c r="K300" s="21" t="s">
        <v>1182</v>
      </c>
      <c r="L300" s="6" t="s">
        <v>1183</v>
      </c>
      <c r="M300" s="5">
        <v>1</v>
      </c>
      <c r="N300" s="5" t="s">
        <v>91</v>
      </c>
      <c r="O300" s="5" t="s">
        <v>91</v>
      </c>
      <c r="P300" s="5" t="s">
        <v>91</v>
      </c>
      <c r="Q300" s="6"/>
      <c r="R300" s="6" t="s">
        <v>112</v>
      </c>
      <c r="S300" s="6"/>
      <c r="T300" s="6"/>
      <c r="U300" s="5"/>
      <c r="V300" s="6"/>
      <c r="W300" s="6" t="s">
        <v>794</v>
      </c>
      <c r="X300" s="6" t="s">
        <v>428</v>
      </c>
      <c r="Y300" s="22"/>
      <c r="Z300" s="6"/>
      <c r="AA300" s="21"/>
      <c r="AB300" s="23">
        <v>44020</v>
      </c>
      <c r="AC300" s="21" t="s">
        <v>32</v>
      </c>
      <c r="AD300" s="24" t="s">
        <v>1184</v>
      </c>
      <c r="AE300" s="6" t="s">
        <v>38</v>
      </c>
      <c r="AF300" s="6"/>
      <c r="AG300" s="6" t="s">
        <v>3039</v>
      </c>
    </row>
    <row r="301" spans="1:33" ht="15" customHeight="1" x14ac:dyDescent="0.25">
      <c r="A301" s="5">
        <v>30</v>
      </c>
      <c r="B301" s="38">
        <v>44034</v>
      </c>
      <c r="C301" s="38">
        <v>44020</v>
      </c>
      <c r="D301" s="38">
        <v>44013</v>
      </c>
      <c r="E301" s="36">
        <v>44034</v>
      </c>
      <c r="F301" s="5">
        <v>5594</v>
      </c>
      <c r="G301" s="5" t="s">
        <v>91</v>
      </c>
      <c r="H301" s="5" t="s">
        <v>40</v>
      </c>
      <c r="I301" s="5" t="s">
        <v>92</v>
      </c>
      <c r="J301" s="21" t="s">
        <v>131</v>
      </c>
      <c r="K301" s="21" t="s">
        <v>1185</v>
      </c>
      <c r="L301" s="6" t="s">
        <v>805</v>
      </c>
      <c r="M301" s="5">
        <v>1</v>
      </c>
      <c r="N301" s="5" t="s">
        <v>91</v>
      </c>
      <c r="O301" s="5" t="s">
        <v>91</v>
      </c>
      <c r="P301" s="5" t="s">
        <v>91</v>
      </c>
      <c r="Q301" s="6"/>
      <c r="R301" s="6" t="s">
        <v>112</v>
      </c>
      <c r="S301" s="6"/>
      <c r="T301" s="6"/>
      <c r="U301" s="5"/>
      <c r="V301" s="6"/>
      <c r="W301" s="6" t="s">
        <v>794</v>
      </c>
      <c r="X301" s="6"/>
      <c r="Y301" s="22"/>
      <c r="Z301" s="6"/>
      <c r="AA301" s="21"/>
      <c r="AB301" s="23">
        <v>44021</v>
      </c>
      <c r="AC301" s="21" t="s">
        <v>30</v>
      </c>
      <c r="AD301" s="24" t="s">
        <v>1186</v>
      </c>
      <c r="AE301" s="6" t="s">
        <v>31</v>
      </c>
      <c r="AF301" s="6"/>
      <c r="AG301" s="6" t="s">
        <v>3040</v>
      </c>
    </row>
    <row r="302" spans="1:33" ht="15" customHeight="1" x14ac:dyDescent="0.25">
      <c r="A302" s="5">
        <v>30</v>
      </c>
      <c r="B302" s="38">
        <v>44034</v>
      </c>
      <c r="C302" s="38">
        <v>44020</v>
      </c>
      <c r="D302" s="38">
        <v>44013</v>
      </c>
      <c r="E302" s="36">
        <v>44034</v>
      </c>
      <c r="F302" s="5">
        <v>6696</v>
      </c>
      <c r="G302" s="5" t="s">
        <v>91</v>
      </c>
      <c r="H302" s="5" t="s">
        <v>40</v>
      </c>
      <c r="I302" s="5" t="s">
        <v>92</v>
      </c>
      <c r="J302" s="21" t="s">
        <v>191</v>
      </c>
      <c r="K302" s="21" t="s">
        <v>1187</v>
      </c>
      <c r="L302" s="6" t="s">
        <v>1188</v>
      </c>
      <c r="M302" s="5">
        <v>13</v>
      </c>
      <c r="N302" s="5" t="s">
        <v>91</v>
      </c>
      <c r="O302" s="5" t="s">
        <v>91</v>
      </c>
      <c r="P302" s="5" t="s">
        <v>91</v>
      </c>
      <c r="Q302" s="6"/>
      <c r="R302" s="6" t="s">
        <v>1189</v>
      </c>
      <c r="S302" s="6"/>
      <c r="T302" s="6"/>
      <c r="U302" s="5"/>
      <c r="V302" s="6" t="s">
        <v>1190</v>
      </c>
      <c r="W302" s="6" t="s">
        <v>1191</v>
      </c>
      <c r="X302" s="6"/>
      <c r="Y302" s="22"/>
      <c r="Z302" s="6">
        <v>3</v>
      </c>
      <c r="AA302" s="21"/>
      <c r="AB302" s="23"/>
      <c r="AC302" s="21" t="s">
        <v>32</v>
      </c>
      <c r="AD302" s="24" t="s">
        <v>1192</v>
      </c>
      <c r="AE302" s="6" t="s">
        <v>36</v>
      </c>
      <c r="AF302" s="6"/>
      <c r="AG302" s="6" t="s">
        <v>3041</v>
      </c>
    </row>
    <row r="303" spans="1:33" ht="15" customHeight="1" x14ac:dyDescent="0.25">
      <c r="A303" s="5">
        <v>30</v>
      </c>
      <c r="B303" s="38">
        <v>44034</v>
      </c>
      <c r="C303" s="38">
        <v>44020</v>
      </c>
      <c r="D303" s="38">
        <v>44013</v>
      </c>
      <c r="E303" s="36">
        <v>44034</v>
      </c>
      <c r="F303" s="5">
        <v>6698</v>
      </c>
      <c r="G303" s="5" t="s">
        <v>91</v>
      </c>
      <c r="H303" s="5" t="s">
        <v>41</v>
      </c>
      <c r="I303" s="5" t="s">
        <v>92</v>
      </c>
      <c r="J303" s="21" t="s">
        <v>191</v>
      </c>
      <c r="K303" s="21" t="s">
        <v>1193</v>
      </c>
      <c r="L303" s="6" t="s">
        <v>1194</v>
      </c>
      <c r="M303" s="5">
        <v>7</v>
      </c>
      <c r="N303" s="5" t="s">
        <v>91</v>
      </c>
      <c r="O303" s="5" t="s">
        <v>91</v>
      </c>
      <c r="P303" s="5" t="s">
        <v>91</v>
      </c>
      <c r="Q303" s="6"/>
      <c r="R303" s="6" t="s">
        <v>1189</v>
      </c>
      <c r="S303" s="6"/>
      <c r="T303" s="6"/>
      <c r="U303" s="5"/>
      <c r="V303" s="6"/>
      <c r="W303" s="6" t="s">
        <v>1195</v>
      </c>
      <c r="X303" s="6"/>
      <c r="Y303" s="22"/>
      <c r="Z303" s="6">
        <v>2</v>
      </c>
      <c r="AA303" s="21"/>
      <c r="AB303" s="23">
        <v>44018</v>
      </c>
      <c r="AC303" s="21" t="s">
        <v>30</v>
      </c>
      <c r="AD303" s="24" t="s">
        <v>1196</v>
      </c>
      <c r="AE303" s="6" t="s">
        <v>31</v>
      </c>
      <c r="AF303" s="6"/>
      <c r="AG303" s="6" t="s">
        <v>3042</v>
      </c>
    </row>
    <row r="304" spans="1:33" ht="15" customHeight="1" x14ac:dyDescent="0.25">
      <c r="A304" s="5">
        <v>30</v>
      </c>
      <c r="B304" s="38">
        <v>44034</v>
      </c>
      <c r="C304" s="38">
        <v>44020</v>
      </c>
      <c r="D304" s="38">
        <v>44013</v>
      </c>
      <c r="E304" s="36">
        <v>44034</v>
      </c>
      <c r="F304" s="5">
        <v>6701</v>
      </c>
      <c r="G304" s="5" t="s">
        <v>91</v>
      </c>
      <c r="H304" s="5" t="s">
        <v>43</v>
      </c>
      <c r="I304" s="5" t="s">
        <v>92</v>
      </c>
      <c r="J304" s="21" t="s">
        <v>191</v>
      </c>
      <c r="K304" s="21" t="s">
        <v>1197</v>
      </c>
      <c r="L304" s="6" t="s">
        <v>738</v>
      </c>
      <c r="M304" s="5">
        <v>1</v>
      </c>
      <c r="N304" s="5" t="s">
        <v>91</v>
      </c>
      <c r="O304" s="5" t="s">
        <v>91</v>
      </c>
      <c r="P304" s="5" t="s">
        <v>91</v>
      </c>
      <c r="Q304" s="6"/>
      <c r="R304" s="6" t="s">
        <v>1189</v>
      </c>
      <c r="S304" s="6"/>
      <c r="T304" s="6"/>
      <c r="U304" s="5"/>
      <c r="V304" s="6"/>
      <c r="W304" s="6" t="s">
        <v>1198</v>
      </c>
      <c r="X304" s="6"/>
      <c r="Y304" s="22"/>
      <c r="Z304" s="6"/>
      <c r="AA304" s="21"/>
      <c r="AB304" s="23">
        <v>44020</v>
      </c>
      <c r="AC304" s="21" t="s">
        <v>30</v>
      </c>
      <c r="AD304" s="24" t="s">
        <v>1199</v>
      </c>
      <c r="AE304" s="6" t="s">
        <v>31</v>
      </c>
      <c r="AF304" s="6"/>
      <c r="AG304" s="6" t="s">
        <v>3039</v>
      </c>
    </row>
    <row r="305" spans="1:33" ht="15" customHeight="1" x14ac:dyDescent="0.25">
      <c r="A305" s="5">
        <v>30</v>
      </c>
      <c r="B305" s="38">
        <v>44034</v>
      </c>
      <c r="C305" s="38">
        <v>44020</v>
      </c>
      <c r="D305" s="38">
        <v>44013</v>
      </c>
      <c r="E305" s="36">
        <v>44034</v>
      </c>
      <c r="F305" s="5">
        <v>6702</v>
      </c>
      <c r="G305" s="5" t="s">
        <v>91</v>
      </c>
      <c r="H305" s="5" t="s">
        <v>41</v>
      </c>
      <c r="I305" s="5" t="s">
        <v>92</v>
      </c>
      <c r="J305" s="21" t="s">
        <v>191</v>
      </c>
      <c r="K305" s="21" t="s">
        <v>1200</v>
      </c>
      <c r="L305" s="6" t="s">
        <v>1201</v>
      </c>
      <c r="M305" s="5">
        <v>9</v>
      </c>
      <c r="N305" s="5" t="s">
        <v>91</v>
      </c>
      <c r="O305" s="5" t="s">
        <v>91</v>
      </c>
      <c r="P305" s="5" t="s">
        <v>91</v>
      </c>
      <c r="Q305" s="6"/>
      <c r="R305" s="6" t="s">
        <v>1189</v>
      </c>
      <c r="S305" s="6"/>
      <c r="T305" s="6"/>
      <c r="U305" s="5"/>
      <c r="V305" s="6"/>
      <c r="W305" s="6" t="s">
        <v>1202</v>
      </c>
      <c r="X305" s="6"/>
      <c r="Y305" s="22"/>
      <c r="Z305" s="6">
        <v>2</v>
      </c>
      <c r="AA305" s="21"/>
      <c r="AB305" s="23">
        <v>44020</v>
      </c>
      <c r="AC305" s="21" t="s">
        <v>30</v>
      </c>
      <c r="AD305" s="24" t="s">
        <v>1203</v>
      </c>
      <c r="AE305" s="6" t="s">
        <v>37</v>
      </c>
      <c r="AF305" s="6"/>
      <c r="AG305" s="6" t="s">
        <v>3040</v>
      </c>
    </row>
    <row r="306" spans="1:33" ht="15" customHeight="1" x14ac:dyDescent="0.25">
      <c r="A306" s="5">
        <v>30</v>
      </c>
      <c r="B306" s="38">
        <v>44034</v>
      </c>
      <c r="C306" s="38">
        <v>44020</v>
      </c>
      <c r="D306" s="38">
        <v>44013</v>
      </c>
      <c r="E306" s="36">
        <v>44034</v>
      </c>
      <c r="F306" s="5">
        <v>8707</v>
      </c>
      <c r="G306" s="5" t="s">
        <v>91</v>
      </c>
      <c r="H306" s="5" t="s">
        <v>41</v>
      </c>
      <c r="I306" s="5" t="s">
        <v>92</v>
      </c>
      <c r="J306" s="21" t="s">
        <v>147</v>
      </c>
      <c r="K306" s="21" t="s">
        <v>1204</v>
      </c>
      <c r="L306" s="6" t="s">
        <v>1205</v>
      </c>
      <c r="M306" s="5">
        <v>0</v>
      </c>
      <c r="N306" s="5" t="s">
        <v>91</v>
      </c>
      <c r="O306" s="5" t="s">
        <v>91</v>
      </c>
      <c r="P306" s="5" t="s">
        <v>91</v>
      </c>
      <c r="Q306" s="6" t="s">
        <v>1206</v>
      </c>
      <c r="R306" s="6" t="s">
        <v>1207</v>
      </c>
      <c r="S306" s="6"/>
      <c r="T306" s="6"/>
      <c r="U306" s="5"/>
      <c r="V306" s="6"/>
      <c r="W306" s="6"/>
      <c r="X306" s="6" t="s">
        <v>1208</v>
      </c>
      <c r="Y306" s="22" t="s">
        <v>1209</v>
      </c>
      <c r="Z306" s="6"/>
      <c r="AA306" s="21"/>
      <c r="AB306" s="23">
        <v>44012</v>
      </c>
      <c r="AC306" s="21" t="s">
        <v>30</v>
      </c>
      <c r="AD306" s="24" t="s">
        <v>1210</v>
      </c>
      <c r="AE306" s="6" t="s">
        <v>34</v>
      </c>
      <c r="AF306" s="6"/>
      <c r="AG306" s="6" t="s">
        <v>3041</v>
      </c>
    </row>
    <row r="307" spans="1:33" ht="7.5" customHeight="1" x14ac:dyDescent="0.25">
      <c r="A307" s="27"/>
      <c r="B307" s="39"/>
      <c r="C307" s="39"/>
      <c r="D307" s="39"/>
      <c r="E307" s="28"/>
      <c r="F307" s="27"/>
      <c r="G307" s="27"/>
      <c r="H307" s="27"/>
      <c r="I307" s="27"/>
      <c r="J307" s="30"/>
      <c r="K307" s="30"/>
      <c r="L307" s="29"/>
      <c r="M307" s="27"/>
      <c r="N307" s="27"/>
      <c r="O307" s="27"/>
      <c r="P307" s="27"/>
      <c r="Q307" s="29"/>
      <c r="R307" s="29"/>
      <c r="S307" s="29"/>
      <c r="T307" s="29"/>
      <c r="U307" s="27"/>
      <c r="V307" s="29"/>
      <c r="W307" s="29"/>
      <c r="X307" s="29"/>
      <c r="Y307" s="31"/>
      <c r="Z307" s="29"/>
      <c r="AA307" s="30"/>
      <c r="AB307" s="32"/>
      <c r="AC307" s="30"/>
      <c r="AD307" s="33"/>
      <c r="AE307" s="29"/>
      <c r="AF307" s="29"/>
      <c r="AG307" s="29"/>
    </row>
    <row r="308" spans="1:33" ht="15" customHeight="1" x14ac:dyDescent="0.25">
      <c r="A308" s="5">
        <v>30</v>
      </c>
      <c r="B308" s="38">
        <v>44036</v>
      </c>
      <c r="C308" s="38">
        <v>44020</v>
      </c>
      <c r="D308" s="38">
        <v>44015</v>
      </c>
      <c r="E308" s="36">
        <v>44036</v>
      </c>
      <c r="F308" s="5">
        <v>8706</v>
      </c>
      <c r="G308" s="5" t="s">
        <v>91</v>
      </c>
      <c r="H308" s="5" t="s">
        <v>41</v>
      </c>
      <c r="I308" s="5" t="s">
        <v>92</v>
      </c>
      <c r="J308" s="21" t="s">
        <v>147</v>
      </c>
      <c r="K308" s="21" t="s">
        <v>1253</v>
      </c>
      <c r="L308" s="6" t="s">
        <v>1254</v>
      </c>
      <c r="M308" s="5">
        <v>19</v>
      </c>
      <c r="N308" s="5" t="s">
        <v>91</v>
      </c>
      <c r="O308" s="5" t="s">
        <v>91</v>
      </c>
      <c r="P308" s="5" t="s">
        <v>91</v>
      </c>
      <c r="Q308" s="6"/>
      <c r="R308" s="6" t="s">
        <v>1239</v>
      </c>
      <c r="S308" s="6" t="s">
        <v>668</v>
      </c>
      <c r="T308" s="6"/>
      <c r="U308" s="5"/>
      <c r="V308" s="6" t="s">
        <v>1255</v>
      </c>
      <c r="W308" s="6" t="s">
        <v>1256</v>
      </c>
      <c r="X308" s="6" t="s">
        <v>1257</v>
      </c>
      <c r="Y308" s="22" t="s">
        <v>1258</v>
      </c>
      <c r="Z308" s="6"/>
      <c r="AA308" s="21"/>
      <c r="AB308" s="23">
        <v>44008</v>
      </c>
      <c r="AC308" s="21" t="s">
        <v>32</v>
      </c>
      <c r="AD308" s="24" t="s">
        <v>1259</v>
      </c>
      <c r="AE308" s="6" t="s">
        <v>31</v>
      </c>
      <c r="AF308" s="6"/>
      <c r="AG308" s="6" t="s">
        <v>3041</v>
      </c>
    </row>
    <row r="309" spans="1:33" ht="15" customHeight="1" x14ac:dyDescent="0.25">
      <c r="A309" s="5">
        <v>30</v>
      </c>
      <c r="B309" s="38">
        <v>44036</v>
      </c>
      <c r="C309" s="38">
        <v>44020</v>
      </c>
      <c r="D309" s="38">
        <v>43991</v>
      </c>
      <c r="E309" s="36">
        <v>44036</v>
      </c>
      <c r="F309" s="5">
        <v>8665</v>
      </c>
      <c r="G309" s="5" t="s">
        <v>91</v>
      </c>
      <c r="H309" s="5" t="s">
        <v>41</v>
      </c>
      <c r="I309" s="5" t="s">
        <v>92</v>
      </c>
      <c r="J309" s="21" t="s">
        <v>147</v>
      </c>
      <c r="K309" s="21" t="s">
        <v>711</v>
      </c>
      <c r="L309" s="6" t="s">
        <v>703</v>
      </c>
      <c r="M309" s="5">
        <v>16</v>
      </c>
      <c r="N309" s="5" t="s">
        <v>91</v>
      </c>
      <c r="O309" s="5" t="s">
        <v>91</v>
      </c>
      <c r="P309" s="5" t="s">
        <v>91</v>
      </c>
      <c r="Q309" s="6" t="s">
        <v>741</v>
      </c>
      <c r="R309" s="6" t="s">
        <v>1263</v>
      </c>
      <c r="S309" s="6" t="s">
        <v>1264</v>
      </c>
      <c r="T309" s="6"/>
      <c r="U309" s="5"/>
      <c r="V309" s="6" t="s">
        <v>1265</v>
      </c>
      <c r="W309" s="6" t="s">
        <v>712</v>
      </c>
      <c r="X309" s="6"/>
      <c r="Y309" s="22"/>
      <c r="Z309" s="6"/>
      <c r="AA309" s="21"/>
      <c r="AB309" s="23">
        <v>43902</v>
      </c>
      <c r="AC309" s="21" t="s">
        <v>32</v>
      </c>
      <c r="AD309" s="24" t="s">
        <v>1266</v>
      </c>
      <c r="AE309" s="6" t="s">
        <v>31</v>
      </c>
      <c r="AF309" s="6"/>
      <c r="AG309" s="6" t="s">
        <v>3039</v>
      </c>
    </row>
    <row r="310" spans="1:33" ht="7.5" customHeight="1" x14ac:dyDescent="0.25">
      <c r="A310" s="27"/>
      <c r="B310" s="39"/>
      <c r="C310" s="39"/>
      <c r="D310" s="39"/>
      <c r="E310" s="28"/>
      <c r="F310" s="27"/>
      <c r="G310" s="27"/>
      <c r="H310" s="27"/>
      <c r="I310" s="27"/>
      <c r="J310" s="30"/>
      <c r="K310" s="30"/>
      <c r="L310" s="29"/>
      <c r="M310" s="27"/>
      <c r="N310" s="27"/>
      <c r="O310" s="27"/>
      <c r="P310" s="27"/>
      <c r="Q310" s="29"/>
      <c r="R310" s="29"/>
      <c r="S310" s="29"/>
      <c r="T310" s="29"/>
      <c r="U310" s="27"/>
      <c r="V310" s="29"/>
      <c r="W310" s="29"/>
      <c r="X310" s="29"/>
      <c r="Y310" s="31"/>
      <c r="Z310" s="29"/>
      <c r="AA310" s="30"/>
      <c r="AB310" s="32"/>
      <c r="AC310" s="30"/>
      <c r="AD310" s="33"/>
      <c r="AE310" s="29"/>
      <c r="AF310" s="29"/>
      <c r="AG310" s="29"/>
    </row>
    <row r="311" spans="1:33" ht="15" customHeight="1" x14ac:dyDescent="0.25">
      <c r="A311" s="5">
        <v>31</v>
      </c>
      <c r="B311" s="38">
        <v>44039</v>
      </c>
      <c r="C311" s="38">
        <v>44021</v>
      </c>
      <c r="D311" s="38">
        <v>44013</v>
      </c>
      <c r="E311" s="28">
        <v>44039</v>
      </c>
      <c r="F311" s="5">
        <v>10667</v>
      </c>
      <c r="G311" s="5" t="s">
        <v>91</v>
      </c>
      <c r="H311" s="5" t="s">
        <v>43</v>
      </c>
      <c r="I311" s="5" t="s">
        <v>92</v>
      </c>
      <c r="J311" s="21" t="s">
        <v>170</v>
      </c>
      <c r="K311" s="21" t="s">
        <v>1280</v>
      </c>
      <c r="L311" s="6" t="s">
        <v>1281</v>
      </c>
      <c r="M311" s="5">
        <v>13</v>
      </c>
      <c r="N311" s="5" t="s">
        <v>91</v>
      </c>
      <c r="O311" s="5" t="s">
        <v>91</v>
      </c>
      <c r="P311" s="5" t="s">
        <v>91</v>
      </c>
      <c r="Q311" s="6"/>
      <c r="R311" s="6" t="s">
        <v>112</v>
      </c>
      <c r="S311" s="6"/>
      <c r="T311" s="6"/>
      <c r="U311" s="5"/>
      <c r="V311" s="6"/>
      <c r="W311" s="6" t="s">
        <v>838</v>
      </c>
      <c r="X311" s="6" t="s">
        <v>832</v>
      </c>
      <c r="Y311" s="22" t="s">
        <v>1282</v>
      </c>
      <c r="Z311" s="6">
        <v>4.5</v>
      </c>
      <c r="AA311" s="21" t="s">
        <v>1283</v>
      </c>
      <c r="AB311" s="23">
        <v>44020</v>
      </c>
      <c r="AC311" s="21" t="s">
        <v>32</v>
      </c>
      <c r="AD311" s="24" t="s">
        <v>1284</v>
      </c>
      <c r="AE311" s="6" t="s">
        <v>38</v>
      </c>
      <c r="AF311" s="6"/>
      <c r="AG311" s="6" t="s">
        <v>3040</v>
      </c>
    </row>
    <row r="312" spans="1:33" ht="7.5" customHeight="1" x14ac:dyDescent="0.25">
      <c r="A312" s="27"/>
      <c r="B312" s="39"/>
      <c r="C312" s="39"/>
      <c r="D312" s="39"/>
      <c r="E312" s="28"/>
      <c r="F312" s="27"/>
      <c r="G312" s="27"/>
      <c r="H312" s="27"/>
      <c r="I312" s="27"/>
      <c r="J312" s="30"/>
      <c r="K312" s="30"/>
      <c r="L312" s="29"/>
      <c r="M312" s="27"/>
      <c r="N312" s="27"/>
      <c r="O312" s="27"/>
      <c r="P312" s="27"/>
      <c r="Q312" s="29"/>
      <c r="R312" s="29"/>
      <c r="S312" s="29"/>
      <c r="T312" s="29"/>
      <c r="U312" s="27"/>
      <c r="V312" s="29"/>
      <c r="W312" s="29"/>
      <c r="X312" s="29"/>
      <c r="Y312" s="31"/>
      <c r="Z312" s="29"/>
      <c r="AA312" s="30"/>
      <c r="AB312" s="32"/>
      <c r="AC312" s="30"/>
      <c r="AD312" s="33"/>
      <c r="AE312" s="29"/>
      <c r="AF312" s="29"/>
      <c r="AG312" s="29"/>
    </row>
    <row r="313" spans="1:33" ht="15" customHeight="1" x14ac:dyDescent="0.25">
      <c r="A313" s="5">
        <v>30</v>
      </c>
      <c r="B313" s="38">
        <v>44032</v>
      </c>
      <c r="C313" s="38">
        <v>44021</v>
      </c>
      <c r="D313" s="38">
        <v>44005</v>
      </c>
      <c r="E313" s="36">
        <v>44032</v>
      </c>
      <c r="F313" s="5">
        <v>3020</v>
      </c>
      <c r="G313" s="5" t="s">
        <v>91</v>
      </c>
      <c r="H313" s="5" t="s">
        <v>40</v>
      </c>
      <c r="I313" s="5" t="s">
        <v>1066</v>
      </c>
      <c r="J313" s="21" t="s">
        <v>93</v>
      </c>
      <c r="K313" s="21" t="s">
        <v>1067</v>
      </c>
      <c r="L313" s="6" t="s">
        <v>95</v>
      </c>
      <c r="M313" s="5">
        <v>1</v>
      </c>
      <c r="N313" s="5" t="s">
        <v>91</v>
      </c>
      <c r="O313" s="5" t="s">
        <v>91</v>
      </c>
      <c r="P313" s="5" t="s">
        <v>91</v>
      </c>
      <c r="Q313" s="6"/>
      <c r="R313" s="6" t="s">
        <v>1068</v>
      </c>
      <c r="S313" s="6"/>
      <c r="T313" s="6"/>
      <c r="U313" s="5"/>
      <c r="V313" s="6" t="s">
        <v>1069</v>
      </c>
      <c r="W313" s="6" t="s">
        <v>954</v>
      </c>
      <c r="X313" s="6" t="s">
        <v>955</v>
      </c>
      <c r="Y313" s="22">
        <v>273438525</v>
      </c>
      <c r="Z313" s="6"/>
      <c r="AA313" s="21">
        <v>10129</v>
      </c>
      <c r="AB313" s="23"/>
      <c r="AC313" s="21" t="s">
        <v>32</v>
      </c>
      <c r="AD313" s="24" t="s">
        <v>174</v>
      </c>
      <c r="AE313" s="6" t="s">
        <v>36</v>
      </c>
      <c r="AF313" s="6"/>
      <c r="AG313" s="6" t="s">
        <v>3040</v>
      </c>
    </row>
    <row r="314" spans="1:33" ht="15" customHeight="1" x14ac:dyDescent="0.25">
      <c r="A314" s="5">
        <v>30</v>
      </c>
      <c r="B314" s="38">
        <v>44032</v>
      </c>
      <c r="C314" s="38">
        <v>44021</v>
      </c>
      <c r="D314" s="38">
        <v>44006</v>
      </c>
      <c r="E314" s="36">
        <v>44032</v>
      </c>
      <c r="F314" s="5">
        <v>3022</v>
      </c>
      <c r="G314" s="5" t="s">
        <v>91</v>
      </c>
      <c r="H314" s="5" t="s">
        <v>43</v>
      </c>
      <c r="I314" s="5" t="s">
        <v>92</v>
      </c>
      <c r="J314" s="21" t="s">
        <v>93</v>
      </c>
      <c r="K314" s="21" t="s">
        <v>988</v>
      </c>
      <c r="L314" s="6" t="s">
        <v>1070</v>
      </c>
      <c r="M314" s="5">
        <v>0</v>
      </c>
      <c r="N314" s="5" t="s">
        <v>91</v>
      </c>
      <c r="O314" s="5" t="s">
        <v>91</v>
      </c>
      <c r="P314" s="5" t="s">
        <v>91</v>
      </c>
      <c r="Q314" s="6"/>
      <c r="R314" s="6" t="s">
        <v>1071</v>
      </c>
      <c r="S314" s="6"/>
      <c r="T314" s="6"/>
      <c r="U314" s="5"/>
      <c r="V314" s="6" t="s">
        <v>1072</v>
      </c>
      <c r="W314" s="6" t="s">
        <v>990</v>
      </c>
      <c r="X314" s="6"/>
      <c r="Y314" s="22"/>
      <c r="Z314" s="6"/>
      <c r="AA314" s="21">
        <v>10132</v>
      </c>
      <c r="AB314" s="23"/>
      <c r="AC314" s="21" t="s">
        <v>32</v>
      </c>
      <c r="AD314" s="24" t="s">
        <v>174</v>
      </c>
      <c r="AE314" s="6" t="s">
        <v>31</v>
      </c>
      <c r="AF314" s="6"/>
      <c r="AG314" s="6" t="s">
        <v>3041</v>
      </c>
    </row>
    <row r="315" spans="1:33" ht="7.5" customHeight="1" x14ac:dyDescent="0.25">
      <c r="A315" s="27"/>
      <c r="B315" s="39"/>
      <c r="C315" s="39"/>
      <c r="D315" s="39"/>
      <c r="E315" s="28"/>
      <c r="F315" s="27"/>
      <c r="G315" s="27"/>
      <c r="H315" s="27"/>
      <c r="I315" s="27"/>
      <c r="J315" s="30"/>
      <c r="K315" s="30"/>
      <c r="L315" s="29"/>
      <c r="M315" s="27"/>
      <c r="N315" s="27"/>
      <c r="O315" s="27"/>
      <c r="P315" s="27"/>
      <c r="Q315" s="29"/>
      <c r="R315" s="29"/>
      <c r="S315" s="29"/>
      <c r="T315" s="29"/>
      <c r="U315" s="27"/>
      <c r="V315" s="29"/>
      <c r="W315" s="29"/>
      <c r="X315" s="29"/>
      <c r="Y315" s="31"/>
      <c r="Z315" s="29"/>
      <c r="AA315" s="30"/>
      <c r="AB315" s="32"/>
      <c r="AC315" s="30"/>
      <c r="AD315" s="33"/>
      <c r="AE315" s="29"/>
      <c r="AF315" s="29"/>
      <c r="AG315" s="29"/>
    </row>
    <row r="316" spans="1:33" ht="15" customHeight="1" x14ac:dyDescent="0.25">
      <c r="A316" s="5">
        <v>31</v>
      </c>
      <c r="B316" s="38">
        <v>44039</v>
      </c>
      <c r="C316" s="38">
        <v>44021</v>
      </c>
      <c r="D316" s="38">
        <v>43994</v>
      </c>
      <c r="E316" s="28">
        <v>44039</v>
      </c>
      <c r="F316" s="5">
        <v>3019</v>
      </c>
      <c r="G316" s="5" t="s">
        <v>91</v>
      </c>
      <c r="H316" s="5" t="s">
        <v>43</v>
      </c>
      <c r="I316" s="5" t="s">
        <v>92</v>
      </c>
      <c r="J316" s="21" t="s">
        <v>93</v>
      </c>
      <c r="K316" s="21" t="s">
        <v>1285</v>
      </c>
      <c r="L316" s="6" t="s">
        <v>1286</v>
      </c>
      <c r="M316" s="5">
        <v>13</v>
      </c>
      <c r="N316" s="5" t="s">
        <v>91</v>
      </c>
      <c r="O316" s="5" t="s">
        <v>91</v>
      </c>
      <c r="P316" s="5" t="s">
        <v>91</v>
      </c>
      <c r="Q316" s="6" t="s">
        <v>559</v>
      </c>
      <c r="R316" s="6" t="s">
        <v>1239</v>
      </c>
      <c r="S316" s="6" t="s">
        <v>1287</v>
      </c>
      <c r="T316" s="6"/>
      <c r="U316" s="5"/>
      <c r="V316" s="6"/>
      <c r="W316" s="6" t="s">
        <v>1288</v>
      </c>
      <c r="X316" s="6" t="s">
        <v>1289</v>
      </c>
      <c r="Y316" s="22">
        <v>273224063</v>
      </c>
      <c r="Z316" s="6"/>
      <c r="AA316" s="21">
        <v>10106</v>
      </c>
      <c r="AB316" s="23"/>
      <c r="AC316" s="21" t="s">
        <v>33</v>
      </c>
      <c r="AD316" s="24" t="s">
        <v>1290</v>
      </c>
      <c r="AE316" s="6" t="s">
        <v>31</v>
      </c>
      <c r="AF316" s="6"/>
      <c r="AG316" s="6" t="s">
        <v>3041</v>
      </c>
    </row>
    <row r="317" spans="1:33" ht="7.5" customHeight="1" x14ac:dyDescent="0.25">
      <c r="A317" s="27"/>
      <c r="B317" s="39"/>
      <c r="C317" s="39"/>
      <c r="D317" s="39"/>
      <c r="E317" s="28"/>
      <c r="F317" s="27"/>
      <c r="G317" s="27"/>
      <c r="H317" s="27"/>
      <c r="I317" s="27"/>
      <c r="J317" s="30"/>
      <c r="K317" s="30"/>
      <c r="L317" s="29"/>
      <c r="M317" s="27"/>
      <c r="N317" s="27"/>
      <c r="O317" s="27"/>
      <c r="P317" s="27"/>
      <c r="Q317" s="29"/>
      <c r="R317" s="29"/>
      <c r="S317" s="29"/>
      <c r="T317" s="29"/>
      <c r="U317" s="27"/>
      <c r="V317" s="29"/>
      <c r="W317" s="29"/>
      <c r="X317" s="29"/>
      <c r="Y317" s="31"/>
      <c r="Z317" s="29"/>
      <c r="AA317" s="30"/>
      <c r="AB317" s="32"/>
      <c r="AC317" s="30"/>
      <c r="AD317" s="33"/>
      <c r="AE317" s="29"/>
      <c r="AF317" s="29"/>
      <c r="AG317" s="29"/>
    </row>
    <row r="318" spans="1:33" ht="15" customHeight="1" x14ac:dyDescent="0.25">
      <c r="A318" s="5">
        <v>30</v>
      </c>
      <c r="B318" s="38">
        <v>44032</v>
      </c>
      <c r="C318" s="38">
        <v>44021</v>
      </c>
      <c r="D318" s="38">
        <v>44006</v>
      </c>
      <c r="E318" s="36">
        <v>44032</v>
      </c>
      <c r="F318" s="5">
        <v>5584</v>
      </c>
      <c r="G318" s="5" t="s">
        <v>91</v>
      </c>
      <c r="H318" s="5" t="s">
        <v>40</v>
      </c>
      <c r="I318" s="5" t="s">
        <v>92</v>
      </c>
      <c r="J318" s="21" t="s">
        <v>131</v>
      </c>
      <c r="K318" s="21" t="s">
        <v>1084</v>
      </c>
      <c r="L318" s="6" t="s">
        <v>1085</v>
      </c>
      <c r="M318" s="5">
        <v>0</v>
      </c>
      <c r="N318" s="5" t="s">
        <v>91</v>
      </c>
      <c r="O318" s="5" t="s">
        <v>91</v>
      </c>
      <c r="P318" s="5" t="s">
        <v>91</v>
      </c>
      <c r="Q318" s="6"/>
      <c r="R318" s="6" t="s">
        <v>112</v>
      </c>
      <c r="S318" s="6"/>
      <c r="T318" s="6"/>
      <c r="U318" s="5"/>
      <c r="V318" s="6"/>
      <c r="W318" s="6" t="s">
        <v>794</v>
      </c>
      <c r="X318" s="6"/>
      <c r="Y318" s="22"/>
      <c r="Z318" s="6"/>
      <c r="AA318" s="21"/>
      <c r="AB318" s="23"/>
      <c r="AC318" s="21" t="s">
        <v>33</v>
      </c>
      <c r="AD318" s="24" t="s">
        <v>1086</v>
      </c>
      <c r="AE318" s="6" t="s">
        <v>35</v>
      </c>
      <c r="AF318" s="6"/>
      <c r="AG318" s="6" t="s">
        <v>3041</v>
      </c>
    </row>
    <row r="319" spans="1:33" ht="7.5" customHeight="1" x14ac:dyDescent="0.25">
      <c r="A319" s="27"/>
      <c r="B319" s="39"/>
      <c r="C319" s="39"/>
      <c r="D319" s="39"/>
      <c r="E319" s="28"/>
      <c r="F319" s="27"/>
      <c r="G319" s="27"/>
      <c r="H319" s="27"/>
      <c r="I319" s="27"/>
      <c r="J319" s="30"/>
      <c r="K319" s="30"/>
      <c r="L319" s="29"/>
      <c r="M319" s="27"/>
      <c r="N319" s="27"/>
      <c r="O319" s="27"/>
      <c r="P319" s="27"/>
      <c r="Q319" s="29"/>
      <c r="R319" s="29"/>
      <c r="S319" s="29"/>
      <c r="T319" s="29"/>
      <c r="U319" s="27"/>
      <c r="V319" s="29"/>
      <c r="W319" s="29"/>
      <c r="X319" s="29"/>
      <c r="Y319" s="31"/>
      <c r="Z319" s="29"/>
      <c r="AA319" s="30"/>
      <c r="AB319" s="32"/>
      <c r="AC319" s="30"/>
      <c r="AD319" s="33"/>
      <c r="AE319" s="29"/>
      <c r="AF319" s="29"/>
      <c r="AG319" s="29"/>
    </row>
    <row r="320" spans="1:33" ht="15" customHeight="1" x14ac:dyDescent="0.25">
      <c r="A320" s="5">
        <v>30</v>
      </c>
      <c r="B320" s="38">
        <v>44035</v>
      </c>
      <c r="C320" s="38">
        <v>44021</v>
      </c>
      <c r="D320" s="38">
        <v>44014</v>
      </c>
      <c r="E320" s="36">
        <v>44035</v>
      </c>
      <c r="F320" s="5">
        <v>7749</v>
      </c>
      <c r="G320" s="5" t="s">
        <v>91</v>
      </c>
      <c r="H320" s="5" t="s">
        <v>43</v>
      </c>
      <c r="I320" s="5" t="s">
        <v>92</v>
      </c>
      <c r="J320" s="21" t="s">
        <v>214</v>
      </c>
      <c r="K320" s="21" t="s">
        <v>1222</v>
      </c>
      <c r="L320" s="6" t="s">
        <v>1223</v>
      </c>
      <c r="M320" s="5">
        <v>0</v>
      </c>
      <c r="N320" s="5" t="s">
        <v>91</v>
      </c>
      <c r="O320" s="5" t="s">
        <v>91</v>
      </c>
      <c r="P320" s="5" t="s">
        <v>91</v>
      </c>
      <c r="Q320" s="6" t="s">
        <v>559</v>
      </c>
      <c r="R320" s="6" t="s">
        <v>1224</v>
      </c>
      <c r="S320" s="6"/>
      <c r="T320" s="6"/>
      <c r="U320" s="5"/>
      <c r="V320" s="6" t="s">
        <v>113</v>
      </c>
      <c r="W320" s="6" t="s">
        <v>1225</v>
      </c>
      <c r="X320" s="6"/>
      <c r="Y320" s="22"/>
      <c r="Z320" s="6"/>
      <c r="AA320" s="21" t="s">
        <v>1226</v>
      </c>
      <c r="AB320" s="23">
        <v>44029</v>
      </c>
      <c r="AC320" s="21" t="s">
        <v>32</v>
      </c>
      <c r="AD320" s="24" t="s">
        <v>1227</v>
      </c>
      <c r="AE320" s="6" t="s">
        <v>31</v>
      </c>
      <c r="AF320" s="6"/>
      <c r="AG320" s="6" t="s">
        <v>3041</v>
      </c>
    </row>
    <row r="321" spans="1:33" ht="7.5" customHeight="1" x14ac:dyDescent="0.25">
      <c r="A321" s="27"/>
      <c r="B321" s="39"/>
      <c r="C321" s="39"/>
      <c r="D321" s="39"/>
      <c r="E321" s="28"/>
      <c r="F321" s="27"/>
      <c r="G321" s="27"/>
      <c r="H321" s="27"/>
      <c r="I321" s="27"/>
      <c r="J321" s="30"/>
      <c r="K321" s="30"/>
      <c r="L321" s="29"/>
      <c r="M321" s="27"/>
      <c r="N321" s="27"/>
      <c r="O321" s="27"/>
      <c r="P321" s="27"/>
      <c r="Q321" s="29"/>
      <c r="R321" s="29"/>
      <c r="S321" s="29"/>
      <c r="T321" s="29"/>
      <c r="U321" s="27"/>
      <c r="V321" s="29"/>
      <c r="W321" s="29"/>
      <c r="X321" s="29"/>
      <c r="Y321" s="31"/>
      <c r="Z321" s="29"/>
      <c r="AA321" s="30"/>
      <c r="AB321" s="32"/>
      <c r="AC321" s="30"/>
      <c r="AD321" s="33"/>
      <c r="AE321" s="29"/>
      <c r="AF321" s="29"/>
      <c r="AG321" s="29"/>
    </row>
    <row r="322" spans="1:33" ht="15" customHeight="1" x14ac:dyDescent="0.25">
      <c r="A322" s="5">
        <v>30</v>
      </c>
      <c r="B322" s="38">
        <v>44032</v>
      </c>
      <c r="C322" s="38">
        <v>44021</v>
      </c>
      <c r="D322" s="38">
        <v>44004</v>
      </c>
      <c r="E322" s="36">
        <v>44032</v>
      </c>
      <c r="F322" s="5">
        <v>8719</v>
      </c>
      <c r="G322" s="5" t="s">
        <v>91</v>
      </c>
      <c r="H322" s="5" t="s">
        <v>41</v>
      </c>
      <c r="I322" s="5" t="s">
        <v>92</v>
      </c>
      <c r="J322" s="21" t="s">
        <v>147</v>
      </c>
      <c r="K322" s="21" t="s">
        <v>1103</v>
      </c>
      <c r="L322" s="6" t="s">
        <v>1104</v>
      </c>
      <c r="M322" s="5">
        <v>0</v>
      </c>
      <c r="N322" s="5" t="s">
        <v>91</v>
      </c>
      <c r="O322" s="5" t="s">
        <v>91</v>
      </c>
      <c r="P322" s="5" t="s">
        <v>91</v>
      </c>
      <c r="Q322" s="6"/>
      <c r="R322" s="6" t="s">
        <v>112</v>
      </c>
      <c r="S322" s="6"/>
      <c r="T322" s="6"/>
      <c r="U322" s="5"/>
      <c r="V322" s="6"/>
      <c r="W322" s="6" t="s">
        <v>1105</v>
      </c>
      <c r="X322" s="6"/>
      <c r="Y322" s="22"/>
      <c r="Z322" s="6"/>
      <c r="AA322" s="21"/>
      <c r="AB322" s="23">
        <v>44020</v>
      </c>
      <c r="AC322" s="21" t="s">
        <v>33</v>
      </c>
      <c r="AD322" s="24" t="s">
        <v>1106</v>
      </c>
      <c r="AE322" s="6" t="s">
        <v>31</v>
      </c>
      <c r="AF322" s="6"/>
      <c r="AG322" s="6" t="s">
        <v>3041</v>
      </c>
    </row>
    <row r="323" spans="1:33" ht="7.5" customHeight="1" x14ac:dyDescent="0.25">
      <c r="A323" s="27"/>
      <c r="B323" s="39"/>
      <c r="C323" s="39"/>
      <c r="D323" s="39"/>
      <c r="E323" s="28"/>
      <c r="F323" s="27"/>
      <c r="G323" s="27"/>
      <c r="H323" s="27"/>
      <c r="I323" s="27"/>
      <c r="J323" s="30"/>
      <c r="K323" s="30"/>
      <c r="L323" s="29"/>
      <c r="M323" s="27"/>
      <c r="N323" s="27"/>
      <c r="O323" s="27"/>
      <c r="P323" s="27"/>
      <c r="Q323" s="29"/>
      <c r="R323" s="29"/>
      <c r="S323" s="29"/>
      <c r="T323" s="29"/>
      <c r="U323" s="27"/>
      <c r="V323" s="29"/>
      <c r="W323" s="29"/>
      <c r="X323" s="29"/>
      <c r="Y323" s="31"/>
      <c r="Z323" s="29"/>
      <c r="AA323" s="30"/>
      <c r="AB323" s="32"/>
      <c r="AC323" s="30"/>
      <c r="AD323" s="33"/>
      <c r="AE323" s="29"/>
      <c r="AF323" s="29"/>
      <c r="AG323" s="29"/>
    </row>
    <row r="324" spans="1:33" ht="15" customHeight="1" x14ac:dyDescent="0.25">
      <c r="A324" s="5">
        <v>30</v>
      </c>
      <c r="B324" s="38">
        <v>44035</v>
      </c>
      <c r="C324" s="38">
        <v>44021</v>
      </c>
      <c r="D324" s="38">
        <v>44014</v>
      </c>
      <c r="E324" s="36">
        <v>44035</v>
      </c>
      <c r="F324" s="5">
        <v>9654</v>
      </c>
      <c r="G324" s="5" t="s">
        <v>91</v>
      </c>
      <c r="H324" s="5" t="s">
        <v>43</v>
      </c>
      <c r="I324" s="5" t="s">
        <v>92</v>
      </c>
      <c r="J324" s="21" t="s">
        <v>159</v>
      </c>
      <c r="K324" s="21">
        <v>257080</v>
      </c>
      <c r="L324" s="6" t="s">
        <v>805</v>
      </c>
      <c r="M324" s="5">
        <v>6</v>
      </c>
      <c r="N324" s="5" t="s">
        <v>91</v>
      </c>
      <c r="O324" s="5" t="s">
        <v>91</v>
      </c>
      <c r="P324" s="5" t="s">
        <v>91</v>
      </c>
      <c r="Q324" s="6"/>
      <c r="R324" s="6" t="s">
        <v>979</v>
      </c>
      <c r="S324" s="6"/>
      <c r="T324" s="6"/>
      <c r="U324" s="5"/>
      <c r="V324" s="6"/>
      <c r="W324" s="6" t="s">
        <v>1233</v>
      </c>
      <c r="X324" s="6"/>
      <c r="Y324" s="22"/>
      <c r="Z324" s="6"/>
      <c r="AA324" s="21"/>
      <c r="AB324" s="23">
        <v>44020</v>
      </c>
      <c r="AC324" s="21" t="s">
        <v>33</v>
      </c>
      <c r="AD324" s="24" t="s">
        <v>1234</v>
      </c>
      <c r="AE324" s="6" t="s">
        <v>31</v>
      </c>
      <c r="AF324" s="6"/>
      <c r="AG324" s="6" t="s">
        <v>3039</v>
      </c>
    </row>
    <row r="325" spans="1:33" ht="15" customHeight="1" x14ac:dyDescent="0.25">
      <c r="A325" s="5">
        <v>30</v>
      </c>
      <c r="B325" s="38">
        <v>44035</v>
      </c>
      <c r="C325" s="38">
        <v>44021</v>
      </c>
      <c r="D325" s="38">
        <v>44014</v>
      </c>
      <c r="E325" s="36">
        <v>44035</v>
      </c>
      <c r="F325" s="5">
        <v>9655</v>
      </c>
      <c r="G325" s="5" t="s">
        <v>91</v>
      </c>
      <c r="H325" s="5" t="s">
        <v>43</v>
      </c>
      <c r="I325" s="5" t="s">
        <v>92</v>
      </c>
      <c r="J325" s="21" t="s">
        <v>159</v>
      </c>
      <c r="K325" s="21">
        <v>257089</v>
      </c>
      <c r="L325" s="6" t="s">
        <v>1235</v>
      </c>
      <c r="M325" s="5">
        <v>10</v>
      </c>
      <c r="N325" s="5" t="s">
        <v>91</v>
      </c>
      <c r="O325" s="5" t="s">
        <v>91</v>
      </c>
      <c r="P325" s="5" t="s">
        <v>91</v>
      </c>
      <c r="Q325" s="6"/>
      <c r="R325" s="6" t="s">
        <v>979</v>
      </c>
      <c r="S325" s="6"/>
      <c r="T325" s="6"/>
      <c r="U325" s="5"/>
      <c r="V325" s="6"/>
      <c r="W325" s="6" t="s">
        <v>1236</v>
      </c>
      <c r="X325" s="6"/>
      <c r="Y325" s="22"/>
      <c r="Z325" s="6"/>
      <c r="AA325" s="21"/>
      <c r="AB325" s="23">
        <v>44020</v>
      </c>
      <c r="AC325" s="21" t="s">
        <v>30</v>
      </c>
      <c r="AD325" s="24" t="s">
        <v>1237</v>
      </c>
      <c r="AE325" s="6" t="s">
        <v>31</v>
      </c>
      <c r="AF325" s="6"/>
      <c r="AG325" s="6" t="s">
        <v>3040</v>
      </c>
    </row>
    <row r="326" spans="1:33" ht="7.5" customHeight="1" x14ac:dyDescent="0.25">
      <c r="A326" s="27"/>
      <c r="B326" s="39"/>
      <c r="C326" s="39"/>
      <c r="D326" s="39"/>
      <c r="E326" s="28"/>
      <c r="F326" s="27"/>
      <c r="G326" s="27"/>
      <c r="H326" s="27"/>
      <c r="I326" s="27"/>
      <c r="J326" s="30"/>
      <c r="K326" s="30"/>
      <c r="L326" s="29"/>
      <c r="M326" s="27"/>
      <c r="N326" s="27"/>
      <c r="O326" s="27"/>
      <c r="P326" s="27"/>
      <c r="Q326" s="29"/>
      <c r="R326" s="29"/>
      <c r="S326" s="29"/>
      <c r="T326" s="29"/>
      <c r="U326" s="27"/>
      <c r="V326" s="29"/>
      <c r="W326" s="29"/>
      <c r="X326" s="29"/>
      <c r="Y326" s="31"/>
      <c r="Z326" s="29"/>
      <c r="AA326" s="30"/>
      <c r="AB326" s="32"/>
      <c r="AC326" s="30"/>
      <c r="AD326" s="33"/>
      <c r="AE326" s="29"/>
      <c r="AF326" s="29"/>
      <c r="AG326" s="29"/>
    </row>
    <row r="327" spans="1:33" ht="15" customHeight="1" x14ac:dyDescent="0.25">
      <c r="A327" s="5">
        <v>30</v>
      </c>
      <c r="B327" s="38">
        <v>44033</v>
      </c>
      <c r="C327" s="38">
        <v>44022</v>
      </c>
      <c r="D327" s="38">
        <v>44008</v>
      </c>
      <c r="E327" s="36" t="s">
        <v>441</v>
      </c>
      <c r="F327" s="5">
        <v>10075</v>
      </c>
      <c r="G327" s="5"/>
      <c r="H327" s="5"/>
      <c r="I327" s="5"/>
      <c r="J327" s="21" t="s">
        <v>565</v>
      </c>
      <c r="K327" s="21" t="s">
        <v>1116</v>
      </c>
      <c r="L327" s="6" t="s">
        <v>1117</v>
      </c>
      <c r="M327" s="5">
        <v>15</v>
      </c>
      <c r="N327" s="5"/>
      <c r="O327" s="5"/>
      <c r="P327" s="5"/>
      <c r="Q327" s="6" t="s">
        <v>741</v>
      </c>
      <c r="R327" s="6" t="s">
        <v>776</v>
      </c>
      <c r="S327" s="6" t="s">
        <v>1118</v>
      </c>
      <c r="T327" s="6"/>
      <c r="U327" s="5" t="s">
        <v>544</v>
      </c>
      <c r="V327" s="6"/>
      <c r="W327" s="6" t="s">
        <v>1119</v>
      </c>
      <c r="X327" s="6" t="s">
        <v>1120</v>
      </c>
      <c r="Y327" s="22" t="s">
        <v>1121</v>
      </c>
      <c r="Z327" s="6"/>
      <c r="AA327" s="21">
        <v>100074</v>
      </c>
      <c r="AB327" s="23">
        <v>43973</v>
      </c>
      <c r="AC327" s="21" t="s">
        <v>30</v>
      </c>
      <c r="AD327" s="24">
        <v>5039.09</v>
      </c>
      <c r="AE327" s="6" t="s">
        <v>36</v>
      </c>
      <c r="AF327" s="6"/>
      <c r="AG327" s="6" t="s">
        <v>3040</v>
      </c>
    </row>
    <row r="328" spans="1:33" ht="15" customHeight="1" x14ac:dyDescent="0.25">
      <c r="A328" s="5">
        <v>30</v>
      </c>
      <c r="B328" s="38">
        <v>44033</v>
      </c>
      <c r="C328" s="38">
        <v>44022</v>
      </c>
      <c r="D328" s="38">
        <v>43956</v>
      </c>
      <c r="E328" s="36">
        <v>44033</v>
      </c>
      <c r="F328" s="5">
        <v>3993</v>
      </c>
      <c r="G328" s="5" t="s">
        <v>91</v>
      </c>
      <c r="H328" s="5" t="s">
        <v>40</v>
      </c>
      <c r="I328" s="5" t="s">
        <v>92</v>
      </c>
      <c r="J328" s="21" t="s">
        <v>93</v>
      </c>
      <c r="K328" s="21" t="s">
        <v>1116</v>
      </c>
      <c r="L328" s="6" t="s">
        <v>95</v>
      </c>
      <c r="M328" s="5">
        <v>13</v>
      </c>
      <c r="N328" s="5" t="s">
        <v>91</v>
      </c>
      <c r="O328" s="5" t="s">
        <v>91</v>
      </c>
      <c r="P328" s="5" t="s">
        <v>91</v>
      </c>
      <c r="Q328" s="6" t="s">
        <v>741</v>
      </c>
      <c r="R328" s="6" t="s">
        <v>776</v>
      </c>
      <c r="S328" s="6" t="s">
        <v>1122</v>
      </c>
      <c r="T328" s="6"/>
      <c r="U328" s="5"/>
      <c r="V328" s="6"/>
      <c r="W328" s="6" t="s">
        <v>1123</v>
      </c>
      <c r="X328" s="6" t="s">
        <v>1120</v>
      </c>
      <c r="Y328" s="22">
        <v>273303295</v>
      </c>
      <c r="Z328" s="6"/>
      <c r="AA328" s="21">
        <v>10074</v>
      </c>
      <c r="AB328" s="23">
        <v>43945</v>
      </c>
      <c r="AC328" s="21" t="s">
        <v>30</v>
      </c>
      <c r="AD328" s="24" t="s">
        <v>1124</v>
      </c>
      <c r="AE328" s="6" t="s">
        <v>38</v>
      </c>
      <c r="AF328" s="6"/>
      <c r="AG328" s="6" t="s">
        <v>3041</v>
      </c>
    </row>
    <row r="329" spans="1:33" ht="15" customHeight="1" x14ac:dyDescent="0.25">
      <c r="A329" s="5">
        <v>30</v>
      </c>
      <c r="B329" s="38">
        <v>44033</v>
      </c>
      <c r="C329" s="38">
        <v>44022</v>
      </c>
      <c r="D329" s="38">
        <v>44005</v>
      </c>
      <c r="E329" s="36">
        <v>44033</v>
      </c>
      <c r="F329" s="5">
        <v>3020</v>
      </c>
      <c r="G329" s="5" t="s">
        <v>91</v>
      </c>
      <c r="H329" s="5" t="s">
        <v>40</v>
      </c>
      <c r="I329" s="5" t="s">
        <v>1066</v>
      </c>
      <c r="J329" s="21" t="s">
        <v>93</v>
      </c>
      <c r="K329" s="21" t="s">
        <v>1067</v>
      </c>
      <c r="L329" s="6" t="s">
        <v>95</v>
      </c>
      <c r="M329" s="5">
        <v>0</v>
      </c>
      <c r="N329" s="5" t="s">
        <v>91</v>
      </c>
      <c r="O329" s="5" t="s">
        <v>91</v>
      </c>
      <c r="P329" s="5" t="s">
        <v>91</v>
      </c>
      <c r="Q329" s="6"/>
      <c r="R329" s="6"/>
      <c r="S329" s="6"/>
      <c r="T329" s="6"/>
      <c r="U329" s="5"/>
      <c r="V329" s="6" t="s">
        <v>1131</v>
      </c>
      <c r="W329" s="6" t="s">
        <v>954</v>
      </c>
      <c r="X329" s="6" t="s">
        <v>955</v>
      </c>
      <c r="Y329" s="22">
        <v>273438525</v>
      </c>
      <c r="Z329" s="6"/>
      <c r="AA329" s="21">
        <v>10129</v>
      </c>
      <c r="AB329" s="23"/>
      <c r="AC329" s="21" t="s">
        <v>30</v>
      </c>
      <c r="AD329" s="24"/>
      <c r="AE329" s="6" t="s">
        <v>35</v>
      </c>
      <c r="AF329" s="6"/>
      <c r="AG329" s="6" t="s">
        <v>3039</v>
      </c>
    </row>
    <row r="330" spans="1:33" ht="7.5" customHeight="1" x14ac:dyDescent="0.25">
      <c r="A330" s="27"/>
      <c r="B330" s="39"/>
      <c r="C330" s="39"/>
      <c r="D330" s="39"/>
      <c r="E330" s="28"/>
      <c r="F330" s="27"/>
      <c r="G330" s="27"/>
      <c r="H330" s="27"/>
      <c r="I330" s="27"/>
      <c r="J330" s="30"/>
      <c r="K330" s="30"/>
      <c r="L330" s="29"/>
      <c r="M330" s="27"/>
      <c r="N330" s="27"/>
      <c r="O330" s="27"/>
      <c r="P330" s="27"/>
      <c r="Q330" s="29"/>
      <c r="R330" s="29"/>
      <c r="S330" s="29"/>
      <c r="T330" s="29"/>
      <c r="U330" s="27"/>
      <c r="V330" s="29"/>
      <c r="W330" s="29"/>
      <c r="X330" s="29"/>
      <c r="Y330" s="31"/>
      <c r="Z330" s="29"/>
      <c r="AA330" s="30"/>
      <c r="AB330" s="32"/>
      <c r="AC330" s="30"/>
      <c r="AD330" s="33"/>
      <c r="AE330" s="29"/>
      <c r="AF330" s="29"/>
      <c r="AG330" s="29"/>
    </row>
    <row r="331" spans="1:33" ht="15" customHeight="1" x14ac:dyDescent="0.25">
      <c r="A331" s="5">
        <v>30</v>
      </c>
      <c r="B331" s="38">
        <v>44036</v>
      </c>
      <c r="C331" s="38">
        <v>44022</v>
      </c>
      <c r="D331" s="38">
        <v>44015</v>
      </c>
      <c r="E331" s="36">
        <v>44036</v>
      </c>
      <c r="F331" s="5">
        <v>3028</v>
      </c>
      <c r="G331" s="5" t="s">
        <v>91</v>
      </c>
      <c r="H331" s="5" t="s">
        <v>41</v>
      </c>
      <c r="I331" s="5" t="s">
        <v>92</v>
      </c>
      <c r="J331" s="21" t="s">
        <v>93</v>
      </c>
      <c r="K331" s="21" t="s">
        <v>1238</v>
      </c>
      <c r="L331" s="6" t="s">
        <v>989</v>
      </c>
      <c r="M331" s="5">
        <v>9</v>
      </c>
      <c r="N331" s="5" t="s">
        <v>91</v>
      </c>
      <c r="O331" s="5" t="s">
        <v>91</v>
      </c>
      <c r="P331" s="5" t="s">
        <v>91</v>
      </c>
      <c r="Q331" s="6"/>
      <c r="R331" s="6" t="s">
        <v>1239</v>
      </c>
      <c r="S331" s="6" t="s">
        <v>1240</v>
      </c>
      <c r="T331" s="6"/>
      <c r="U331" s="5"/>
      <c r="V331" s="6"/>
      <c r="W331" s="6" t="s">
        <v>1241</v>
      </c>
      <c r="X331" s="6" t="s">
        <v>823</v>
      </c>
      <c r="Y331" s="22" t="s">
        <v>1242</v>
      </c>
      <c r="Z331" s="6"/>
      <c r="AA331" s="21" t="s">
        <v>428</v>
      </c>
      <c r="AB331" s="23">
        <v>44020</v>
      </c>
      <c r="AC331" s="21" t="s">
        <v>39</v>
      </c>
      <c r="AD331" s="24" t="s">
        <v>1243</v>
      </c>
      <c r="AE331" s="6" t="s">
        <v>37</v>
      </c>
      <c r="AF331" s="6"/>
      <c r="AG331" s="6" t="s">
        <v>3041</v>
      </c>
    </row>
    <row r="332" spans="1:33" ht="15" customHeight="1" x14ac:dyDescent="0.25">
      <c r="A332" s="5">
        <v>30</v>
      </c>
      <c r="B332" s="38">
        <v>44036</v>
      </c>
      <c r="C332" s="38">
        <v>44022</v>
      </c>
      <c r="D332" s="38">
        <v>44015</v>
      </c>
      <c r="E332" s="36">
        <v>44036</v>
      </c>
      <c r="F332" s="5">
        <v>3031</v>
      </c>
      <c r="G332" s="5" t="s">
        <v>91</v>
      </c>
      <c r="H332" s="5" t="s">
        <v>41</v>
      </c>
      <c r="I332" s="5" t="s">
        <v>92</v>
      </c>
      <c r="J332" s="21" t="s">
        <v>93</v>
      </c>
      <c r="K332" s="21" t="s">
        <v>1244</v>
      </c>
      <c r="L332" s="6" t="s">
        <v>989</v>
      </c>
      <c r="M332" s="5">
        <v>1</v>
      </c>
      <c r="N332" s="5" t="s">
        <v>91</v>
      </c>
      <c r="O332" s="5" t="s">
        <v>91</v>
      </c>
      <c r="P332" s="5" t="s">
        <v>91</v>
      </c>
      <c r="Q332" s="6"/>
      <c r="R332" s="6" t="s">
        <v>1068</v>
      </c>
      <c r="S332" s="6"/>
      <c r="T332" s="6"/>
      <c r="U332" s="5"/>
      <c r="V332" s="6"/>
      <c r="W332" s="6" t="s">
        <v>1245</v>
      </c>
      <c r="X332" s="6"/>
      <c r="Y332" s="22"/>
      <c r="Z332" s="6"/>
      <c r="AA332" s="21"/>
      <c r="AB332" s="23">
        <v>44022</v>
      </c>
      <c r="AC332" s="21" t="s">
        <v>30</v>
      </c>
      <c r="AD332" s="24" t="s">
        <v>1246</v>
      </c>
      <c r="AE332" s="6" t="s">
        <v>38</v>
      </c>
      <c r="AF332" s="6"/>
      <c r="AG332" s="6" t="s">
        <v>3042</v>
      </c>
    </row>
    <row r="333" spans="1:33" ht="15" customHeight="1" x14ac:dyDescent="0.25">
      <c r="A333" s="5">
        <v>30</v>
      </c>
      <c r="B333" s="38">
        <v>44036</v>
      </c>
      <c r="C333" s="38">
        <v>44022</v>
      </c>
      <c r="D333" s="38">
        <v>44015</v>
      </c>
      <c r="E333" s="36">
        <v>44036</v>
      </c>
      <c r="F333" s="5">
        <v>3038</v>
      </c>
      <c r="G333" s="5" t="s">
        <v>91</v>
      </c>
      <c r="H333" s="5" t="s">
        <v>41</v>
      </c>
      <c r="I333" s="5" t="s">
        <v>92</v>
      </c>
      <c r="J333" s="21" t="s">
        <v>93</v>
      </c>
      <c r="K333" s="21" t="s">
        <v>1247</v>
      </c>
      <c r="L333" s="6" t="s">
        <v>95</v>
      </c>
      <c r="M333" s="5">
        <v>1</v>
      </c>
      <c r="N333" s="5" t="s">
        <v>91</v>
      </c>
      <c r="O333" s="5" t="s">
        <v>91</v>
      </c>
      <c r="P333" s="5" t="s">
        <v>91</v>
      </c>
      <c r="Q333" s="6" t="s">
        <v>559</v>
      </c>
      <c r="R333" s="6" t="s">
        <v>747</v>
      </c>
      <c r="S333" s="6"/>
      <c r="T333" s="6"/>
      <c r="U333" s="5"/>
      <c r="V333" s="6"/>
      <c r="W333" s="6" t="s">
        <v>1248</v>
      </c>
      <c r="X333" s="6"/>
      <c r="Y333" s="22"/>
      <c r="Z333" s="6"/>
      <c r="AA333" s="21" t="s">
        <v>1249</v>
      </c>
      <c r="AB333" s="23">
        <v>44033</v>
      </c>
      <c r="AC333" s="21" t="s">
        <v>30</v>
      </c>
      <c r="AD333" s="24" t="s">
        <v>1250</v>
      </c>
      <c r="AE333" s="6" t="s">
        <v>31</v>
      </c>
      <c r="AF333" s="6"/>
      <c r="AG333" s="6" t="s">
        <v>3039</v>
      </c>
    </row>
    <row r="334" spans="1:33" ht="7.5" customHeight="1" x14ac:dyDescent="0.25">
      <c r="A334" s="27"/>
      <c r="B334" s="39"/>
      <c r="C334" s="39"/>
      <c r="D334" s="39"/>
      <c r="E334" s="28"/>
      <c r="F334" s="27"/>
      <c r="G334" s="27"/>
      <c r="H334" s="27"/>
      <c r="I334" s="27"/>
      <c r="J334" s="30"/>
      <c r="K334" s="30"/>
      <c r="L334" s="29"/>
      <c r="M334" s="27"/>
      <c r="N334" s="27"/>
      <c r="O334" s="27"/>
      <c r="P334" s="27"/>
      <c r="Q334" s="29"/>
      <c r="R334" s="29"/>
      <c r="S334" s="29"/>
      <c r="T334" s="29"/>
      <c r="U334" s="27"/>
      <c r="V334" s="29"/>
      <c r="W334" s="29"/>
      <c r="X334" s="29"/>
      <c r="Y334" s="31"/>
      <c r="Z334" s="29"/>
      <c r="AA334" s="30"/>
      <c r="AB334" s="32"/>
      <c r="AC334" s="30"/>
      <c r="AD334" s="33"/>
      <c r="AE334" s="29"/>
      <c r="AF334" s="29"/>
      <c r="AG334" s="29"/>
    </row>
    <row r="335" spans="1:33" ht="15" customHeight="1" x14ac:dyDescent="0.25">
      <c r="A335" s="5">
        <v>30</v>
      </c>
      <c r="B335" s="38">
        <v>44033</v>
      </c>
      <c r="C335" s="38">
        <v>44022</v>
      </c>
      <c r="D335" s="38">
        <v>44006</v>
      </c>
      <c r="E335" s="36">
        <v>44033</v>
      </c>
      <c r="F335" s="5">
        <v>6695</v>
      </c>
      <c r="G335" s="5" t="s">
        <v>91</v>
      </c>
      <c r="H335" s="5" t="s">
        <v>41</v>
      </c>
      <c r="I335" s="5" t="s">
        <v>92</v>
      </c>
      <c r="J335" s="21" t="s">
        <v>191</v>
      </c>
      <c r="K335" s="21" t="s">
        <v>1132</v>
      </c>
      <c r="L335" s="6" t="s">
        <v>1133</v>
      </c>
      <c r="M335" s="5">
        <v>15</v>
      </c>
      <c r="N335" s="5" t="s">
        <v>91</v>
      </c>
      <c r="O335" s="5" t="s">
        <v>91</v>
      </c>
      <c r="P335" s="5" t="s">
        <v>91</v>
      </c>
      <c r="Q335" s="6" t="s">
        <v>559</v>
      </c>
      <c r="R335" s="6" t="s">
        <v>194</v>
      </c>
      <c r="S335" s="6"/>
      <c r="T335" s="6"/>
      <c r="U335" s="5"/>
      <c r="V335" s="6" t="s">
        <v>1134</v>
      </c>
      <c r="W335" s="6" t="s">
        <v>1135</v>
      </c>
      <c r="X335" s="6"/>
      <c r="Y335" s="22"/>
      <c r="Z335" s="6">
        <v>5</v>
      </c>
      <c r="AA335" s="21"/>
      <c r="AB335" s="23"/>
      <c r="AC335" s="21" t="s">
        <v>30</v>
      </c>
      <c r="AD335" s="24" t="s">
        <v>1136</v>
      </c>
      <c r="AE335" s="6" t="s">
        <v>31</v>
      </c>
      <c r="AF335" s="6"/>
      <c r="AG335" s="6" t="s">
        <v>3040</v>
      </c>
    </row>
    <row r="336" spans="1:33" ht="7.5" customHeight="1" x14ac:dyDescent="0.25">
      <c r="A336" s="27"/>
      <c r="B336" s="39"/>
      <c r="C336" s="39"/>
      <c r="D336" s="39"/>
      <c r="E336" s="28"/>
      <c r="F336" s="27"/>
      <c r="G336" s="27"/>
      <c r="H336" s="27"/>
      <c r="I336" s="27"/>
      <c r="J336" s="30"/>
      <c r="K336" s="30"/>
      <c r="L336" s="29"/>
      <c r="M336" s="27"/>
      <c r="N336" s="27"/>
      <c r="O336" s="27"/>
      <c r="P336" s="27"/>
      <c r="Q336" s="29"/>
      <c r="R336" s="29"/>
      <c r="S336" s="29"/>
      <c r="T336" s="29"/>
      <c r="U336" s="27"/>
      <c r="V336" s="29"/>
      <c r="W336" s="29"/>
      <c r="X336" s="29"/>
      <c r="Y336" s="31"/>
      <c r="Z336" s="29"/>
      <c r="AA336" s="30"/>
      <c r="AB336" s="32"/>
      <c r="AC336" s="30"/>
      <c r="AD336" s="33"/>
      <c r="AE336" s="29"/>
      <c r="AF336" s="29"/>
      <c r="AG336" s="29"/>
    </row>
    <row r="337" spans="1:33" ht="15" customHeight="1" x14ac:dyDescent="0.25">
      <c r="A337" s="5">
        <v>30</v>
      </c>
      <c r="B337" s="38">
        <v>44036</v>
      </c>
      <c r="C337" s="38">
        <v>44022</v>
      </c>
      <c r="D337" s="38">
        <v>44015</v>
      </c>
      <c r="E337" s="36">
        <v>44036</v>
      </c>
      <c r="F337" s="5">
        <v>8712</v>
      </c>
      <c r="G337" s="5" t="s">
        <v>91</v>
      </c>
      <c r="H337" s="5" t="s">
        <v>43</v>
      </c>
      <c r="I337" s="5" t="s">
        <v>92</v>
      </c>
      <c r="J337" s="21" t="s">
        <v>147</v>
      </c>
      <c r="K337" s="21" t="s">
        <v>1260</v>
      </c>
      <c r="L337" s="6" t="s">
        <v>1261</v>
      </c>
      <c r="M337" s="5">
        <v>0</v>
      </c>
      <c r="N337" s="5" t="s">
        <v>91</v>
      </c>
      <c r="O337" s="5" t="s">
        <v>91</v>
      </c>
      <c r="P337" s="5" t="s">
        <v>91</v>
      </c>
      <c r="Q337" s="6"/>
      <c r="R337" s="6" t="s">
        <v>380</v>
      </c>
      <c r="S337" s="6"/>
      <c r="T337" s="6"/>
      <c r="U337" s="5"/>
      <c r="V337" s="6"/>
      <c r="W337" s="6" t="s">
        <v>380</v>
      </c>
      <c r="X337" s="6"/>
      <c r="Y337" s="22"/>
      <c r="Z337" s="6"/>
      <c r="AA337" s="21"/>
      <c r="AB337" s="23">
        <v>44014</v>
      </c>
      <c r="AC337" s="21" t="s">
        <v>32</v>
      </c>
      <c r="AD337" s="24" t="s">
        <v>1262</v>
      </c>
      <c r="AE337" s="6" t="s">
        <v>35</v>
      </c>
      <c r="AF337" s="6"/>
      <c r="AG337" s="6" t="s">
        <v>3042</v>
      </c>
    </row>
    <row r="338" spans="1:33" ht="15" customHeight="1" x14ac:dyDescent="0.25">
      <c r="A338" s="5">
        <v>30</v>
      </c>
      <c r="B338" s="38">
        <v>44036</v>
      </c>
      <c r="C338" s="38">
        <v>44022</v>
      </c>
      <c r="D338" s="38">
        <v>44015</v>
      </c>
      <c r="E338" s="36">
        <v>44036</v>
      </c>
      <c r="F338" s="5">
        <v>9658</v>
      </c>
      <c r="G338" s="5" t="s">
        <v>91</v>
      </c>
      <c r="H338" s="5" t="s">
        <v>40</v>
      </c>
      <c r="I338" s="5" t="s">
        <v>92</v>
      </c>
      <c r="J338" s="21" t="s">
        <v>159</v>
      </c>
      <c r="K338" s="21">
        <v>257109</v>
      </c>
      <c r="L338" s="6" t="s">
        <v>1267</v>
      </c>
      <c r="M338" s="5">
        <v>3</v>
      </c>
      <c r="N338" s="5" t="s">
        <v>91</v>
      </c>
      <c r="O338" s="5" t="s">
        <v>91</v>
      </c>
      <c r="P338" s="5" t="s">
        <v>91</v>
      </c>
      <c r="Q338" s="6"/>
      <c r="R338" s="6" t="s">
        <v>163</v>
      </c>
      <c r="S338" s="6"/>
      <c r="T338" s="6"/>
      <c r="U338" s="5"/>
      <c r="V338" s="6"/>
      <c r="W338" s="6" t="s">
        <v>1268</v>
      </c>
      <c r="X338" s="6"/>
      <c r="Y338" s="22"/>
      <c r="Z338" s="6"/>
      <c r="AA338" s="21"/>
      <c r="AB338" s="23">
        <v>44021</v>
      </c>
      <c r="AC338" s="21" t="s">
        <v>33</v>
      </c>
      <c r="AD338" s="24" t="s">
        <v>1269</v>
      </c>
      <c r="AE338" s="6" t="s">
        <v>31</v>
      </c>
      <c r="AF338" s="6"/>
      <c r="AG338" s="6" t="s">
        <v>3040</v>
      </c>
    </row>
    <row r="339" spans="1:33" ht="15" customHeight="1" x14ac:dyDescent="0.25">
      <c r="A339" s="5">
        <v>30</v>
      </c>
      <c r="B339" s="38">
        <v>44036</v>
      </c>
      <c r="C339" s="38">
        <v>44022</v>
      </c>
      <c r="D339" s="38">
        <v>44015</v>
      </c>
      <c r="E339" s="36">
        <v>44036</v>
      </c>
      <c r="F339" s="5">
        <v>9657</v>
      </c>
      <c r="G339" s="5" t="s">
        <v>91</v>
      </c>
      <c r="H339" s="5" t="s">
        <v>40</v>
      </c>
      <c r="I339" s="5" t="s">
        <v>92</v>
      </c>
      <c r="J339" s="21" t="s">
        <v>159</v>
      </c>
      <c r="K339" s="21">
        <v>257114</v>
      </c>
      <c r="L339" s="6" t="s">
        <v>978</v>
      </c>
      <c r="M339" s="5">
        <v>22</v>
      </c>
      <c r="N339" s="5" t="s">
        <v>91</v>
      </c>
      <c r="O339" s="5" t="s">
        <v>91</v>
      </c>
      <c r="P339" s="5" t="s">
        <v>91</v>
      </c>
      <c r="Q339" s="6"/>
      <c r="R339" s="6" t="s">
        <v>979</v>
      </c>
      <c r="S339" s="6"/>
      <c r="T339" s="6"/>
      <c r="U339" s="5"/>
      <c r="V339" s="6"/>
      <c r="W339" s="6" t="s">
        <v>1270</v>
      </c>
      <c r="X339" s="6"/>
      <c r="Y339" s="22"/>
      <c r="Z339" s="6"/>
      <c r="AA339" s="21"/>
      <c r="AB339" s="23">
        <v>44021</v>
      </c>
      <c r="AC339" s="21" t="s">
        <v>32</v>
      </c>
      <c r="AD339" s="24" t="s">
        <v>1271</v>
      </c>
      <c r="AE339" s="6" t="s">
        <v>36</v>
      </c>
      <c r="AF339" s="6"/>
      <c r="AG339" s="6" t="s">
        <v>3041</v>
      </c>
    </row>
    <row r="340" spans="1:33" ht="15" customHeight="1" x14ac:dyDescent="0.25">
      <c r="A340" s="5">
        <v>30</v>
      </c>
      <c r="B340" s="38">
        <v>44036</v>
      </c>
      <c r="C340" s="38">
        <v>44022</v>
      </c>
      <c r="D340" s="38">
        <v>44015</v>
      </c>
      <c r="E340" s="36">
        <v>44036</v>
      </c>
      <c r="F340" s="5">
        <v>9659</v>
      </c>
      <c r="G340" s="5" t="s">
        <v>91</v>
      </c>
      <c r="H340" s="5" t="s">
        <v>43</v>
      </c>
      <c r="I340" s="5" t="s">
        <v>92</v>
      </c>
      <c r="J340" s="21" t="s">
        <v>159</v>
      </c>
      <c r="K340" s="21">
        <v>257108</v>
      </c>
      <c r="L340" s="6" t="s">
        <v>805</v>
      </c>
      <c r="M340" s="5">
        <v>4</v>
      </c>
      <c r="N340" s="5" t="s">
        <v>91</v>
      </c>
      <c r="O340" s="5" t="s">
        <v>91</v>
      </c>
      <c r="P340" s="5" t="s">
        <v>91</v>
      </c>
      <c r="Q340" s="6"/>
      <c r="R340" s="6" t="s">
        <v>979</v>
      </c>
      <c r="S340" s="6"/>
      <c r="T340" s="6"/>
      <c r="U340" s="5"/>
      <c r="V340" s="6"/>
      <c r="W340" s="6" t="s">
        <v>1272</v>
      </c>
      <c r="X340" s="6"/>
      <c r="Y340" s="22"/>
      <c r="Z340" s="6"/>
      <c r="AA340" s="21"/>
      <c r="AB340" s="23">
        <v>44021</v>
      </c>
      <c r="AC340" s="21" t="s">
        <v>30</v>
      </c>
      <c r="AD340" s="24" t="s">
        <v>1273</v>
      </c>
      <c r="AE340" s="6" t="s">
        <v>31</v>
      </c>
      <c r="AF340" s="6"/>
      <c r="AG340" s="6" t="s">
        <v>3042</v>
      </c>
    </row>
    <row r="341" spans="1:33" ht="7.5" customHeight="1" x14ac:dyDescent="0.25">
      <c r="A341" s="27"/>
      <c r="B341" s="39"/>
      <c r="C341" s="39"/>
      <c r="D341" s="39"/>
      <c r="E341" s="28"/>
      <c r="F341" s="27"/>
      <c r="G341" s="27"/>
      <c r="H341" s="27"/>
      <c r="I341" s="27"/>
      <c r="J341" s="30"/>
      <c r="K341" s="30"/>
      <c r="L341" s="29"/>
      <c r="M341" s="27"/>
      <c r="N341" s="27"/>
      <c r="O341" s="27"/>
      <c r="P341" s="27"/>
      <c r="Q341" s="29"/>
      <c r="R341" s="29"/>
      <c r="S341" s="29"/>
      <c r="T341" s="29"/>
      <c r="U341" s="27"/>
      <c r="V341" s="29"/>
      <c r="W341" s="29"/>
      <c r="X341" s="29"/>
      <c r="Y341" s="31"/>
      <c r="Z341" s="29"/>
      <c r="AA341" s="30"/>
      <c r="AB341" s="32"/>
      <c r="AC341" s="30"/>
      <c r="AD341" s="33"/>
      <c r="AE341" s="29"/>
      <c r="AF341" s="29"/>
      <c r="AG341" s="29"/>
    </row>
    <row r="342" spans="1:33" ht="15" customHeight="1" x14ac:dyDescent="0.25">
      <c r="A342" s="5">
        <v>31</v>
      </c>
      <c r="B342" s="38">
        <v>44039</v>
      </c>
      <c r="C342" s="38">
        <v>44025</v>
      </c>
      <c r="D342" s="38">
        <v>44018</v>
      </c>
      <c r="E342" s="28">
        <v>44039</v>
      </c>
      <c r="F342" s="5">
        <v>1616</v>
      </c>
      <c r="G342" s="5" t="s">
        <v>91</v>
      </c>
      <c r="H342" s="5" t="s">
        <v>41</v>
      </c>
      <c r="I342" s="5" t="s">
        <v>92</v>
      </c>
      <c r="J342" s="21" t="s">
        <v>372</v>
      </c>
      <c r="K342" s="21" t="s">
        <v>1274</v>
      </c>
      <c r="L342" s="6" t="s">
        <v>152</v>
      </c>
      <c r="M342" s="5">
        <v>0</v>
      </c>
      <c r="N342" s="5" t="s">
        <v>91</v>
      </c>
      <c r="O342" s="5" t="s">
        <v>91</v>
      </c>
      <c r="P342" s="5" t="s">
        <v>91</v>
      </c>
      <c r="Q342" s="6"/>
      <c r="R342" s="6" t="s">
        <v>1275</v>
      </c>
      <c r="S342" s="6"/>
      <c r="T342" s="6"/>
      <c r="U342" s="5"/>
      <c r="V342" s="6" t="s">
        <v>1276</v>
      </c>
      <c r="W342" s="6" t="s">
        <v>1277</v>
      </c>
      <c r="X342" s="6" t="s">
        <v>1278</v>
      </c>
      <c r="Y342" s="22">
        <v>21313559</v>
      </c>
      <c r="Z342" s="6"/>
      <c r="AA342" s="21"/>
      <c r="AB342" s="23">
        <v>44034</v>
      </c>
      <c r="AC342" s="21" t="s">
        <v>30</v>
      </c>
      <c r="AD342" s="24" t="s">
        <v>1279</v>
      </c>
      <c r="AE342" s="6" t="s">
        <v>31</v>
      </c>
      <c r="AF342" s="6"/>
      <c r="AG342" s="6" t="s">
        <v>3039</v>
      </c>
    </row>
    <row r="343" spans="1:33" ht="7.5" customHeight="1" x14ac:dyDescent="0.25">
      <c r="A343" s="27"/>
      <c r="B343" s="39"/>
      <c r="C343" s="39"/>
      <c r="D343" s="39"/>
      <c r="E343" s="28"/>
      <c r="F343" s="27"/>
      <c r="G343" s="27"/>
      <c r="H343" s="27"/>
      <c r="I343" s="27"/>
      <c r="J343" s="30"/>
      <c r="K343" s="30"/>
      <c r="L343" s="29"/>
      <c r="M343" s="27"/>
      <c r="N343" s="27"/>
      <c r="O343" s="27"/>
      <c r="P343" s="27"/>
      <c r="Q343" s="29"/>
      <c r="R343" s="29"/>
      <c r="S343" s="29"/>
      <c r="T343" s="29"/>
      <c r="U343" s="27"/>
      <c r="V343" s="29"/>
      <c r="W343" s="29"/>
      <c r="X343" s="29"/>
      <c r="Y343" s="31"/>
      <c r="Z343" s="29"/>
      <c r="AA343" s="30"/>
      <c r="AB343" s="32"/>
      <c r="AC343" s="30"/>
      <c r="AD343" s="33"/>
      <c r="AE343" s="29"/>
      <c r="AF343" s="29"/>
      <c r="AG343" s="29"/>
    </row>
    <row r="344" spans="1:33" ht="15" customHeight="1" x14ac:dyDescent="0.25">
      <c r="A344" s="5">
        <v>31</v>
      </c>
      <c r="B344" s="38">
        <v>44041</v>
      </c>
      <c r="C344" s="38">
        <v>44025</v>
      </c>
      <c r="D344" s="38">
        <v>44013</v>
      </c>
      <c r="E344" s="28">
        <v>44041</v>
      </c>
      <c r="F344" s="5">
        <v>1611</v>
      </c>
      <c r="G344" s="5" t="s">
        <v>91</v>
      </c>
      <c r="H344" s="5" t="s">
        <v>40</v>
      </c>
      <c r="I344" s="5" t="s">
        <v>92</v>
      </c>
      <c r="J344" s="21" t="s">
        <v>372</v>
      </c>
      <c r="K344" s="21" t="s">
        <v>1324</v>
      </c>
      <c r="L344" s="6" t="s">
        <v>855</v>
      </c>
      <c r="M344" s="5">
        <v>15</v>
      </c>
      <c r="N344" s="5" t="s">
        <v>91</v>
      </c>
      <c r="O344" s="5" t="s">
        <v>91</v>
      </c>
      <c r="P344" s="5" t="s">
        <v>91</v>
      </c>
      <c r="Q344" s="6" t="s">
        <v>559</v>
      </c>
      <c r="R344" s="6" t="s">
        <v>742</v>
      </c>
      <c r="S344" s="6" t="s">
        <v>244</v>
      </c>
      <c r="T344" s="6" t="s">
        <v>1325</v>
      </c>
      <c r="U344" s="5"/>
      <c r="V344" s="6"/>
      <c r="W344" s="6" t="s">
        <v>1326</v>
      </c>
      <c r="X344" s="6" t="s">
        <v>1278</v>
      </c>
      <c r="Y344" s="22" t="s">
        <v>1327</v>
      </c>
      <c r="Z344" s="6"/>
      <c r="AA344" s="21" t="s">
        <v>1328</v>
      </c>
      <c r="AB344" s="23">
        <v>44006</v>
      </c>
      <c r="AC344" s="21" t="s">
        <v>32</v>
      </c>
      <c r="AD344" s="24" t="s">
        <v>1329</v>
      </c>
      <c r="AE344" s="6" t="s">
        <v>36</v>
      </c>
      <c r="AF344" s="6"/>
      <c r="AG344" s="6" t="s">
        <v>3042</v>
      </c>
    </row>
    <row r="345" spans="1:33" ht="7.5" customHeight="1" x14ac:dyDescent="0.25">
      <c r="A345" s="27"/>
      <c r="B345" s="39"/>
      <c r="C345" s="39"/>
      <c r="D345" s="39"/>
      <c r="E345" s="28"/>
      <c r="F345" s="27"/>
      <c r="G345" s="27"/>
      <c r="H345" s="27"/>
      <c r="I345" s="27"/>
      <c r="J345" s="30"/>
      <c r="K345" s="30"/>
      <c r="L345" s="29"/>
      <c r="M345" s="27"/>
      <c r="N345" s="27"/>
      <c r="O345" s="27"/>
      <c r="P345" s="27"/>
      <c r="Q345" s="29"/>
      <c r="R345" s="29"/>
      <c r="S345" s="29"/>
      <c r="T345" s="29"/>
      <c r="U345" s="27"/>
      <c r="V345" s="29"/>
      <c r="W345" s="29"/>
      <c r="X345" s="29"/>
      <c r="Y345" s="31"/>
      <c r="Z345" s="29"/>
      <c r="AA345" s="30"/>
      <c r="AB345" s="32"/>
      <c r="AC345" s="30"/>
      <c r="AD345" s="33"/>
      <c r="AE345" s="29"/>
      <c r="AF345" s="29"/>
      <c r="AG345" s="29"/>
    </row>
    <row r="346" spans="1:33" ht="15" customHeight="1" x14ac:dyDescent="0.25">
      <c r="A346" s="5">
        <v>31</v>
      </c>
      <c r="B346" s="38">
        <v>44039</v>
      </c>
      <c r="C346" s="38">
        <v>44025</v>
      </c>
      <c r="D346" s="38">
        <v>44018</v>
      </c>
      <c r="E346" s="28">
        <v>44039</v>
      </c>
      <c r="F346" s="5">
        <v>12060</v>
      </c>
      <c r="G346" s="5" t="s">
        <v>91</v>
      </c>
      <c r="H346" s="5" t="s">
        <v>43</v>
      </c>
      <c r="I346" s="5" t="s">
        <v>92</v>
      </c>
      <c r="J346" s="21" t="s">
        <v>275</v>
      </c>
      <c r="K346" s="21" t="s">
        <v>1291</v>
      </c>
      <c r="L346" s="6" t="s">
        <v>1292</v>
      </c>
      <c r="M346" s="5">
        <v>13</v>
      </c>
      <c r="N346" s="5" t="s">
        <v>91</v>
      </c>
      <c r="O346" s="5" t="s">
        <v>91</v>
      </c>
      <c r="P346" s="5" t="s">
        <v>91</v>
      </c>
      <c r="Q346" s="6"/>
      <c r="R346" s="6" t="s">
        <v>112</v>
      </c>
      <c r="S346" s="6"/>
      <c r="T346" s="6"/>
      <c r="U346" s="5"/>
      <c r="V346" s="6"/>
      <c r="W346" s="6" t="s">
        <v>1293</v>
      </c>
      <c r="X346" s="6"/>
      <c r="Y346" s="22"/>
      <c r="Z346" s="6">
        <v>5</v>
      </c>
      <c r="AA346" s="21"/>
      <c r="AB346" s="23">
        <v>44020</v>
      </c>
      <c r="AC346" s="21" t="s">
        <v>30</v>
      </c>
      <c r="AD346" s="24" t="s">
        <v>1294</v>
      </c>
      <c r="AE346" s="6" t="s">
        <v>36</v>
      </c>
      <c r="AF346" s="6"/>
      <c r="AG346" s="6" t="s">
        <v>3042</v>
      </c>
    </row>
    <row r="347" spans="1:33" ht="7.5" customHeight="1" x14ac:dyDescent="0.25">
      <c r="A347" s="27"/>
      <c r="B347" s="39"/>
      <c r="C347" s="39"/>
      <c r="D347" s="39"/>
      <c r="E347" s="28"/>
      <c r="F347" s="27"/>
      <c r="G347" s="27"/>
      <c r="H347" s="27"/>
      <c r="I347" s="27"/>
      <c r="J347" s="30"/>
      <c r="K347" s="30"/>
      <c r="L347" s="29"/>
      <c r="M347" s="27"/>
      <c r="N347" s="27"/>
      <c r="O347" s="27"/>
      <c r="P347" s="27"/>
      <c r="Q347" s="29"/>
      <c r="R347" s="29"/>
      <c r="S347" s="29"/>
      <c r="T347" s="29"/>
      <c r="U347" s="27"/>
      <c r="V347" s="29"/>
      <c r="W347" s="29"/>
      <c r="X347" s="29"/>
      <c r="Y347" s="31"/>
      <c r="Z347" s="29"/>
      <c r="AA347" s="30"/>
      <c r="AB347" s="32"/>
      <c r="AC347" s="30"/>
      <c r="AD347" s="33"/>
      <c r="AE347" s="29"/>
      <c r="AF347" s="29"/>
      <c r="AG347" s="29"/>
    </row>
    <row r="348" spans="1:33" ht="15" customHeight="1" x14ac:dyDescent="0.25">
      <c r="A348" s="5">
        <v>30</v>
      </c>
      <c r="B348" s="38">
        <v>44034</v>
      </c>
      <c r="C348" s="38">
        <v>44025</v>
      </c>
      <c r="D348" s="38">
        <v>44014</v>
      </c>
      <c r="E348" s="36">
        <v>44034</v>
      </c>
      <c r="F348" s="5">
        <v>4802</v>
      </c>
      <c r="G348" s="5" t="s">
        <v>91</v>
      </c>
      <c r="H348" s="5" t="s">
        <v>43</v>
      </c>
      <c r="I348" s="5" t="s">
        <v>92</v>
      </c>
      <c r="J348" s="21" t="s">
        <v>109</v>
      </c>
      <c r="K348" s="21" t="s">
        <v>1166</v>
      </c>
      <c r="L348" s="6" t="s">
        <v>1167</v>
      </c>
      <c r="M348" s="5">
        <v>0</v>
      </c>
      <c r="N348" s="5" t="s">
        <v>91</v>
      </c>
      <c r="O348" s="5" t="s">
        <v>91</v>
      </c>
      <c r="P348" s="5" t="s">
        <v>91</v>
      </c>
      <c r="Q348" s="6" t="s">
        <v>559</v>
      </c>
      <c r="R348" s="6" t="s">
        <v>123</v>
      </c>
      <c r="S348" s="6"/>
      <c r="T348" s="6"/>
      <c r="U348" s="5"/>
      <c r="V348" s="6"/>
      <c r="W348" s="6" t="s">
        <v>1168</v>
      </c>
      <c r="X348" s="6"/>
      <c r="Y348" s="22"/>
      <c r="Z348" s="6"/>
      <c r="AA348" s="21" t="s">
        <v>1169</v>
      </c>
      <c r="AB348" s="23">
        <v>44029</v>
      </c>
      <c r="AC348" s="21" t="s">
        <v>30</v>
      </c>
      <c r="AD348" s="24" t="s">
        <v>1170</v>
      </c>
      <c r="AE348" s="6" t="s">
        <v>31</v>
      </c>
      <c r="AF348" s="6"/>
      <c r="AG348" s="6" t="s">
        <v>3042</v>
      </c>
    </row>
    <row r="349" spans="1:33" ht="7.5" customHeight="1" x14ac:dyDescent="0.25">
      <c r="A349" s="27"/>
      <c r="B349" s="39"/>
      <c r="C349" s="39"/>
      <c r="D349" s="39"/>
      <c r="E349" s="28"/>
      <c r="F349" s="27"/>
      <c r="G349" s="27"/>
      <c r="H349" s="27"/>
      <c r="I349" s="27"/>
      <c r="J349" s="30"/>
      <c r="K349" s="30"/>
      <c r="L349" s="29"/>
      <c r="M349" s="27"/>
      <c r="N349" s="27"/>
      <c r="O349" s="27"/>
      <c r="P349" s="27"/>
      <c r="Q349" s="29"/>
      <c r="R349" s="29"/>
      <c r="S349" s="29"/>
      <c r="T349" s="29"/>
      <c r="U349" s="27"/>
      <c r="V349" s="29"/>
      <c r="W349" s="29"/>
      <c r="X349" s="29"/>
      <c r="Y349" s="31"/>
      <c r="Z349" s="29"/>
      <c r="AA349" s="30"/>
      <c r="AB349" s="32"/>
      <c r="AC349" s="30"/>
      <c r="AD349" s="33"/>
      <c r="AE349" s="29"/>
      <c r="AF349" s="29"/>
      <c r="AG349" s="29"/>
    </row>
    <row r="350" spans="1:33" ht="15" customHeight="1" x14ac:dyDescent="0.25">
      <c r="A350" s="5">
        <v>31</v>
      </c>
      <c r="B350" s="38">
        <v>44039</v>
      </c>
      <c r="C350" s="38">
        <v>44025</v>
      </c>
      <c r="D350" s="38">
        <v>44018</v>
      </c>
      <c r="E350" s="28">
        <v>44039</v>
      </c>
      <c r="F350" s="5">
        <v>4796</v>
      </c>
      <c r="G350" s="5" t="s">
        <v>91</v>
      </c>
      <c r="H350" s="5" t="s">
        <v>40</v>
      </c>
      <c r="I350" s="5" t="s">
        <v>92</v>
      </c>
      <c r="J350" s="21" t="s">
        <v>109</v>
      </c>
      <c r="K350" s="21" t="s">
        <v>1295</v>
      </c>
      <c r="L350" s="6" t="s">
        <v>1296</v>
      </c>
      <c r="M350" s="5">
        <v>14</v>
      </c>
      <c r="N350" s="5" t="s">
        <v>91</v>
      </c>
      <c r="O350" s="5" t="s">
        <v>91</v>
      </c>
      <c r="P350" s="5" t="s">
        <v>91</v>
      </c>
      <c r="Q350" s="6"/>
      <c r="R350" s="6" t="s">
        <v>112</v>
      </c>
      <c r="S350" s="6"/>
      <c r="T350" s="6"/>
      <c r="U350" s="5"/>
      <c r="V350" s="6"/>
      <c r="W350" s="6" t="s">
        <v>1297</v>
      </c>
      <c r="X350" s="6"/>
      <c r="Y350" s="22"/>
      <c r="Z350" s="6">
        <v>5</v>
      </c>
      <c r="AA350" s="21">
        <v>13818</v>
      </c>
      <c r="AB350" s="23">
        <v>44020</v>
      </c>
      <c r="AC350" s="21" t="s">
        <v>32</v>
      </c>
      <c r="AD350" s="24" t="s">
        <v>1298</v>
      </c>
      <c r="AE350" s="6" t="s">
        <v>31</v>
      </c>
      <c r="AF350" s="6"/>
      <c r="AG350" s="6" t="s">
        <v>3039</v>
      </c>
    </row>
    <row r="351" spans="1:33" ht="15" customHeight="1" x14ac:dyDescent="0.25">
      <c r="A351" s="5">
        <v>31</v>
      </c>
      <c r="B351" s="38">
        <v>44039</v>
      </c>
      <c r="C351" s="38">
        <v>44025</v>
      </c>
      <c r="D351" s="38">
        <v>44018</v>
      </c>
      <c r="E351" s="28">
        <v>44039</v>
      </c>
      <c r="F351" s="5">
        <v>5608</v>
      </c>
      <c r="G351" s="5" t="s">
        <v>91</v>
      </c>
      <c r="H351" s="5" t="s">
        <v>41</v>
      </c>
      <c r="I351" s="5" t="s">
        <v>92</v>
      </c>
      <c r="J351" s="21" t="s">
        <v>131</v>
      </c>
      <c r="K351" s="21" t="s">
        <v>1300</v>
      </c>
      <c r="L351" s="6" t="s">
        <v>152</v>
      </c>
      <c r="M351" s="5">
        <v>0</v>
      </c>
      <c r="N351" s="5" t="s">
        <v>91</v>
      </c>
      <c r="O351" s="5" t="s">
        <v>91</v>
      </c>
      <c r="P351" s="5" t="s">
        <v>91</v>
      </c>
      <c r="Q351" s="6" t="s">
        <v>559</v>
      </c>
      <c r="R351" s="6" t="s">
        <v>112</v>
      </c>
      <c r="S351" s="6"/>
      <c r="T351" s="6"/>
      <c r="U351" s="5"/>
      <c r="V351" s="6"/>
      <c r="W351" s="6" t="s">
        <v>183</v>
      </c>
      <c r="X351" s="6"/>
      <c r="Y351" s="22"/>
      <c r="Z351" s="6"/>
      <c r="AA351" s="21"/>
      <c r="AB351" s="23">
        <v>44034</v>
      </c>
      <c r="AC351" s="21" t="s">
        <v>32</v>
      </c>
      <c r="AD351" s="24" t="s">
        <v>1301</v>
      </c>
      <c r="AE351" s="6" t="s">
        <v>38</v>
      </c>
      <c r="AF351" s="6"/>
      <c r="AG351" s="6" t="s">
        <v>3041</v>
      </c>
    </row>
    <row r="352" spans="1:33" ht="7.5" customHeight="1" x14ac:dyDescent="0.25">
      <c r="A352" s="27"/>
      <c r="B352" s="39"/>
      <c r="C352" s="39"/>
      <c r="D352" s="39"/>
      <c r="E352" s="28"/>
      <c r="F352" s="27"/>
      <c r="G352" s="27"/>
      <c r="H352" s="27"/>
      <c r="I352" s="27"/>
      <c r="J352" s="30"/>
      <c r="K352" s="30"/>
      <c r="L352" s="29"/>
      <c r="M352" s="27"/>
      <c r="N352" s="27"/>
      <c r="O352" s="27"/>
      <c r="P352" s="27"/>
      <c r="Q352" s="29"/>
      <c r="R352" s="29"/>
      <c r="S352" s="29"/>
      <c r="T352" s="29"/>
      <c r="U352" s="27"/>
      <c r="V352" s="29"/>
      <c r="W352" s="29"/>
      <c r="X352" s="29"/>
      <c r="Y352" s="31"/>
      <c r="Z352" s="29"/>
      <c r="AA352" s="30"/>
      <c r="AB352" s="32"/>
      <c r="AC352" s="30"/>
      <c r="AD352" s="33"/>
      <c r="AE352" s="29"/>
      <c r="AF352" s="29"/>
      <c r="AG352" s="29"/>
    </row>
    <row r="353" spans="1:33" ht="15" customHeight="1" x14ac:dyDescent="0.25">
      <c r="A353" s="5">
        <v>31</v>
      </c>
      <c r="B353" s="38">
        <v>44041</v>
      </c>
      <c r="C353" s="38">
        <v>44025</v>
      </c>
      <c r="D353" s="38">
        <v>44006</v>
      </c>
      <c r="E353" s="28">
        <v>44041</v>
      </c>
      <c r="F353" s="5">
        <v>6692</v>
      </c>
      <c r="G353" s="5" t="s">
        <v>91</v>
      </c>
      <c r="H353" s="5" t="s">
        <v>40</v>
      </c>
      <c r="I353" s="5" t="s">
        <v>92</v>
      </c>
      <c r="J353" s="21" t="s">
        <v>191</v>
      </c>
      <c r="K353" s="21" t="s">
        <v>1349</v>
      </c>
      <c r="L353" s="6" t="s">
        <v>1350</v>
      </c>
      <c r="M353" s="5">
        <v>16</v>
      </c>
      <c r="N353" s="5" t="s">
        <v>91</v>
      </c>
      <c r="O353" s="5" t="s">
        <v>91</v>
      </c>
      <c r="P353" s="5" t="s">
        <v>91</v>
      </c>
      <c r="Q353" s="6" t="s">
        <v>559</v>
      </c>
      <c r="R353" s="6" t="s">
        <v>194</v>
      </c>
      <c r="S353" s="6"/>
      <c r="T353" s="6"/>
      <c r="U353" s="5"/>
      <c r="V353" s="6"/>
      <c r="W353" s="6" t="s">
        <v>672</v>
      </c>
      <c r="X353" s="6"/>
      <c r="Y353" s="22"/>
      <c r="Z353" s="6">
        <v>5</v>
      </c>
      <c r="AA353" s="21"/>
      <c r="AB353" s="23"/>
      <c r="AC353" s="21" t="s">
        <v>33</v>
      </c>
      <c r="AD353" s="24" t="s">
        <v>1351</v>
      </c>
      <c r="AE353" s="6" t="s">
        <v>31</v>
      </c>
      <c r="AF353" s="6"/>
      <c r="AG353" s="6" t="s">
        <v>3040</v>
      </c>
    </row>
    <row r="354" spans="1:33" ht="7.5" customHeight="1" x14ac:dyDescent="0.25">
      <c r="A354" s="27"/>
      <c r="B354" s="39"/>
      <c r="C354" s="39"/>
      <c r="D354" s="39"/>
      <c r="E354" s="28"/>
      <c r="F354" s="27"/>
      <c r="G354" s="27"/>
      <c r="H354" s="27"/>
      <c r="I354" s="27"/>
      <c r="J354" s="30"/>
      <c r="K354" s="30"/>
      <c r="L354" s="29"/>
      <c r="M354" s="27"/>
      <c r="N354" s="27"/>
      <c r="O354" s="27"/>
      <c r="P354" s="27"/>
      <c r="Q354" s="29"/>
      <c r="R354" s="29"/>
      <c r="S354" s="29"/>
      <c r="T354" s="29"/>
      <c r="U354" s="27"/>
      <c r="V354" s="29"/>
      <c r="W354" s="29"/>
      <c r="X354" s="29"/>
      <c r="Y354" s="31"/>
      <c r="Z354" s="29"/>
      <c r="AA354" s="30"/>
      <c r="AB354" s="32"/>
      <c r="AC354" s="30"/>
      <c r="AD354" s="33"/>
      <c r="AE354" s="29"/>
      <c r="AF354" s="29"/>
      <c r="AG354" s="29"/>
    </row>
    <row r="355" spans="1:33" ht="15" customHeight="1" x14ac:dyDescent="0.25">
      <c r="A355" s="5">
        <v>31</v>
      </c>
      <c r="B355" s="38">
        <v>44039</v>
      </c>
      <c r="C355" s="38">
        <v>44025</v>
      </c>
      <c r="D355" s="38">
        <v>44018</v>
      </c>
      <c r="E355" s="28">
        <v>44039</v>
      </c>
      <c r="F355" s="5">
        <v>8730</v>
      </c>
      <c r="G355" s="5" t="s">
        <v>91</v>
      </c>
      <c r="H355" s="5" t="s">
        <v>41</v>
      </c>
      <c r="I355" s="5" t="s">
        <v>92</v>
      </c>
      <c r="J355" s="21" t="s">
        <v>147</v>
      </c>
      <c r="K355" s="21" t="s">
        <v>1314</v>
      </c>
      <c r="L355" s="6" t="s">
        <v>1315</v>
      </c>
      <c r="M355" s="5">
        <v>0</v>
      </c>
      <c r="N355" s="5" t="s">
        <v>91</v>
      </c>
      <c r="O355" s="5" t="s">
        <v>91</v>
      </c>
      <c r="P355" s="5" t="s">
        <v>91</v>
      </c>
      <c r="Q355" s="6" t="s">
        <v>559</v>
      </c>
      <c r="R355" s="6" t="s">
        <v>1316</v>
      </c>
      <c r="S355" s="6"/>
      <c r="T355" s="6"/>
      <c r="U355" s="5"/>
      <c r="V355" s="6" t="s">
        <v>1317</v>
      </c>
      <c r="W355" s="6" t="s">
        <v>1318</v>
      </c>
      <c r="X355" s="6" t="s">
        <v>1319</v>
      </c>
      <c r="Y355" s="22">
        <v>272792589</v>
      </c>
      <c r="Z355" s="6"/>
      <c r="AA355" s="21"/>
      <c r="AB355" s="23">
        <v>44034</v>
      </c>
      <c r="AC355" s="21" t="s">
        <v>30</v>
      </c>
      <c r="AD355" s="24" t="s">
        <v>296</v>
      </c>
      <c r="AE355" s="6" t="s">
        <v>34</v>
      </c>
      <c r="AF355" s="6"/>
      <c r="AG355" s="6" t="s">
        <v>3040</v>
      </c>
    </row>
    <row r="356" spans="1:33" ht="7.5" customHeight="1" x14ac:dyDescent="0.25">
      <c r="A356" s="27"/>
      <c r="B356" s="39"/>
      <c r="C356" s="39"/>
      <c r="D356" s="39"/>
      <c r="E356" s="28"/>
      <c r="F356" s="27"/>
      <c r="G356" s="27"/>
      <c r="H356" s="27"/>
      <c r="I356" s="27"/>
      <c r="J356" s="30"/>
      <c r="K356" s="30"/>
      <c r="L356" s="29"/>
      <c r="M356" s="27"/>
      <c r="N356" s="27"/>
      <c r="O356" s="27"/>
      <c r="P356" s="27"/>
      <c r="Q356" s="29"/>
      <c r="R356" s="29"/>
      <c r="S356" s="29"/>
      <c r="T356" s="29"/>
      <c r="U356" s="27"/>
      <c r="V356" s="29"/>
      <c r="W356" s="29"/>
      <c r="X356" s="29"/>
      <c r="Y356" s="31"/>
      <c r="Z356" s="29"/>
      <c r="AA356" s="30"/>
      <c r="AB356" s="32"/>
      <c r="AC356" s="30"/>
      <c r="AD356" s="33"/>
      <c r="AE356" s="29"/>
      <c r="AF356" s="29"/>
      <c r="AG356" s="29"/>
    </row>
    <row r="357" spans="1:33" ht="15" customHeight="1" x14ac:dyDescent="0.25">
      <c r="A357" s="5">
        <v>30</v>
      </c>
      <c r="B357" s="38">
        <v>44035</v>
      </c>
      <c r="C357" s="38">
        <v>44026</v>
      </c>
      <c r="D357" s="38">
        <v>44001</v>
      </c>
      <c r="E357" s="36">
        <v>44035</v>
      </c>
      <c r="F357" s="5">
        <v>8691</v>
      </c>
      <c r="G357" s="5" t="s">
        <v>91</v>
      </c>
      <c r="H357" s="5" t="s">
        <v>41</v>
      </c>
      <c r="I357" s="5" t="s">
        <v>92</v>
      </c>
      <c r="J357" s="21" t="s">
        <v>147</v>
      </c>
      <c r="K357" s="21" t="s">
        <v>1228</v>
      </c>
      <c r="L357" s="6" t="s">
        <v>1229</v>
      </c>
      <c r="M357" s="5">
        <v>18</v>
      </c>
      <c r="N357" s="5" t="s">
        <v>91</v>
      </c>
      <c r="O357" s="5" t="s">
        <v>91</v>
      </c>
      <c r="P357" s="5" t="s">
        <v>91</v>
      </c>
      <c r="Q357" s="6" t="s">
        <v>741</v>
      </c>
      <c r="R357" s="6" t="s">
        <v>879</v>
      </c>
      <c r="S357" s="6" t="s">
        <v>265</v>
      </c>
      <c r="T357" s="6"/>
      <c r="U357" s="5"/>
      <c r="V357" s="6"/>
      <c r="W357" s="6" t="s">
        <v>1230</v>
      </c>
      <c r="X357" s="6" t="s">
        <v>1231</v>
      </c>
      <c r="Y357" s="22">
        <v>274691947</v>
      </c>
      <c r="Z357" s="6"/>
      <c r="AA357" s="21"/>
      <c r="AB357" s="23">
        <v>43986</v>
      </c>
      <c r="AC357" s="21" t="s">
        <v>32</v>
      </c>
      <c r="AD357" s="24" t="s">
        <v>1232</v>
      </c>
      <c r="AE357" s="6" t="s">
        <v>36</v>
      </c>
      <c r="AF357" s="6"/>
      <c r="AG357" s="6" t="s">
        <v>3042</v>
      </c>
    </row>
    <row r="358" spans="1:33" ht="7.5" customHeight="1" x14ac:dyDescent="0.25">
      <c r="A358" s="27"/>
      <c r="B358" s="39"/>
      <c r="C358" s="39"/>
      <c r="D358" s="39"/>
      <c r="E358" s="28"/>
      <c r="F358" s="27"/>
      <c r="G358" s="27"/>
      <c r="H358" s="27"/>
      <c r="I358" s="27"/>
      <c r="J358" s="30"/>
      <c r="K358" s="30"/>
      <c r="L358" s="29"/>
      <c r="M358" s="27"/>
      <c r="N358" s="27"/>
      <c r="O358" s="27"/>
      <c r="P358" s="27"/>
      <c r="Q358" s="29"/>
      <c r="R358" s="29"/>
      <c r="S358" s="29"/>
      <c r="T358" s="29"/>
      <c r="U358" s="27"/>
      <c r="V358" s="29"/>
      <c r="W358" s="29"/>
      <c r="X358" s="29"/>
      <c r="Y358" s="31"/>
      <c r="Z358" s="29"/>
      <c r="AA358" s="30"/>
      <c r="AB358" s="32"/>
      <c r="AC358" s="30"/>
      <c r="AD358" s="33"/>
      <c r="AE358" s="29"/>
      <c r="AF358" s="29"/>
      <c r="AG358" s="29"/>
    </row>
    <row r="359" spans="1:33" ht="15" customHeight="1" x14ac:dyDescent="0.25">
      <c r="A359" s="5">
        <v>30</v>
      </c>
      <c r="B359" s="38">
        <v>44036</v>
      </c>
      <c r="C359" s="38">
        <v>44027</v>
      </c>
      <c r="D359" s="38">
        <v>44018</v>
      </c>
      <c r="E359" s="36">
        <v>44036</v>
      </c>
      <c r="F359" s="5">
        <v>5595</v>
      </c>
      <c r="G359" s="5" t="s">
        <v>91</v>
      </c>
      <c r="H359" s="5" t="s">
        <v>40</v>
      </c>
      <c r="I359" s="5" t="s">
        <v>92</v>
      </c>
      <c r="J359" s="21" t="s">
        <v>131</v>
      </c>
      <c r="K359" s="21" t="s">
        <v>1176</v>
      </c>
      <c r="L359" s="6" t="s">
        <v>1251</v>
      </c>
      <c r="M359" s="5">
        <v>0</v>
      </c>
      <c r="N359" s="5" t="s">
        <v>91</v>
      </c>
      <c r="O359" s="5" t="s">
        <v>91</v>
      </c>
      <c r="P359" s="5" t="s">
        <v>91</v>
      </c>
      <c r="Q359" s="6"/>
      <c r="R359" s="6" t="s">
        <v>112</v>
      </c>
      <c r="S359" s="6"/>
      <c r="T359" s="6"/>
      <c r="U359" s="5"/>
      <c r="V359" s="6"/>
      <c r="W359" s="6" t="s">
        <v>794</v>
      </c>
      <c r="X359" s="6"/>
      <c r="Y359" s="22"/>
      <c r="Z359" s="6"/>
      <c r="AA359" s="21"/>
      <c r="AB359" s="23">
        <v>44022</v>
      </c>
      <c r="AC359" s="21" t="s">
        <v>30</v>
      </c>
      <c r="AD359" s="24" t="s">
        <v>1252</v>
      </c>
      <c r="AE359" s="6" t="s">
        <v>34</v>
      </c>
      <c r="AF359" s="6"/>
      <c r="AG359" s="6" t="s">
        <v>3040</v>
      </c>
    </row>
    <row r="360" spans="1:33" ht="7.5" customHeight="1" x14ac:dyDescent="0.25">
      <c r="A360" s="27"/>
      <c r="B360" s="39"/>
      <c r="C360" s="39"/>
      <c r="D360" s="39"/>
      <c r="E360" s="28"/>
      <c r="F360" s="27"/>
      <c r="G360" s="27"/>
      <c r="H360" s="27"/>
      <c r="I360" s="27"/>
      <c r="J360" s="30"/>
      <c r="K360" s="30"/>
      <c r="L360" s="29"/>
      <c r="M360" s="27"/>
      <c r="N360" s="27"/>
      <c r="O360" s="27"/>
      <c r="P360" s="27"/>
      <c r="Q360" s="29"/>
      <c r="R360" s="29"/>
      <c r="S360" s="29"/>
      <c r="T360" s="29"/>
      <c r="U360" s="27"/>
      <c r="V360" s="29"/>
      <c r="W360" s="29"/>
      <c r="X360" s="29"/>
      <c r="Y360" s="31"/>
      <c r="Z360" s="29"/>
      <c r="AA360" s="30"/>
      <c r="AB360" s="32"/>
      <c r="AC360" s="30"/>
      <c r="AD360" s="33"/>
      <c r="AE360" s="29"/>
      <c r="AF360" s="29"/>
      <c r="AG360" s="29"/>
    </row>
    <row r="361" spans="1:33" ht="15" customHeight="1" x14ac:dyDescent="0.25">
      <c r="A361" s="5">
        <v>31</v>
      </c>
      <c r="B361" s="38">
        <v>44041</v>
      </c>
      <c r="C361" s="38">
        <v>44027</v>
      </c>
      <c r="D361" s="38">
        <v>44020</v>
      </c>
      <c r="E361" s="28">
        <v>44041</v>
      </c>
      <c r="F361" s="5">
        <v>6697</v>
      </c>
      <c r="G361" s="5" t="s">
        <v>91</v>
      </c>
      <c r="H361" s="5" t="s">
        <v>40</v>
      </c>
      <c r="I361" s="5" t="s">
        <v>92</v>
      </c>
      <c r="J361" s="21" t="s">
        <v>191</v>
      </c>
      <c r="K361" s="21" t="s">
        <v>1193</v>
      </c>
      <c r="L361" s="6" t="s">
        <v>1352</v>
      </c>
      <c r="M361" s="5">
        <v>4</v>
      </c>
      <c r="N361" s="5" t="s">
        <v>91</v>
      </c>
      <c r="O361" s="5" t="s">
        <v>91</v>
      </c>
      <c r="P361" s="5" t="s">
        <v>91</v>
      </c>
      <c r="Q361" s="6"/>
      <c r="R361" s="6" t="s">
        <v>1189</v>
      </c>
      <c r="S361" s="6"/>
      <c r="T361" s="6"/>
      <c r="U361" s="5"/>
      <c r="V361" s="6"/>
      <c r="W361" s="6" t="s">
        <v>1353</v>
      </c>
      <c r="X361" s="6"/>
      <c r="Y361" s="22"/>
      <c r="Z361" s="6">
        <v>2</v>
      </c>
      <c r="AA361" s="21"/>
      <c r="AB361" s="23">
        <v>44014</v>
      </c>
      <c r="AC361" s="21" t="s">
        <v>33</v>
      </c>
      <c r="AD361" s="24" t="s">
        <v>1354</v>
      </c>
      <c r="AE361" s="6" t="s">
        <v>37</v>
      </c>
      <c r="AF361" s="6"/>
      <c r="AG361" s="6" t="s">
        <v>3041</v>
      </c>
    </row>
    <row r="362" spans="1:33" ht="15" customHeight="1" x14ac:dyDescent="0.25">
      <c r="A362" s="5">
        <v>31</v>
      </c>
      <c r="B362" s="38">
        <v>44041</v>
      </c>
      <c r="C362" s="38">
        <v>44027</v>
      </c>
      <c r="D362" s="38">
        <v>44020</v>
      </c>
      <c r="E362" s="28">
        <v>44041</v>
      </c>
      <c r="F362" s="5">
        <v>6703</v>
      </c>
      <c r="G362" s="5" t="s">
        <v>91</v>
      </c>
      <c r="H362" s="5" t="s">
        <v>40</v>
      </c>
      <c r="I362" s="5" t="s">
        <v>92</v>
      </c>
      <c r="J362" s="21" t="s">
        <v>191</v>
      </c>
      <c r="K362" s="21" t="s">
        <v>1355</v>
      </c>
      <c r="L362" s="6" t="s">
        <v>306</v>
      </c>
      <c r="M362" s="5">
        <v>17</v>
      </c>
      <c r="N362" s="5" t="s">
        <v>91</v>
      </c>
      <c r="O362" s="5" t="s">
        <v>91</v>
      </c>
      <c r="P362" s="5" t="s">
        <v>91</v>
      </c>
      <c r="Q362" s="6" t="s">
        <v>559</v>
      </c>
      <c r="R362" s="6" t="s">
        <v>194</v>
      </c>
      <c r="S362" s="6"/>
      <c r="T362" s="6"/>
      <c r="U362" s="5"/>
      <c r="V362" s="6"/>
      <c r="W362" s="6" t="s">
        <v>1356</v>
      </c>
      <c r="X362" s="6"/>
      <c r="Y362" s="22"/>
      <c r="Z362" s="6">
        <v>6</v>
      </c>
      <c r="AA362" s="21"/>
      <c r="AB362" s="23">
        <v>44025</v>
      </c>
      <c r="AC362" s="21" t="s">
        <v>33</v>
      </c>
      <c r="AD362" s="24" t="s">
        <v>1357</v>
      </c>
      <c r="AE362" s="6" t="s">
        <v>36</v>
      </c>
      <c r="AF362" s="6"/>
      <c r="AG362" s="6" t="s">
        <v>3042</v>
      </c>
    </row>
    <row r="363" spans="1:33" ht="15" customHeight="1" x14ac:dyDescent="0.25">
      <c r="A363" s="5">
        <v>31</v>
      </c>
      <c r="B363" s="38">
        <v>44041</v>
      </c>
      <c r="C363" s="38">
        <v>44027</v>
      </c>
      <c r="D363" s="38">
        <v>44020</v>
      </c>
      <c r="E363" s="28">
        <v>44041</v>
      </c>
      <c r="F363" s="5">
        <v>8725</v>
      </c>
      <c r="G363" s="5" t="s">
        <v>91</v>
      </c>
      <c r="H363" s="5" t="s">
        <v>43</v>
      </c>
      <c r="I363" s="5" t="s">
        <v>92</v>
      </c>
      <c r="J363" s="21" t="s">
        <v>147</v>
      </c>
      <c r="K363" s="21" t="s">
        <v>1358</v>
      </c>
      <c r="L363" s="6" t="s">
        <v>1359</v>
      </c>
      <c r="M363" s="5">
        <v>2</v>
      </c>
      <c r="N363" s="5" t="s">
        <v>91</v>
      </c>
      <c r="O363" s="5" t="s">
        <v>91</v>
      </c>
      <c r="P363" s="5" t="s">
        <v>91</v>
      </c>
      <c r="Q363" s="6" t="s">
        <v>741</v>
      </c>
      <c r="R363" s="6" t="s">
        <v>747</v>
      </c>
      <c r="S363" s="6" t="s">
        <v>244</v>
      </c>
      <c r="T363" s="6"/>
      <c r="U363" s="5"/>
      <c r="V363" s="6"/>
      <c r="W363" s="6" t="s">
        <v>1360</v>
      </c>
      <c r="X363" s="6" t="s">
        <v>1361</v>
      </c>
      <c r="Y363" s="22">
        <v>21646268</v>
      </c>
      <c r="Z363" s="6"/>
      <c r="AA363" s="21"/>
      <c r="AB363" s="23">
        <v>44027</v>
      </c>
      <c r="AC363" s="21" t="s">
        <v>30</v>
      </c>
      <c r="AD363" s="24" t="s">
        <v>1362</v>
      </c>
      <c r="AE363" s="6" t="s">
        <v>38</v>
      </c>
      <c r="AF363" s="6"/>
      <c r="AG363" s="6" t="s">
        <v>3039</v>
      </c>
    </row>
    <row r="364" spans="1:33" ht="7.5" customHeight="1" x14ac:dyDescent="0.25">
      <c r="A364" s="27"/>
      <c r="B364" s="39"/>
      <c r="C364" s="39"/>
      <c r="D364" s="39"/>
      <c r="E364" s="28"/>
      <c r="F364" s="27"/>
      <c r="G364" s="27"/>
      <c r="H364" s="27"/>
      <c r="I364" s="27"/>
      <c r="J364" s="30"/>
      <c r="K364" s="30"/>
      <c r="L364" s="29"/>
      <c r="M364" s="27"/>
      <c r="N364" s="27"/>
      <c r="O364" s="27"/>
      <c r="P364" s="27"/>
      <c r="Q364" s="29"/>
      <c r="R364" s="29"/>
      <c r="S364" s="29"/>
      <c r="T364" s="29"/>
      <c r="U364" s="27"/>
      <c r="V364" s="29"/>
      <c r="W364" s="29"/>
      <c r="X364" s="29"/>
      <c r="Y364" s="31"/>
      <c r="Z364" s="29"/>
      <c r="AA364" s="30"/>
      <c r="AB364" s="32"/>
      <c r="AC364" s="30"/>
      <c r="AD364" s="33"/>
      <c r="AE364" s="29"/>
      <c r="AF364" s="29"/>
      <c r="AG364" s="29"/>
    </row>
    <row r="365" spans="1:33" ht="15" customHeight="1" x14ac:dyDescent="0.25">
      <c r="A365" s="5">
        <v>31</v>
      </c>
      <c r="B365" s="38">
        <v>44039</v>
      </c>
      <c r="C365" s="38">
        <v>44028</v>
      </c>
      <c r="D365" s="38">
        <v>44013</v>
      </c>
      <c r="E365" s="28">
        <v>44039</v>
      </c>
      <c r="F365" s="5">
        <v>5586</v>
      </c>
      <c r="G365" s="5" t="s">
        <v>91</v>
      </c>
      <c r="H365" s="5" t="s">
        <v>40</v>
      </c>
      <c r="I365" s="5" t="s">
        <v>92</v>
      </c>
      <c r="J365" s="21" t="s">
        <v>131</v>
      </c>
      <c r="K365" s="21" t="s">
        <v>1018</v>
      </c>
      <c r="L365" s="6" t="s">
        <v>1299</v>
      </c>
      <c r="M365" s="5">
        <v>0</v>
      </c>
      <c r="N365" s="5" t="s">
        <v>91</v>
      </c>
      <c r="O365" s="5" t="s">
        <v>91</v>
      </c>
      <c r="P365" s="5" t="s">
        <v>91</v>
      </c>
      <c r="Q365" s="6"/>
      <c r="R365" s="6" t="s">
        <v>112</v>
      </c>
      <c r="S365" s="6"/>
      <c r="T365" s="6"/>
      <c r="U365" s="5"/>
      <c r="V365" s="6" t="s">
        <v>1172</v>
      </c>
      <c r="W365" s="6" t="s">
        <v>794</v>
      </c>
      <c r="X365" s="6"/>
      <c r="Y365" s="22"/>
      <c r="Z365" s="6">
        <v>0</v>
      </c>
      <c r="AA365" s="21"/>
      <c r="AB365" s="23">
        <v>44014</v>
      </c>
      <c r="AC365" s="21" t="s">
        <v>32</v>
      </c>
      <c r="AD365" s="24" t="s">
        <v>115</v>
      </c>
      <c r="AE365" s="6" t="s">
        <v>37</v>
      </c>
      <c r="AF365" s="6"/>
      <c r="AG365" s="6" t="s">
        <v>3040</v>
      </c>
    </row>
    <row r="366" spans="1:33" ht="7.5" customHeight="1" x14ac:dyDescent="0.25">
      <c r="A366" s="27"/>
      <c r="B366" s="39"/>
      <c r="C366" s="39"/>
      <c r="D366" s="39"/>
      <c r="E366" s="28"/>
      <c r="F366" s="27"/>
      <c r="G366" s="27"/>
      <c r="H366" s="27"/>
      <c r="I366" s="27"/>
      <c r="J366" s="30"/>
      <c r="K366" s="30"/>
      <c r="L366" s="29"/>
      <c r="M366" s="27"/>
      <c r="N366" s="27"/>
      <c r="O366" s="27"/>
      <c r="P366" s="27"/>
      <c r="Q366" s="29"/>
      <c r="R366" s="29"/>
      <c r="S366" s="29"/>
      <c r="T366" s="29"/>
      <c r="U366" s="27"/>
      <c r="V366" s="29"/>
      <c r="W366" s="29"/>
      <c r="X366" s="29"/>
      <c r="Y366" s="31"/>
      <c r="Z366" s="29"/>
      <c r="AA366" s="30"/>
      <c r="AB366" s="32"/>
      <c r="AC366" s="30"/>
      <c r="AD366" s="33"/>
      <c r="AE366" s="29"/>
      <c r="AF366" s="29"/>
      <c r="AG366" s="29"/>
    </row>
    <row r="367" spans="1:33" ht="15" customHeight="1" x14ac:dyDescent="0.25">
      <c r="A367" s="5">
        <v>31</v>
      </c>
      <c r="B367" s="38">
        <v>44042</v>
      </c>
      <c r="C367" s="38">
        <v>44028</v>
      </c>
      <c r="D367" s="38">
        <v>44021</v>
      </c>
      <c r="E367" s="28">
        <v>44042</v>
      </c>
      <c r="F367" s="5">
        <v>8720</v>
      </c>
      <c r="G367" s="5" t="s">
        <v>91</v>
      </c>
      <c r="H367" s="5" t="s">
        <v>43</v>
      </c>
      <c r="I367" s="5" t="s">
        <v>92</v>
      </c>
      <c r="J367" s="21" t="s">
        <v>147</v>
      </c>
      <c r="K367" s="21" t="s">
        <v>1371</v>
      </c>
      <c r="L367" s="6" t="s">
        <v>1372</v>
      </c>
      <c r="M367" s="5">
        <v>2</v>
      </c>
      <c r="N367" s="5" t="s">
        <v>91</v>
      </c>
      <c r="O367" s="5" t="s">
        <v>91</v>
      </c>
      <c r="P367" s="5" t="s">
        <v>91</v>
      </c>
      <c r="Q367" s="6"/>
      <c r="R367" s="6" t="s">
        <v>1373</v>
      </c>
      <c r="S367" s="6"/>
      <c r="T367" s="6"/>
      <c r="U367" s="5"/>
      <c r="V367" s="6"/>
      <c r="W367" s="6" t="s">
        <v>1373</v>
      </c>
      <c r="X367" s="6"/>
      <c r="Y367" s="22"/>
      <c r="Z367" s="6"/>
      <c r="AA367" s="21"/>
      <c r="AB367" s="23">
        <v>44021</v>
      </c>
      <c r="AC367" s="21" t="s">
        <v>30</v>
      </c>
      <c r="AD367" s="24" t="s">
        <v>1374</v>
      </c>
      <c r="AE367" s="6" t="s">
        <v>31</v>
      </c>
      <c r="AF367" s="6"/>
      <c r="AG367" s="6" t="s">
        <v>3042</v>
      </c>
    </row>
    <row r="368" spans="1:33" ht="7.5" customHeight="1" x14ac:dyDescent="0.25">
      <c r="A368" s="27"/>
      <c r="B368" s="39"/>
      <c r="C368" s="39"/>
      <c r="D368" s="39"/>
      <c r="E368" s="28"/>
      <c r="F368" s="27"/>
      <c r="G368" s="27"/>
      <c r="H368" s="27"/>
      <c r="I368" s="27"/>
      <c r="J368" s="30"/>
      <c r="K368" s="30"/>
      <c r="L368" s="29"/>
      <c r="M368" s="27"/>
      <c r="N368" s="27"/>
      <c r="O368" s="27"/>
      <c r="P368" s="27"/>
      <c r="Q368" s="29"/>
      <c r="R368" s="29"/>
      <c r="S368" s="29"/>
      <c r="T368" s="29"/>
      <c r="U368" s="27"/>
      <c r="V368" s="29"/>
      <c r="W368" s="29"/>
      <c r="X368" s="29"/>
      <c r="Y368" s="31"/>
      <c r="Z368" s="29"/>
      <c r="AA368" s="30"/>
      <c r="AB368" s="32"/>
      <c r="AC368" s="30"/>
      <c r="AD368" s="33"/>
      <c r="AE368" s="29"/>
      <c r="AF368" s="29"/>
      <c r="AG368" s="29"/>
    </row>
    <row r="369" spans="1:33" ht="15" customHeight="1" x14ac:dyDescent="0.25">
      <c r="A369" s="5">
        <v>31</v>
      </c>
      <c r="B369" s="38">
        <v>44043</v>
      </c>
      <c r="C369" s="38">
        <v>44029</v>
      </c>
      <c r="D369" s="38">
        <v>44022</v>
      </c>
      <c r="E369" s="28">
        <v>44043</v>
      </c>
      <c r="F369" s="5">
        <v>4800</v>
      </c>
      <c r="G369" s="5" t="s">
        <v>91</v>
      </c>
      <c r="H369" s="5" t="s">
        <v>1383</v>
      </c>
      <c r="I369" s="5" t="s">
        <v>92</v>
      </c>
      <c r="J369" s="21" t="s">
        <v>109</v>
      </c>
      <c r="K369" s="21" t="s">
        <v>1384</v>
      </c>
      <c r="L369" s="6" t="s">
        <v>1385</v>
      </c>
      <c r="M369" s="5">
        <v>2</v>
      </c>
      <c r="N369" s="5" t="s">
        <v>91</v>
      </c>
      <c r="O369" s="5" t="s">
        <v>91</v>
      </c>
      <c r="P369" s="5" t="s">
        <v>91</v>
      </c>
      <c r="Q369" s="6" t="s">
        <v>559</v>
      </c>
      <c r="R369" s="6" t="s">
        <v>112</v>
      </c>
      <c r="S369" s="6"/>
      <c r="T369" s="6"/>
      <c r="U369" s="5"/>
      <c r="V369" s="6"/>
      <c r="W369" s="6" t="s">
        <v>1386</v>
      </c>
      <c r="X369" s="6"/>
      <c r="Y369" s="22"/>
      <c r="Z369" s="6">
        <v>1.6</v>
      </c>
      <c r="AA369" s="21">
        <v>15250</v>
      </c>
      <c r="AB369" s="23">
        <v>44028</v>
      </c>
      <c r="AC369" s="21" t="s">
        <v>30</v>
      </c>
      <c r="AD369" s="24" t="s">
        <v>1387</v>
      </c>
      <c r="AE369" s="6" t="s">
        <v>36</v>
      </c>
      <c r="AF369" s="6"/>
      <c r="AG369" s="6" t="s">
        <v>3041</v>
      </c>
    </row>
    <row r="370" spans="1:33" ht="15" customHeight="1" x14ac:dyDescent="0.25">
      <c r="A370" s="5">
        <v>31</v>
      </c>
      <c r="B370" s="38">
        <v>44043</v>
      </c>
      <c r="C370" s="38">
        <v>44029</v>
      </c>
      <c r="D370" s="38">
        <v>44022</v>
      </c>
      <c r="E370" s="28">
        <v>44043</v>
      </c>
      <c r="F370" s="5">
        <v>4804</v>
      </c>
      <c r="G370" s="5" t="s">
        <v>91</v>
      </c>
      <c r="H370" s="5" t="s">
        <v>40</v>
      </c>
      <c r="I370" s="5" t="s">
        <v>92</v>
      </c>
      <c r="J370" s="21" t="s">
        <v>109</v>
      </c>
      <c r="K370" s="21" t="s">
        <v>1388</v>
      </c>
      <c r="L370" s="6" t="s">
        <v>1389</v>
      </c>
      <c r="M370" s="5">
        <v>0</v>
      </c>
      <c r="N370" s="5" t="s">
        <v>91</v>
      </c>
      <c r="O370" s="5" t="s">
        <v>91</v>
      </c>
      <c r="P370" s="5" t="s">
        <v>91</v>
      </c>
      <c r="Q370" s="6" t="s">
        <v>559</v>
      </c>
      <c r="R370" s="6" t="s">
        <v>1390</v>
      </c>
      <c r="S370" s="6"/>
      <c r="T370" s="6"/>
      <c r="U370" s="5"/>
      <c r="V370" s="6" t="s">
        <v>1391</v>
      </c>
      <c r="W370" s="6" t="s">
        <v>1392</v>
      </c>
      <c r="X370" s="6"/>
      <c r="Y370" s="22"/>
      <c r="Z370" s="6"/>
      <c r="AA370" s="21" t="s">
        <v>1393</v>
      </c>
      <c r="AB370" s="23">
        <v>44039</v>
      </c>
      <c r="AC370" s="21" t="s">
        <v>30</v>
      </c>
      <c r="AD370" s="24" t="s">
        <v>174</v>
      </c>
      <c r="AE370" s="6" t="s">
        <v>38</v>
      </c>
      <c r="AF370" s="6"/>
      <c r="AG370" s="6" t="s">
        <v>3042</v>
      </c>
    </row>
    <row r="371" spans="1:33" ht="7.5" customHeight="1" x14ac:dyDescent="0.25">
      <c r="A371" s="27"/>
      <c r="B371" s="39"/>
      <c r="C371" s="39"/>
      <c r="D371" s="39"/>
      <c r="E371" s="28"/>
      <c r="F371" s="27"/>
      <c r="G371" s="27"/>
      <c r="H371" s="27"/>
      <c r="I371" s="27"/>
      <c r="J371" s="30"/>
      <c r="K371" s="30"/>
      <c r="L371" s="29"/>
      <c r="M371" s="27"/>
      <c r="N371" s="27"/>
      <c r="O371" s="27"/>
      <c r="P371" s="27"/>
      <c r="Q371" s="29"/>
      <c r="R371" s="29"/>
      <c r="S371" s="29"/>
      <c r="T371" s="29"/>
      <c r="U371" s="27"/>
      <c r="V371" s="29"/>
      <c r="W371" s="29"/>
      <c r="X371" s="29"/>
      <c r="Y371" s="31"/>
      <c r="Z371" s="29"/>
      <c r="AA371" s="30"/>
      <c r="AB371" s="32"/>
      <c r="AC371" s="30"/>
      <c r="AD371" s="33"/>
      <c r="AE371" s="29"/>
      <c r="AF371" s="29"/>
      <c r="AG371" s="29"/>
    </row>
    <row r="372" spans="1:33" ht="15" customHeight="1" x14ac:dyDescent="0.25">
      <c r="A372" s="5">
        <v>31</v>
      </c>
      <c r="B372" s="38">
        <v>44041</v>
      </c>
      <c r="C372" s="38">
        <v>44032</v>
      </c>
      <c r="D372" s="38">
        <v>44013</v>
      </c>
      <c r="E372" s="28">
        <v>44041</v>
      </c>
      <c r="F372" s="5">
        <v>5606</v>
      </c>
      <c r="G372" s="5" t="s">
        <v>91</v>
      </c>
      <c r="H372" s="5" t="s">
        <v>40</v>
      </c>
      <c r="I372" s="5" t="s">
        <v>92</v>
      </c>
      <c r="J372" s="21" t="s">
        <v>131</v>
      </c>
      <c r="K372" s="21" t="s">
        <v>1343</v>
      </c>
      <c r="L372" s="6" t="s">
        <v>1344</v>
      </c>
      <c r="M372" s="5">
        <v>0</v>
      </c>
      <c r="N372" s="5" t="s">
        <v>91</v>
      </c>
      <c r="O372" s="5" t="s">
        <v>91</v>
      </c>
      <c r="P372" s="5" t="s">
        <v>91</v>
      </c>
      <c r="Q372" s="6"/>
      <c r="R372" s="6" t="s">
        <v>112</v>
      </c>
      <c r="S372" s="6"/>
      <c r="T372" s="6"/>
      <c r="U372" s="5"/>
      <c r="V372" s="6"/>
      <c r="W372" s="6" t="s">
        <v>183</v>
      </c>
      <c r="X372" s="6"/>
      <c r="Y372" s="22"/>
      <c r="Z372" s="6"/>
      <c r="AA372" s="21"/>
      <c r="AB372" s="23">
        <v>44033</v>
      </c>
      <c r="AC372" s="21" t="s">
        <v>30</v>
      </c>
      <c r="AD372" s="24" t="s">
        <v>1345</v>
      </c>
      <c r="AE372" s="6" t="s">
        <v>37</v>
      </c>
      <c r="AF372" s="6"/>
      <c r="AG372" s="6" t="s">
        <v>3041</v>
      </c>
    </row>
    <row r="373" spans="1:33" ht="15" customHeight="1" x14ac:dyDescent="0.25">
      <c r="A373" s="5">
        <v>31</v>
      </c>
      <c r="B373" s="38">
        <v>44041</v>
      </c>
      <c r="C373" s="38">
        <v>44032</v>
      </c>
      <c r="D373" s="38">
        <v>44015</v>
      </c>
      <c r="E373" s="28">
        <v>44041</v>
      </c>
      <c r="F373" s="5">
        <v>5593</v>
      </c>
      <c r="G373" s="5" t="s">
        <v>91</v>
      </c>
      <c r="H373" s="5" t="s">
        <v>40</v>
      </c>
      <c r="I373" s="5" t="s">
        <v>92</v>
      </c>
      <c r="J373" s="21" t="s">
        <v>131</v>
      </c>
      <c r="K373" s="21" t="s">
        <v>1346</v>
      </c>
      <c r="L373" s="6" t="s">
        <v>1347</v>
      </c>
      <c r="M373" s="5">
        <v>19</v>
      </c>
      <c r="N373" s="5" t="s">
        <v>91</v>
      </c>
      <c r="O373" s="5" t="s">
        <v>91</v>
      </c>
      <c r="P373" s="5" t="s">
        <v>91</v>
      </c>
      <c r="Q373" s="6"/>
      <c r="R373" s="6" t="s">
        <v>112</v>
      </c>
      <c r="S373" s="6"/>
      <c r="T373" s="6"/>
      <c r="U373" s="5"/>
      <c r="V373" s="6"/>
      <c r="W373" s="6" t="s">
        <v>794</v>
      </c>
      <c r="X373" s="6"/>
      <c r="Y373" s="22"/>
      <c r="Z373" s="6">
        <v>5.5</v>
      </c>
      <c r="AA373" s="21"/>
      <c r="AB373" s="23">
        <v>44021</v>
      </c>
      <c r="AC373" s="21" t="s">
        <v>32</v>
      </c>
      <c r="AD373" s="24" t="s">
        <v>1348</v>
      </c>
      <c r="AE373" s="6" t="s">
        <v>31</v>
      </c>
      <c r="AF373" s="6"/>
      <c r="AG373" s="6" t="s">
        <v>3042</v>
      </c>
    </row>
    <row r="374" spans="1:33" ht="15" customHeight="1" x14ac:dyDescent="0.25">
      <c r="A374" s="5">
        <v>31</v>
      </c>
      <c r="B374" s="38">
        <v>44041</v>
      </c>
      <c r="C374" s="38">
        <v>44032</v>
      </c>
      <c r="D374" s="38">
        <v>44018</v>
      </c>
      <c r="E374" s="28" t="s">
        <v>441</v>
      </c>
      <c r="F374" s="5">
        <v>10077</v>
      </c>
      <c r="G374" s="5"/>
      <c r="H374" s="5"/>
      <c r="I374" s="5"/>
      <c r="J374" s="21" t="s">
        <v>147</v>
      </c>
      <c r="K374" s="21" t="s">
        <v>1363</v>
      </c>
      <c r="L374" s="6" t="s">
        <v>1364</v>
      </c>
      <c r="M374" s="5">
        <v>16</v>
      </c>
      <c r="N374" s="5"/>
      <c r="O374" s="5"/>
      <c r="P374" s="5"/>
      <c r="Q374" s="6" t="s">
        <v>741</v>
      </c>
      <c r="R374" s="6" t="s">
        <v>890</v>
      </c>
      <c r="S374" s="6" t="s">
        <v>891</v>
      </c>
      <c r="T374" s="6"/>
      <c r="U374" s="5" t="s">
        <v>544</v>
      </c>
      <c r="V374" s="6"/>
      <c r="W374" s="6" t="s">
        <v>892</v>
      </c>
      <c r="X374" s="6"/>
      <c r="Y374" s="22"/>
      <c r="Z374" s="6"/>
      <c r="AA374" s="21"/>
      <c r="AB374" s="23">
        <v>43973</v>
      </c>
      <c r="AC374" s="21" t="s">
        <v>30</v>
      </c>
      <c r="AD374" s="24">
        <v>0</v>
      </c>
      <c r="AE374" s="6" t="s">
        <v>31</v>
      </c>
      <c r="AF374" s="6"/>
      <c r="AG374" s="6" t="s">
        <v>3040</v>
      </c>
    </row>
    <row r="375" spans="1:33" ht="7.5" customHeight="1" x14ac:dyDescent="0.25">
      <c r="A375" s="27"/>
      <c r="B375" s="39"/>
      <c r="C375" s="39"/>
      <c r="D375" s="39"/>
      <c r="E375" s="28"/>
      <c r="F375" s="27"/>
      <c r="G375" s="27"/>
      <c r="H375" s="27"/>
      <c r="I375" s="27"/>
      <c r="J375" s="30"/>
      <c r="K375" s="30"/>
      <c r="L375" s="29"/>
      <c r="M375" s="27"/>
      <c r="N375" s="27"/>
      <c r="O375" s="27"/>
      <c r="P375" s="27"/>
      <c r="Q375" s="29"/>
      <c r="R375" s="29"/>
      <c r="S375" s="29"/>
      <c r="T375" s="29"/>
      <c r="U375" s="27"/>
      <c r="V375" s="29"/>
      <c r="W375" s="29"/>
      <c r="X375" s="29"/>
      <c r="Y375" s="31"/>
      <c r="Z375" s="29"/>
      <c r="AA375" s="30"/>
      <c r="AB375" s="32"/>
      <c r="AC375" s="30"/>
      <c r="AD375" s="33"/>
      <c r="AE375" s="29"/>
      <c r="AF375" s="29"/>
      <c r="AG375" s="29"/>
    </row>
    <row r="376" spans="1:33" ht="15" customHeight="1" x14ac:dyDescent="0.25">
      <c r="A376" s="5">
        <v>31</v>
      </c>
      <c r="B376" s="38">
        <v>44042</v>
      </c>
      <c r="C376" s="38">
        <v>44033</v>
      </c>
      <c r="D376" s="38">
        <v>44008</v>
      </c>
      <c r="E376" s="28">
        <v>44042</v>
      </c>
      <c r="F376" s="5">
        <v>7744</v>
      </c>
      <c r="G376" s="5" t="s">
        <v>91</v>
      </c>
      <c r="H376" s="5" t="s">
        <v>40</v>
      </c>
      <c r="I376" s="5" t="s">
        <v>92</v>
      </c>
      <c r="J376" s="21" t="s">
        <v>214</v>
      </c>
      <c r="K376" s="21" t="s">
        <v>1365</v>
      </c>
      <c r="L376" s="6" t="s">
        <v>1366</v>
      </c>
      <c r="M376" s="5">
        <v>11</v>
      </c>
      <c r="N376" s="5" t="s">
        <v>91</v>
      </c>
      <c r="O376" s="5" t="s">
        <v>91</v>
      </c>
      <c r="P376" s="5" t="s">
        <v>91</v>
      </c>
      <c r="Q376" s="6"/>
      <c r="R376" s="6" t="s">
        <v>1367</v>
      </c>
      <c r="S376" s="6"/>
      <c r="T376" s="6"/>
      <c r="U376" s="5"/>
      <c r="V376" s="6"/>
      <c r="W376" s="6" t="s">
        <v>1368</v>
      </c>
      <c r="X376" s="6"/>
      <c r="Y376" s="22" t="s">
        <v>1369</v>
      </c>
      <c r="Z376" s="6"/>
      <c r="AA376" s="21" t="s">
        <v>1370</v>
      </c>
      <c r="AB376" s="23">
        <v>44014</v>
      </c>
      <c r="AC376" s="21" t="s">
        <v>30</v>
      </c>
      <c r="AD376" s="24" t="s">
        <v>714</v>
      </c>
      <c r="AE376" s="6" t="s">
        <v>35</v>
      </c>
      <c r="AF376" s="6"/>
      <c r="AG376" s="6" t="s">
        <v>3041</v>
      </c>
    </row>
    <row r="377" spans="1:33" ht="15" customHeight="1" x14ac:dyDescent="0.25">
      <c r="A377" s="5">
        <v>31</v>
      </c>
      <c r="B377" s="38">
        <v>44042</v>
      </c>
      <c r="C377" s="38">
        <v>44033</v>
      </c>
      <c r="D377" s="38">
        <v>43900</v>
      </c>
      <c r="E377" s="28">
        <v>44042</v>
      </c>
      <c r="F377" s="5">
        <v>8671</v>
      </c>
      <c r="G377" s="5" t="s">
        <v>91</v>
      </c>
      <c r="H377" s="5" t="s">
        <v>43</v>
      </c>
      <c r="I377" s="5" t="s">
        <v>92</v>
      </c>
      <c r="J377" s="21" t="s">
        <v>147</v>
      </c>
      <c r="K377" s="21" t="s">
        <v>1375</v>
      </c>
      <c r="L377" s="6" t="s">
        <v>95</v>
      </c>
      <c r="M377" s="5">
        <v>2</v>
      </c>
      <c r="N377" s="5" t="s">
        <v>91</v>
      </c>
      <c r="O377" s="5" t="s">
        <v>91</v>
      </c>
      <c r="P377" s="5" t="s">
        <v>91</v>
      </c>
      <c r="Q377" s="6" t="s">
        <v>741</v>
      </c>
      <c r="R377" s="6" t="s">
        <v>1376</v>
      </c>
      <c r="S377" s="6"/>
      <c r="T377" s="6"/>
      <c r="U377" s="5"/>
      <c r="V377" s="6" t="s">
        <v>1377</v>
      </c>
      <c r="W377" s="6" t="s">
        <v>1378</v>
      </c>
      <c r="X377" s="6"/>
      <c r="Y377" s="22"/>
      <c r="Z377" s="6"/>
      <c r="AA377" s="21"/>
      <c r="AB377" s="23">
        <v>43907</v>
      </c>
      <c r="AC377" s="21" t="s">
        <v>30</v>
      </c>
      <c r="AD377" s="24" t="s">
        <v>1379</v>
      </c>
      <c r="AE377" s="6" t="s">
        <v>31</v>
      </c>
      <c r="AF377" s="6"/>
      <c r="AG377" s="6" t="s">
        <v>3039</v>
      </c>
    </row>
    <row r="378" spans="1:33" ht="7.5" customHeight="1" x14ac:dyDescent="0.25">
      <c r="A378" s="27"/>
      <c r="B378" s="39"/>
      <c r="C378" s="39"/>
      <c r="D378" s="39"/>
      <c r="E378" s="28"/>
      <c r="F378" s="27"/>
      <c r="G378" s="27"/>
      <c r="H378" s="27"/>
      <c r="I378" s="27"/>
      <c r="J378" s="30"/>
      <c r="K378" s="30"/>
      <c r="L378" s="29"/>
      <c r="M378" s="27"/>
      <c r="N378" s="27"/>
      <c r="O378" s="27"/>
      <c r="P378" s="27"/>
      <c r="Q378" s="29"/>
      <c r="R378" s="29"/>
      <c r="S378" s="29"/>
      <c r="T378" s="29"/>
      <c r="U378" s="27"/>
      <c r="V378" s="29"/>
      <c r="W378" s="29"/>
      <c r="X378" s="29"/>
      <c r="Y378" s="31"/>
      <c r="Z378" s="29"/>
      <c r="AA378" s="30"/>
      <c r="AB378" s="32"/>
      <c r="AC378" s="30"/>
      <c r="AD378" s="33"/>
      <c r="AE378" s="29"/>
      <c r="AF378" s="29"/>
      <c r="AG378" s="29"/>
    </row>
    <row r="379" spans="1:33" ht="15" customHeight="1" x14ac:dyDescent="0.25">
      <c r="A379" s="5">
        <v>31</v>
      </c>
      <c r="B379" s="38">
        <v>44043</v>
      </c>
      <c r="C379" s="38">
        <v>44034</v>
      </c>
      <c r="D379" s="38">
        <v>44033</v>
      </c>
      <c r="E379" s="28">
        <v>44043</v>
      </c>
      <c r="F379" s="5">
        <v>10673</v>
      </c>
      <c r="G379" s="5"/>
      <c r="H379" s="5"/>
      <c r="I379" s="5"/>
      <c r="J379" s="21" t="s">
        <v>170</v>
      </c>
      <c r="K379" s="21" t="s">
        <v>1380</v>
      </c>
      <c r="L379" s="6" t="s">
        <v>1381</v>
      </c>
      <c r="M379" s="5">
        <v>0</v>
      </c>
      <c r="N379" s="5" t="s">
        <v>91</v>
      </c>
      <c r="O379" s="5" t="s">
        <v>91</v>
      </c>
      <c r="P379" s="5" t="s">
        <v>91</v>
      </c>
      <c r="Q379" s="6" t="s">
        <v>559</v>
      </c>
      <c r="R379" s="6" t="s">
        <v>112</v>
      </c>
      <c r="S379" s="6"/>
      <c r="T379" s="6"/>
      <c r="U379" s="5"/>
      <c r="V379" s="6"/>
      <c r="W379" s="6" t="s">
        <v>1382</v>
      </c>
      <c r="X379" s="6"/>
      <c r="Y379" s="22"/>
      <c r="Z379" s="6"/>
      <c r="AA379" s="21" t="s">
        <v>824</v>
      </c>
      <c r="AB379" s="23">
        <v>44039</v>
      </c>
      <c r="AC379" s="21" t="s">
        <v>30</v>
      </c>
      <c r="AD379" s="24" t="s">
        <v>174</v>
      </c>
      <c r="AE379" s="6" t="s">
        <v>37</v>
      </c>
      <c r="AF379" s="6"/>
      <c r="AG379" s="6" t="s">
        <v>3040</v>
      </c>
    </row>
    <row r="380" spans="1:33" ht="15" customHeight="1" x14ac:dyDescent="0.25">
      <c r="A380" s="5">
        <v>31</v>
      </c>
      <c r="B380" s="38">
        <v>44043</v>
      </c>
      <c r="C380" s="38">
        <v>44034</v>
      </c>
      <c r="D380" s="38">
        <v>43755</v>
      </c>
      <c r="E380" s="28">
        <v>44043</v>
      </c>
      <c r="F380" s="5">
        <v>8508</v>
      </c>
      <c r="G380" s="5" t="s">
        <v>91</v>
      </c>
      <c r="H380" s="5" t="s">
        <v>41</v>
      </c>
      <c r="I380" s="5" t="s">
        <v>92</v>
      </c>
      <c r="J380" s="21" t="s">
        <v>147</v>
      </c>
      <c r="K380" s="21" t="s">
        <v>1394</v>
      </c>
      <c r="L380" s="6" t="s">
        <v>1395</v>
      </c>
      <c r="M380" s="5">
        <v>0</v>
      </c>
      <c r="N380" s="5" t="s">
        <v>91</v>
      </c>
      <c r="O380" s="5" t="s">
        <v>91</v>
      </c>
      <c r="P380" s="5" t="s">
        <v>91</v>
      </c>
      <c r="Q380" s="6" t="s">
        <v>741</v>
      </c>
      <c r="R380" s="6" t="s">
        <v>1376</v>
      </c>
      <c r="S380" s="6"/>
      <c r="T380" s="6"/>
      <c r="U380" s="5"/>
      <c r="V380" s="6"/>
      <c r="W380" s="6" t="s">
        <v>1396</v>
      </c>
      <c r="X380" s="6" t="s">
        <v>1397</v>
      </c>
      <c r="Y380" s="22">
        <v>276299842</v>
      </c>
      <c r="Z380" s="6"/>
      <c r="AA380" s="21"/>
      <c r="AB380" s="23">
        <v>43734</v>
      </c>
      <c r="AC380" s="21" t="s">
        <v>33</v>
      </c>
      <c r="AD380" s="24" t="s">
        <v>174</v>
      </c>
      <c r="AE380" s="6" t="s">
        <v>31</v>
      </c>
      <c r="AF380" s="6"/>
      <c r="AG380" s="6" t="s">
        <v>3039</v>
      </c>
    </row>
    <row r="381" spans="1:33" ht="15" customHeight="1" x14ac:dyDescent="0.25">
      <c r="A381" s="5">
        <v>31</v>
      </c>
      <c r="B381" s="38">
        <v>44043</v>
      </c>
      <c r="C381" s="38">
        <v>44034</v>
      </c>
      <c r="D381" s="38">
        <v>44021</v>
      </c>
      <c r="E381" s="28">
        <v>44043</v>
      </c>
      <c r="F381" s="5">
        <v>9660</v>
      </c>
      <c r="G381" s="5" t="s">
        <v>91</v>
      </c>
      <c r="H381" s="5" t="s">
        <v>41</v>
      </c>
      <c r="I381" s="5" t="s">
        <v>92</v>
      </c>
      <c r="J381" s="21" t="s">
        <v>159</v>
      </c>
      <c r="K381" s="21">
        <v>257154</v>
      </c>
      <c r="L381" s="6" t="s">
        <v>152</v>
      </c>
      <c r="M381" s="5">
        <v>4</v>
      </c>
      <c r="N381" s="5" t="s">
        <v>91</v>
      </c>
      <c r="O381" s="5" t="s">
        <v>91</v>
      </c>
      <c r="P381" s="5" t="s">
        <v>91</v>
      </c>
      <c r="Q381" s="6"/>
      <c r="R381" s="6" t="s">
        <v>163</v>
      </c>
      <c r="S381" s="6"/>
      <c r="T381" s="6"/>
      <c r="U381" s="5"/>
      <c r="V381" s="6" t="s">
        <v>164</v>
      </c>
      <c r="W381" s="6" t="s">
        <v>1398</v>
      </c>
      <c r="X381" s="6"/>
      <c r="Y381" s="22"/>
      <c r="Z381" s="6"/>
      <c r="AA381" s="21">
        <v>257154</v>
      </c>
      <c r="AB381" s="23">
        <v>44027</v>
      </c>
      <c r="AC381" s="21" t="s">
        <v>30</v>
      </c>
      <c r="AD381" s="24" t="s">
        <v>1399</v>
      </c>
      <c r="AE381" s="6" t="s">
        <v>35</v>
      </c>
      <c r="AF381" s="6"/>
      <c r="AG381" s="6" t="s">
        <v>3040</v>
      </c>
    </row>
    <row r="382" spans="1:33" ht="7.5" customHeight="1" x14ac:dyDescent="0.25">
      <c r="A382" s="27"/>
      <c r="B382" s="39"/>
      <c r="C382" s="39"/>
      <c r="D382" s="39"/>
      <c r="E382" s="28"/>
      <c r="F382" s="27"/>
      <c r="G382" s="27"/>
      <c r="H382" s="27"/>
      <c r="I382" s="27"/>
      <c r="J382" s="30"/>
      <c r="K382" s="30"/>
      <c r="L382" s="29"/>
      <c r="M382" s="27"/>
      <c r="N382" s="27"/>
      <c r="O382" s="27"/>
      <c r="P382" s="27"/>
      <c r="Q382" s="29"/>
      <c r="R382" s="29"/>
      <c r="S382" s="29"/>
      <c r="T382" s="29"/>
      <c r="U382" s="27"/>
      <c r="V382" s="29"/>
      <c r="W382" s="29"/>
      <c r="X382" s="29"/>
      <c r="Y382" s="31"/>
      <c r="Z382" s="29"/>
      <c r="AA382" s="30"/>
      <c r="AB382" s="32"/>
      <c r="AC382" s="30"/>
      <c r="AD382" s="33"/>
      <c r="AE382" s="29"/>
      <c r="AF382" s="29"/>
      <c r="AG382" s="29"/>
    </row>
    <row r="383" spans="1:33" ht="15" customHeight="1" x14ac:dyDescent="0.25">
      <c r="A383" s="5">
        <v>28</v>
      </c>
      <c r="B383" s="38">
        <v>44020</v>
      </c>
      <c r="C383" s="38">
        <v>44036</v>
      </c>
      <c r="D383" s="38">
        <v>44041</v>
      </c>
      <c r="E383" s="34" t="s">
        <v>442</v>
      </c>
      <c r="F383" s="5">
        <v>10076</v>
      </c>
      <c r="G383" s="5"/>
      <c r="H383" s="5"/>
      <c r="I383" s="5"/>
      <c r="J383" s="21" t="s">
        <v>147</v>
      </c>
      <c r="K383" s="21" t="s">
        <v>888</v>
      </c>
      <c r="L383" s="6" t="s">
        <v>889</v>
      </c>
      <c r="M383" s="5">
        <v>16</v>
      </c>
      <c r="N383" s="5"/>
      <c r="O383" s="5"/>
      <c r="P383" s="5"/>
      <c r="Q383" s="6" t="s">
        <v>741</v>
      </c>
      <c r="R383" s="6" t="s">
        <v>890</v>
      </c>
      <c r="S383" s="6" t="s">
        <v>891</v>
      </c>
      <c r="T383" s="6"/>
      <c r="U383" s="5" t="s">
        <v>544</v>
      </c>
      <c r="V383" s="6"/>
      <c r="W383" s="6" t="s">
        <v>892</v>
      </c>
      <c r="X383" s="6"/>
      <c r="Y383" s="22"/>
      <c r="Z383" s="6"/>
      <c r="AA383" s="21"/>
      <c r="AB383" s="23">
        <v>43973</v>
      </c>
      <c r="AC383" s="21" t="s">
        <v>33</v>
      </c>
      <c r="AD383" s="24">
        <v>0</v>
      </c>
      <c r="AE383" s="6" t="s">
        <v>31</v>
      </c>
      <c r="AF383" s="6"/>
      <c r="AG383" s="6" t="s">
        <v>3041</v>
      </c>
    </row>
    <row r="384" spans="1:33" ht="7.5" customHeight="1" x14ac:dyDescent="0.25">
      <c r="A384" s="27"/>
      <c r="B384" s="39"/>
      <c r="C384" s="39"/>
      <c r="D384" s="39"/>
      <c r="E384" s="28"/>
      <c r="F384" s="27"/>
      <c r="G384" s="27"/>
      <c r="H384" s="27"/>
      <c r="I384" s="27"/>
      <c r="J384" s="30"/>
      <c r="K384" s="30"/>
      <c r="L384" s="29"/>
      <c r="M384" s="27"/>
      <c r="N384" s="27"/>
      <c r="O384" s="27"/>
      <c r="P384" s="27"/>
      <c r="Q384" s="29"/>
      <c r="R384" s="29"/>
      <c r="S384" s="29"/>
      <c r="T384" s="29"/>
      <c r="U384" s="27"/>
      <c r="V384" s="29"/>
      <c r="W384" s="29"/>
      <c r="X384" s="29"/>
      <c r="Y384" s="31"/>
      <c r="Z384" s="29"/>
      <c r="AA384" s="30"/>
      <c r="AB384" s="32"/>
      <c r="AC384" s="30"/>
      <c r="AD384" s="33"/>
      <c r="AE384" s="29"/>
      <c r="AF384" s="29"/>
      <c r="AG384" s="29"/>
    </row>
    <row r="385" spans="1:33" ht="15" customHeight="1" x14ac:dyDescent="0.25">
      <c r="A385" s="5">
        <v>28</v>
      </c>
      <c r="B385" s="38">
        <v>44022</v>
      </c>
      <c r="C385" s="38">
        <v>44040</v>
      </c>
      <c r="D385" s="38">
        <v>44043</v>
      </c>
      <c r="E385" s="34" t="s">
        <v>442</v>
      </c>
      <c r="F385" s="5">
        <v>8703</v>
      </c>
      <c r="G385" s="5" t="s">
        <v>91</v>
      </c>
      <c r="H385" s="5" t="s">
        <v>43</v>
      </c>
      <c r="I385" s="5" t="s">
        <v>92</v>
      </c>
      <c r="J385" s="21" t="s">
        <v>147</v>
      </c>
      <c r="K385" s="21" t="s">
        <v>908</v>
      </c>
      <c r="L385" s="6" t="s">
        <v>909</v>
      </c>
      <c r="M385" s="5">
        <v>2</v>
      </c>
      <c r="N385" s="5" t="s">
        <v>91</v>
      </c>
      <c r="O385" s="5" t="s">
        <v>91</v>
      </c>
      <c r="P385" s="5" t="s">
        <v>91</v>
      </c>
      <c r="Q385" s="6" t="s">
        <v>746</v>
      </c>
      <c r="R385" s="6" t="s">
        <v>910</v>
      </c>
      <c r="S385" s="6"/>
      <c r="T385" s="6"/>
      <c r="U385" s="5" t="s">
        <v>911</v>
      </c>
      <c r="V385" s="6" t="s">
        <v>912</v>
      </c>
      <c r="W385" s="6" t="s">
        <v>913</v>
      </c>
      <c r="X385" s="6" t="s">
        <v>914</v>
      </c>
      <c r="Y385" s="22" t="s">
        <v>915</v>
      </c>
      <c r="Z385" s="6"/>
      <c r="AA385" s="21"/>
      <c r="AB385" s="23">
        <v>44006</v>
      </c>
      <c r="AC385" s="21" t="s">
        <v>30</v>
      </c>
      <c r="AD385" s="24" t="s">
        <v>916</v>
      </c>
      <c r="AE385" s="6" t="s">
        <v>37</v>
      </c>
      <c r="AF385" s="6"/>
      <c r="AG385" s="6" t="s">
        <v>3041</v>
      </c>
    </row>
    <row r="386" spans="1:33" ht="7.5" customHeight="1" x14ac:dyDescent="0.25">
      <c r="A386" s="27"/>
      <c r="B386" s="39"/>
      <c r="C386" s="39"/>
      <c r="D386" s="39"/>
      <c r="E386" s="28"/>
      <c r="F386" s="27"/>
      <c r="G386" s="27"/>
      <c r="H386" s="27"/>
      <c r="I386" s="27"/>
      <c r="J386" s="30"/>
      <c r="K386" s="30"/>
      <c r="L386" s="29"/>
      <c r="M386" s="27"/>
      <c r="N386" s="27"/>
      <c r="O386" s="27"/>
      <c r="P386" s="27"/>
      <c r="Q386" s="29"/>
      <c r="R386" s="29"/>
      <c r="S386" s="29"/>
      <c r="T386" s="29"/>
      <c r="U386" s="27"/>
      <c r="V386" s="29"/>
      <c r="W386" s="29"/>
      <c r="X386" s="29"/>
      <c r="Y386" s="31"/>
      <c r="Z386" s="29"/>
      <c r="AA386" s="30"/>
      <c r="AB386" s="32"/>
      <c r="AC386" s="30"/>
      <c r="AD386" s="33"/>
      <c r="AE386" s="29"/>
      <c r="AF386" s="29"/>
      <c r="AG386" s="29"/>
    </row>
    <row r="387" spans="1:33" ht="15" customHeight="1" x14ac:dyDescent="0.25">
      <c r="A387" s="5">
        <v>36</v>
      </c>
      <c r="B387" s="38">
        <v>44076</v>
      </c>
      <c r="C387" s="38">
        <v>44049</v>
      </c>
      <c r="D387" s="38">
        <v>44043</v>
      </c>
      <c r="E387" s="28">
        <v>44076</v>
      </c>
      <c r="F387" s="5">
        <v>5627</v>
      </c>
      <c r="G387" s="5" t="s">
        <v>91</v>
      </c>
      <c r="H387" s="5" t="s">
        <v>43</v>
      </c>
      <c r="I387" s="5" t="s">
        <v>92</v>
      </c>
      <c r="J387" s="21" t="s">
        <v>131</v>
      </c>
      <c r="K387" s="21" t="s">
        <v>1466</v>
      </c>
      <c r="L387" s="6" t="s">
        <v>1467</v>
      </c>
      <c r="M387" s="5">
        <v>1</v>
      </c>
      <c r="N387" s="5" t="s">
        <v>91</v>
      </c>
      <c r="O387" s="5" t="s">
        <v>91</v>
      </c>
      <c r="P387" s="5" t="s">
        <v>91</v>
      </c>
      <c r="Q387" s="6" t="s">
        <v>105</v>
      </c>
      <c r="R387" s="6" t="s">
        <v>123</v>
      </c>
      <c r="S387" s="6"/>
      <c r="T387" s="6"/>
      <c r="U387" s="5"/>
      <c r="V387" s="6"/>
      <c r="W387" s="6" t="s">
        <v>183</v>
      </c>
      <c r="X387" s="6"/>
      <c r="Y387" s="22"/>
      <c r="Z387" s="6">
        <v>0.16</v>
      </c>
      <c r="AA387" s="21"/>
      <c r="AB387" s="23">
        <v>44049</v>
      </c>
      <c r="AC387" s="21" t="s">
        <v>30</v>
      </c>
      <c r="AD387" s="24" t="s">
        <v>1468</v>
      </c>
      <c r="AE387" s="6" t="s">
        <v>31</v>
      </c>
      <c r="AF387" s="6"/>
      <c r="AG387" s="6" t="s">
        <v>3040</v>
      </c>
    </row>
    <row r="388" spans="1:33" ht="7.5" customHeight="1" x14ac:dyDescent="0.25">
      <c r="A388" s="27"/>
      <c r="B388" s="39"/>
      <c r="C388" s="39"/>
      <c r="D388" s="39"/>
      <c r="E388" s="28"/>
      <c r="F388" s="27"/>
      <c r="G388" s="27"/>
      <c r="H388" s="27"/>
      <c r="I388" s="27"/>
      <c r="J388" s="30"/>
      <c r="K388" s="30"/>
      <c r="L388" s="29"/>
      <c r="M388" s="27"/>
      <c r="N388" s="27"/>
      <c r="O388" s="27"/>
      <c r="P388" s="27"/>
      <c r="Q388" s="29"/>
      <c r="R388" s="29"/>
      <c r="S388" s="29"/>
      <c r="T388" s="29"/>
      <c r="U388" s="27"/>
      <c r="V388" s="29"/>
      <c r="W388" s="29"/>
      <c r="X388" s="29"/>
      <c r="Y388" s="31"/>
      <c r="Z388" s="29"/>
      <c r="AA388" s="30"/>
      <c r="AB388" s="32"/>
      <c r="AC388" s="30"/>
      <c r="AD388" s="33"/>
      <c r="AE388" s="29"/>
      <c r="AF388" s="29"/>
      <c r="AG388" s="29"/>
    </row>
    <row r="389" spans="1:33" ht="15" customHeight="1" x14ac:dyDescent="0.25">
      <c r="A389" s="5">
        <v>37</v>
      </c>
      <c r="B389" s="38">
        <v>44081</v>
      </c>
      <c r="C389" s="38">
        <v>44049</v>
      </c>
      <c r="D389" s="38">
        <v>44042</v>
      </c>
      <c r="E389" s="37">
        <v>44081</v>
      </c>
      <c r="F389" s="5">
        <v>7758</v>
      </c>
      <c r="G389" s="5" t="s">
        <v>91</v>
      </c>
      <c r="H389" s="5" t="s">
        <v>41</v>
      </c>
      <c r="I389" s="5" t="s">
        <v>92</v>
      </c>
      <c r="J389" s="21" t="s">
        <v>214</v>
      </c>
      <c r="K389" s="21" t="s">
        <v>632</v>
      </c>
      <c r="L389" s="6" t="s">
        <v>1542</v>
      </c>
      <c r="M389" s="5">
        <v>9</v>
      </c>
      <c r="N389" s="5" t="s">
        <v>91</v>
      </c>
      <c r="O389" s="5" t="s">
        <v>91</v>
      </c>
      <c r="P389" s="5" t="s">
        <v>91</v>
      </c>
      <c r="Q389" s="6" t="s">
        <v>105</v>
      </c>
      <c r="R389" s="6" t="s">
        <v>223</v>
      </c>
      <c r="S389" s="6"/>
      <c r="T389" s="6"/>
      <c r="U389" s="5"/>
      <c r="V389" s="6"/>
      <c r="W389" s="6" t="s">
        <v>1543</v>
      </c>
      <c r="X389" s="6">
        <v>36846849</v>
      </c>
      <c r="Y389" s="22"/>
      <c r="Z389" s="6">
        <v>3.14</v>
      </c>
      <c r="AA389" s="21" t="s">
        <v>1544</v>
      </c>
      <c r="AB389" s="23">
        <v>44050</v>
      </c>
      <c r="AC389" s="21" t="s">
        <v>33</v>
      </c>
      <c r="AD389" s="24" t="s">
        <v>1545</v>
      </c>
      <c r="AE389" s="6" t="s">
        <v>31</v>
      </c>
      <c r="AF389" s="6"/>
      <c r="AG389" s="6" t="s">
        <v>3041</v>
      </c>
    </row>
    <row r="390" spans="1:33" ht="7.5" customHeight="1" x14ac:dyDescent="0.25">
      <c r="A390" s="27"/>
      <c r="B390" s="39"/>
      <c r="C390" s="39"/>
      <c r="D390" s="39"/>
      <c r="E390" s="28"/>
      <c r="F390" s="27"/>
      <c r="G390" s="27"/>
      <c r="H390" s="27"/>
      <c r="I390" s="27"/>
      <c r="J390" s="30"/>
      <c r="K390" s="30"/>
      <c r="L390" s="29"/>
      <c r="M390" s="27"/>
      <c r="N390" s="27"/>
      <c r="O390" s="27"/>
      <c r="P390" s="27"/>
      <c r="Q390" s="29"/>
      <c r="R390" s="29"/>
      <c r="S390" s="29"/>
      <c r="T390" s="29"/>
      <c r="U390" s="27"/>
      <c r="V390" s="29"/>
      <c r="W390" s="29"/>
      <c r="X390" s="29"/>
      <c r="Y390" s="31"/>
      <c r="Z390" s="29"/>
      <c r="AA390" s="30"/>
      <c r="AB390" s="32"/>
      <c r="AC390" s="30"/>
      <c r="AD390" s="33"/>
      <c r="AE390" s="29"/>
      <c r="AF390" s="29"/>
      <c r="AG390" s="29"/>
    </row>
    <row r="391" spans="1:33" ht="15" customHeight="1" x14ac:dyDescent="0.25">
      <c r="A391" s="5">
        <v>36</v>
      </c>
      <c r="B391" s="38">
        <v>44078</v>
      </c>
      <c r="C391" s="38">
        <v>44053</v>
      </c>
      <c r="D391" s="38">
        <v>44050</v>
      </c>
      <c r="E391" s="28">
        <v>44078</v>
      </c>
      <c r="F391" s="5">
        <v>9674</v>
      </c>
      <c r="G391" s="5" t="s">
        <v>91</v>
      </c>
      <c r="H391" s="5" t="s">
        <v>43</v>
      </c>
      <c r="I391" s="5" t="s">
        <v>92</v>
      </c>
      <c r="J391" s="21" t="s">
        <v>159</v>
      </c>
      <c r="K391" s="21">
        <v>257463</v>
      </c>
      <c r="L391" s="6" t="s">
        <v>978</v>
      </c>
      <c r="M391" s="5">
        <v>12</v>
      </c>
      <c r="N391" s="5" t="s">
        <v>91</v>
      </c>
      <c r="O391" s="5" t="s">
        <v>91</v>
      </c>
      <c r="P391" s="5" t="s">
        <v>91</v>
      </c>
      <c r="Q391" s="6"/>
      <c r="R391" s="6" t="s">
        <v>979</v>
      </c>
      <c r="S391" s="6"/>
      <c r="T391" s="6"/>
      <c r="U391" s="5"/>
      <c r="V391" s="6"/>
      <c r="W391" s="6" t="s">
        <v>1518</v>
      </c>
      <c r="X391" s="6"/>
      <c r="Y391" s="22"/>
      <c r="Z391" s="6"/>
      <c r="AA391" s="21"/>
      <c r="AB391" s="23">
        <v>44056</v>
      </c>
      <c r="AC391" s="21" t="s">
        <v>33</v>
      </c>
      <c r="AD391" s="24" t="s">
        <v>1519</v>
      </c>
      <c r="AE391" s="6" t="s">
        <v>31</v>
      </c>
      <c r="AF391" s="6"/>
      <c r="AG391" s="6" t="s">
        <v>3041</v>
      </c>
    </row>
    <row r="392" spans="1:33" ht="7.5" customHeight="1" x14ac:dyDescent="0.25">
      <c r="A392" s="27"/>
      <c r="B392" s="39"/>
      <c r="C392" s="39"/>
      <c r="D392" s="39"/>
      <c r="E392" s="28"/>
      <c r="F392" s="27"/>
      <c r="G392" s="27"/>
      <c r="H392" s="27"/>
      <c r="I392" s="27"/>
      <c r="J392" s="30"/>
      <c r="K392" s="30"/>
      <c r="L392" s="29"/>
      <c r="M392" s="27"/>
      <c r="N392" s="27"/>
      <c r="O392" s="27"/>
      <c r="P392" s="27"/>
      <c r="Q392" s="29"/>
      <c r="R392" s="29"/>
      <c r="S392" s="29"/>
      <c r="T392" s="29"/>
      <c r="U392" s="27"/>
      <c r="V392" s="29"/>
      <c r="W392" s="29"/>
      <c r="X392" s="29"/>
      <c r="Y392" s="31"/>
      <c r="Z392" s="29"/>
      <c r="AA392" s="30"/>
      <c r="AB392" s="32"/>
      <c r="AC392" s="30"/>
      <c r="AD392" s="33"/>
      <c r="AE392" s="29"/>
      <c r="AF392" s="29"/>
      <c r="AG392" s="29"/>
    </row>
    <row r="393" spans="1:33" ht="15" customHeight="1" x14ac:dyDescent="0.25">
      <c r="A393" s="5">
        <v>37</v>
      </c>
      <c r="B393" s="38">
        <v>44081</v>
      </c>
      <c r="C393" s="38">
        <v>44054</v>
      </c>
      <c r="D393" s="38">
        <v>44049</v>
      </c>
      <c r="E393" s="37">
        <v>44081</v>
      </c>
      <c r="F393" s="5">
        <v>7761</v>
      </c>
      <c r="G393" s="5" t="s">
        <v>91</v>
      </c>
      <c r="H393" s="5" t="s">
        <v>40</v>
      </c>
      <c r="I393" s="5" t="s">
        <v>92</v>
      </c>
      <c r="J393" s="21" t="s">
        <v>214</v>
      </c>
      <c r="K393" s="21" t="s">
        <v>953</v>
      </c>
      <c r="L393" s="6" t="s">
        <v>1549</v>
      </c>
      <c r="M393" s="5">
        <v>19</v>
      </c>
      <c r="N393" s="5" t="s">
        <v>91</v>
      </c>
      <c r="O393" s="5" t="s">
        <v>91</v>
      </c>
      <c r="P393" s="5" t="s">
        <v>91</v>
      </c>
      <c r="Q393" s="6"/>
      <c r="R393" s="6" t="s">
        <v>229</v>
      </c>
      <c r="S393" s="6"/>
      <c r="T393" s="6"/>
      <c r="U393" s="5"/>
      <c r="V393" s="6"/>
      <c r="W393" s="6" t="s">
        <v>1550</v>
      </c>
      <c r="X393" s="6">
        <v>211141416</v>
      </c>
      <c r="Y393" s="22"/>
      <c r="Z393" s="6">
        <v>6.03</v>
      </c>
      <c r="AA393" s="21"/>
      <c r="AB393" s="23">
        <v>44056</v>
      </c>
      <c r="AC393" s="21" t="s">
        <v>30</v>
      </c>
      <c r="AD393" s="24" t="s">
        <v>1551</v>
      </c>
      <c r="AE393" s="6" t="s">
        <v>34</v>
      </c>
      <c r="AF393" s="6"/>
      <c r="AG393" s="6" t="s">
        <v>3039</v>
      </c>
    </row>
    <row r="394" spans="1:33" ht="7.5" customHeight="1" x14ac:dyDescent="0.25">
      <c r="A394" s="27"/>
      <c r="B394" s="39"/>
      <c r="C394" s="39"/>
      <c r="D394" s="39"/>
      <c r="E394" s="28"/>
      <c r="F394" s="27"/>
      <c r="G394" s="27"/>
      <c r="H394" s="27"/>
      <c r="I394" s="27"/>
      <c r="J394" s="30"/>
      <c r="K394" s="30"/>
      <c r="L394" s="29"/>
      <c r="M394" s="27"/>
      <c r="N394" s="27"/>
      <c r="O394" s="27"/>
      <c r="P394" s="27"/>
      <c r="Q394" s="29"/>
      <c r="R394" s="29"/>
      <c r="S394" s="29"/>
      <c r="T394" s="29"/>
      <c r="U394" s="27"/>
      <c r="V394" s="29"/>
      <c r="W394" s="29"/>
      <c r="X394" s="29"/>
      <c r="Y394" s="31"/>
      <c r="Z394" s="29"/>
      <c r="AA394" s="30"/>
      <c r="AB394" s="32"/>
      <c r="AC394" s="30"/>
      <c r="AD394" s="33"/>
      <c r="AE394" s="29"/>
      <c r="AF394" s="29"/>
      <c r="AG394" s="29"/>
    </row>
    <row r="395" spans="1:33" ht="15" customHeight="1" x14ac:dyDescent="0.25">
      <c r="A395" s="5">
        <v>37</v>
      </c>
      <c r="B395" s="38">
        <v>44083</v>
      </c>
      <c r="C395" s="38">
        <v>44056</v>
      </c>
      <c r="D395" s="38">
        <v>44043</v>
      </c>
      <c r="E395" s="37">
        <v>44083</v>
      </c>
      <c r="F395" s="5">
        <v>5624</v>
      </c>
      <c r="G395" s="5" t="s">
        <v>91</v>
      </c>
      <c r="H395" s="5" t="s">
        <v>43</v>
      </c>
      <c r="I395" s="5" t="s">
        <v>92</v>
      </c>
      <c r="J395" s="21" t="s">
        <v>131</v>
      </c>
      <c r="K395" s="21" t="s">
        <v>1612</v>
      </c>
      <c r="L395" s="6" t="s">
        <v>1613</v>
      </c>
      <c r="M395" s="5">
        <v>0</v>
      </c>
      <c r="N395" s="5" t="s">
        <v>91</v>
      </c>
      <c r="O395" s="5" t="s">
        <v>91</v>
      </c>
      <c r="P395" s="5" t="s">
        <v>91</v>
      </c>
      <c r="Q395" s="6" t="s">
        <v>105</v>
      </c>
      <c r="R395" s="6" t="s">
        <v>112</v>
      </c>
      <c r="S395" s="6"/>
      <c r="T395" s="6"/>
      <c r="U395" s="5"/>
      <c r="V395" s="6" t="s">
        <v>1614</v>
      </c>
      <c r="W395" s="6" t="s">
        <v>1615</v>
      </c>
      <c r="X395" s="6"/>
      <c r="Y395" s="22"/>
      <c r="Z395" s="6"/>
      <c r="AA395" s="21"/>
      <c r="AB395" s="23">
        <v>44049</v>
      </c>
      <c r="AC395" s="21" t="s">
        <v>30</v>
      </c>
      <c r="AD395" s="24" t="s">
        <v>1616</v>
      </c>
      <c r="AE395" s="6" t="s">
        <v>34</v>
      </c>
      <c r="AF395" s="6"/>
      <c r="AG395" s="6" t="s">
        <v>3041</v>
      </c>
    </row>
    <row r="396" spans="1:33" ht="7.5" customHeight="1" x14ac:dyDescent="0.25">
      <c r="A396" s="27"/>
      <c r="B396" s="39"/>
      <c r="C396" s="39"/>
      <c r="D396" s="39"/>
      <c r="E396" s="28"/>
      <c r="F396" s="27"/>
      <c r="G396" s="27"/>
      <c r="H396" s="27"/>
      <c r="I396" s="27"/>
      <c r="J396" s="30"/>
      <c r="K396" s="30"/>
      <c r="L396" s="29"/>
      <c r="M396" s="27"/>
      <c r="N396" s="27"/>
      <c r="O396" s="27"/>
      <c r="P396" s="27"/>
      <c r="Q396" s="29"/>
      <c r="R396" s="29"/>
      <c r="S396" s="29"/>
      <c r="T396" s="29"/>
      <c r="U396" s="27"/>
      <c r="V396" s="29"/>
      <c r="W396" s="29"/>
      <c r="X396" s="29"/>
      <c r="Y396" s="31"/>
      <c r="Z396" s="29"/>
      <c r="AA396" s="30"/>
      <c r="AB396" s="32"/>
      <c r="AC396" s="30"/>
      <c r="AD396" s="33"/>
      <c r="AE396" s="29"/>
      <c r="AF396" s="29"/>
      <c r="AG396" s="29"/>
    </row>
    <row r="397" spans="1:33" ht="15" customHeight="1" x14ac:dyDescent="0.25">
      <c r="A397" s="5">
        <v>38</v>
      </c>
      <c r="B397" s="38">
        <v>44090</v>
      </c>
      <c r="C397" s="38">
        <v>44060</v>
      </c>
      <c r="D397" s="38">
        <v>44053</v>
      </c>
      <c r="E397" s="34">
        <v>44090</v>
      </c>
      <c r="F397" s="5">
        <v>3054</v>
      </c>
      <c r="G397" s="5" t="s">
        <v>91</v>
      </c>
      <c r="H397" s="5" t="s">
        <v>43</v>
      </c>
      <c r="I397" s="5" t="s">
        <v>92</v>
      </c>
      <c r="J397" s="21" t="s">
        <v>93</v>
      </c>
      <c r="K397" s="21" t="s">
        <v>477</v>
      </c>
      <c r="L397" s="6" t="s">
        <v>478</v>
      </c>
      <c r="M397" s="5">
        <v>4</v>
      </c>
      <c r="N397" s="5" t="s">
        <v>91</v>
      </c>
      <c r="O397" s="5" t="s">
        <v>91</v>
      </c>
      <c r="P397" s="5" t="s">
        <v>91</v>
      </c>
      <c r="Q397" s="6"/>
      <c r="R397" s="6" t="s">
        <v>97</v>
      </c>
      <c r="S397" s="6" t="s">
        <v>265</v>
      </c>
      <c r="T397" s="6"/>
      <c r="U397" s="5"/>
      <c r="V397" s="6" t="s">
        <v>479</v>
      </c>
      <c r="W397" s="6" t="s">
        <v>480</v>
      </c>
      <c r="X397" s="6"/>
      <c r="Y397" s="22"/>
      <c r="Z397" s="6"/>
      <c r="AA397" s="21">
        <v>10156</v>
      </c>
      <c r="AB397" s="23">
        <v>44056</v>
      </c>
      <c r="AC397" s="21" t="s">
        <v>30</v>
      </c>
      <c r="AD397" s="24" t="s">
        <v>481</v>
      </c>
      <c r="AE397" s="6" t="s">
        <v>36</v>
      </c>
      <c r="AF397" s="6"/>
      <c r="AG397" s="6" t="s">
        <v>3042</v>
      </c>
    </row>
    <row r="398" spans="1:33" ht="7.5" customHeight="1" x14ac:dyDescent="0.25">
      <c r="A398" s="27"/>
      <c r="B398" s="39"/>
      <c r="C398" s="39"/>
      <c r="D398" s="39"/>
      <c r="E398" s="28"/>
      <c r="F398" s="27"/>
      <c r="G398" s="27"/>
      <c r="H398" s="27"/>
      <c r="I398" s="27"/>
      <c r="J398" s="30"/>
      <c r="K398" s="30"/>
      <c r="L398" s="29"/>
      <c r="M398" s="27"/>
      <c r="N398" s="27"/>
      <c r="O398" s="27"/>
      <c r="P398" s="27"/>
      <c r="Q398" s="29"/>
      <c r="R398" s="29"/>
      <c r="S398" s="29"/>
      <c r="T398" s="29"/>
      <c r="U398" s="27"/>
      <c r="V398" s="29"/>
      <c r="W398" s="29"/>
      <c r="X398" s="29"/>
      <c r="Y398" s="31"/>
      <c r="Z398" s="29"/>
      <c r="AA398" s="30"/>
      <c r="AB398" s="32"/>
      <c r="AC398" s="30"/>
      <c r="AD398" s="33"/>
      <c r="AE398" s="29"/>
      <c r="AF398" s="29"/>
      <c r="AG398" s="29"/>
    </row>
    <row r="399" spans="1:33" ht="15" customHeight="1" x14ac:dyDescent="0.25">
      <c r="A399" s="5">
        <v>37</v>
      </c>
      <c r="B399" s="38">
        <v>44081</v>
      </c>
      <c r="C399" s="38">
        <v>44060</v>
      </c>
      <c r="D399" s="38">
        <v>44060</v>
      </c>
      <c r="E399" s="37">
        <v>44081</v>
      </c>
      <c r="F399" s="5">
        <v>8715</v>
      </c>
      <c r="G399" s="5" t="s">
        <v>91</v>
      </c>
      <c r="H399" s="5" t="s">
        <v>40</v>
      </c>
      <c r="I399" s="5" t="s">
        <v>92</v>
      </c>
      <c r="J399" s="21" t="s">
        <v>147</v>
      </c>
      <c r="K399" s="21" t="s">
        <v>1560</v>
      </c>
      <c r="L399" s="6" t="s">
        <v>95</v>
      </c>
      <c r="M399" s="5">
        <v>22</v>
      </c>
      <c r="N399" s="5" t="s">
        <v>91</v>
      </c>
      <c r="O399" s="5" t="s">
        <v>91</v>
      </c>
      <c r="P399" s="5" t="s">
        <v>91</v>
      </c>
      <c r="Q399" s="6" t="s">
        <v>153</v>
      </c>
      <c r="R399" s="6" t="s">
        <v>97</v>
      </c>
      <c r="S399" s="6" t="s">
        <v>98</v>
      </c>
      <c r="T399" s="6" t="s">
        <v>1561</v>
      </c>
      <c r="U399" s="5"/>
      <c r="V399" s="6"/>
      <c r="W399" s="6" t="s">
        <v>1562</v>
      </c>
      <c r="X399" s="6" t="s">
        <v>1563</v>
      </c>
      <c r="Y399" s="22"/>
      <c r="Z399" s="6"/>
      <c r="AA399" s="21"/>
      <c r="AB399" s="23">
        <v>44015</v>
      </c>
      <c r="AC399" s="21" t="s">
        <v>32</v>
      </c>
      <c r="AD399" s="24" t="s">
        <v>1564</v>
      </c>
      <c r="AE399" s="6" t="s">
        <v>38</v>
      </c>
      <c r="AF399" s="6"/>
      <c r="AG399" s="6" t="s">
        <v>3042</v>
      </c>
    </row>
    <row r="400" spans="1:33" ht="7.5" customHeight="1" x14ac:dyDescent="0.25">
      <c r="A400" s="27"/>
      <c r="B400" s="39"/>
      <c r="C400" s="39"/>
      <c r="D400" s="39"/>
      <c r="E400" s="28"/>
      <c r="F400" s="27"/>
      <c r="G400" s="27"/>
      <c r="H400" s="27"/>
      <c r="I400" s="27"/>
      <c r="J400" s="30"/>
      <c r="K400" s="30"/>
      <c r="L400" s="29"/>
      <c r="M400" s="27"/>
      <c r="N400" s="27"/>
      <c r="O400" s="27"/>
      <c r="P400" s="27"/>
      <c r="Q400" s="29"/>
      <c r="R400" s="29"/>
      <c r="S400" s="29"/>
      <c r="T400" s="29"/>
      <c r="U400" s="27"/>
      <c r="V400" s="29"/>
      <c r="W400" s="29"/>
      <c r="X400" s="29"/>
      <c r="Y400" s="31"/>
      <c r="Z400" s="29"/>
      <c r="AA400" s="30"/>
      <c r="AB400" s="32"/>
      <c r="AC400" s="30"/>
      <c r="AD400" s="33"/>
      <c r="AE400" s="29"/>
      <c r="AF400" s="29"/>
      <c r="AG400" s="29"/>
    </row>
    <row r="401" spans="1:33" ht="15" customHeight="1" x14ac:dyDescent="0.25">
      <c r="A401" s="5">
        <v>38</v>
      </c>
      <c r="B401" s="38">
        <v>44088</v>
      </c>
      <c r="C401" s="38">
        <v>44061</v>
      </c>
      <c r="D401" s="38">
        <v>44050</v>
      </c>
      <c r="E401" s="34">
        <v>44088</v>
      </c>
      <c r="F401" s="5">
        <v>7762</v>
      </c>
      <c r="G401" s="5" t="s">
        <v>91</v>
      </c>
      <c r="H401" s="5" t="s">
        <v>41</v>
      </c>
      <c r="I401" s="5" t="s">
        <v>92</v>
      </c>
      <c r="J401" s="21" t="s">
        <v>214</v>
      </c>
      <c r="K401" s="21" t="s">
        <v>227</v>
      </c>
      <c r="L401" s="6" t="s">
        <v>1711</v>
      </c>
      <c r="M401" s="5">
        <v>13</v>
      </c>
      <c r="N401" s="5" t="s">
        <v>91</v>
      </c>
      <c r="O401" s="5" t="s">
        <v>91</v>
      </c>
      <c r="P401" s="5" t="s">
        <v>91</v>
      </c>
      <c r="Q401" s="6"/>
      <c r="R401" s="6" t="s">
        <v>229</v>
      </c>
      <c r="S401" s="6"/>
      <c r="T401" s="6"/>
      <c r="U401" s="5"/>
      <c r="V401" s="6"/>
      <c r="W401" s="6" t="s">
        <v>1712</v>
      </c>
      <c r="X401" s="6" t="s">
        <v>1713</v>
      </c>
      <c r="Y401" s="22"/>
      <c r="Z401" s="6"/>
      <c r="AA401" s="21" t="s">
        <v>230</v>
      </c>
      <c r="AB401" s="23">
        <v>44056</v>
      </c>
      <c r="AC401" s="21" t="s">
        <v>32</v>
      </c>
      <c r="AD401" s="24" t="s">
        <v>1714</v>
      </c>
      <c r="AE401" s="6" t="s">
        <v>31</v>
      </c>
      <c r="AF401" s="6"/>
      <c r="AG401" s="6" t="s">
        <v>3040</v>
      </c>
    </row>
    <row r="402" spans="1:33" ht="7.5" customHeight="1" x14ac:dyDescent="0.25">
      <c r="A402" s="27"/>
      <c r="B402" s="39"/>
      <c r="C402" s="39"/>
      <c r="D402" s="39"/>
      <c r="E402" s="28"/>
      <c r="F402" s="27"/>
      <c r="G402" s="27"/>
      <c r="H402" s="27"/>
      <c r="I402" s="27"/>
      <c r="J402" s="30"/>
      <c r="K402" s="30"/>
      <c r="L402" s="29"/>
      <c r="M402" s="27"/>
      <c r="N402" s="27"/>
      <c r="O402" s="27"/>
      <c r="P402" s="27"/>
      <c r="Q402" s="29"/>
      <c r="R402" s="29"/>
      <c r="S402" s="29"/>
      <c r="T402" s="29"/>
      <c r="U402" s="27"/>
      <c r="V402" s="29"/>
      <c r="W402" s="29"/>
      <c r="X402" s="29"/>
      <c r="Y402" s="31"/>
      <c r="Z402" s="29"/>
      <c r="AA402" s="30"/>
      <c r="AB402" s="32"/>
      <c r="AC402" s="30"/>
      <c r="AD402" s="33"/>
      <c r="AE402" s="29"/>
      <c r="AF402" s="29"/>
      <c r="AG402" s="29"/>
    </row>
    <row r="403" spans="1:33" ht="15" customHeight="1" x14ac:dyDescent="0.25">
      <c r="A403" s="5">
        <v>36</v>
      </c>
      <c r="B403" s="38">
        <v>44076</v>
      </c>
      <c r="C403" s="38">
        <v>44062</v>
      </c>
      <c r="D403" s="38">
        <v>44055</v>
      </c>
      <c r="E403" s="28">
        <v>44076</v>
      </c>
      <c r="F403" s="5">
        <v>1620</v>
      </c>
      <c r="G403" s="5" t="s">
        <v>91</v>
      </c>
      <c r="H403" s="5" t="s">
        <v>43</v>
      </c>
      <c r="I403" s="5" t="s">
        <v>92</v>
      </c>
      <c r="J403" s="21" t="s">
        <v>372</v>
      </c>
      <c r="K403" s="21" t="s">
        <v>1400</v>
      </c>
      <c r="L403" s="6" t="s">
        <v>1401</v>
      </c>
      <c r="M403" s="5">
        <v>0</v>
      </c>
      <c r="N403" s="5" t="s">
        <v>91</v>
      </c>
      <c r="O403" s="5" t="s">
        <v>91</v>
      </c>
      <c r="P403" s="5" t="s">
        <v>91</v>
      </c>
      <c r="Q403" s="6"/>
      <c r="R403" s="6" t="s">
        <v>112</v>
      </c>
      <c r="S403" s="6"/>
      <c r="T403" s="6"/>
      <c r="U403" s="5"/>
      <c r="V403" s="6"/>
      <c r="W403" s="6" t="s">
        <v>1402</v>
      </c>
      <c r="X403" s="6"/>
      <c r="Y403" s="22"/>
      <c r="Z403" s="6"/>
      <c r="AA403" s="21"/>
      <c r="AB403" s="23">
        <v>44074</v>
      </c>
      <c r="AC403" s="21" t="s">
        <v>30</v>
      </c>
      <c r="AD403" s="24" t="s">
        <v>1403</v>
      </c>
      <c r="AE403" s="6" t="s">
        <v>31</v>
      </c>
      <c r="AF403" s="6"/>
      <c r="AG403" s="6" t="s">
        <v>3041</v>
      </c>
    </row>
    <row r="404" spans="1:33" ht="15" customHeight="1" x14ac:dyDescent="0.25">
      <c r="A404" s="5">
        <v>36</v>
      </c>
      <c r="B404" s="38">
        <v>44076</v>
      </c>
      <c r="C404" s="38">
        <v>44062</v>
      </c>
      <c r="D404" s="38">
        <v>44055</v>
      </c>
      <c r="E404" s="28">
        <v>44076</v>
      </c>
      <c r="F404" s="5">
        <v>10678</v>
      </c>
      <c r="G404" s="5" t="s">
        <v>91</v>
      </c>
      <c r="H404" s="5" t="s">
        <v>43</v>
      </c>
      <c r="I404" s="5" t="s">
        <v>92</v>
      </c>
      <c r="J404" s="21" t="s">
        <v>170</v>
      </c>
      <c r="K404" s="21" t="s">
        <v>1413</v>
      </c>
      <c r="L404" s="6" t="s">
        <v>469</v>
      </c>
      <c r="M404" s="5">
        <v>15</v>
      </c>
      <c r="N404" s="5" t="s">
        <v>91</v>
      </c>
      <c r="O404" s="5" t="s">
        <v>91</v>
      </c>
      <c r="P404" s="5" t="s">
        <v>91</v>
      </c>
      <c r="Q404" s="6"/>
      <c r="R404" s="6" t="s">
        <v>112</v>
      </c>
      <c r="S404" s="6"/>
      <c r="T404" s="6"/>
      <c r="U404" s="5"/>
      <c r="V404" s="6"/>
      <c r="W404" s="6" t="s">
        <v>471</v>
      </c>
      <c r="X404" s="6"/>
      <c r="Y404" s="22"/>
      <c r="Z404" s="6">
        <v>5</v>
      </c>
      <c r="AA404" s="21" t="s">
        <v>472</v>
      </c>
      <c r="AB404" s="23">
        <v>44054</v>
      </c>
      <c r="AC404" s="21" t="s">
        <v>30</v>
      </c>
      <c r="AD404" s="24" t="s">
        <v>1414</v>
      </c>
      <c r="AE404" s="6" t="s">
        <v>31</v>
      </c>
      <c r="AF404" s="6"/>
      <c r="AG404" s="6" t="s">
        <v>3040</v>
      </c>
    </row>
    <row r="405" spans="1:33" ht="15" customHeight="1" x14ac:dyDescent="0.25">
      <c r="A405" s="5">
        <v>36</v>
      </c>
      <c r="B405" s="38">
        <v>44076</v>
      </c>
      <c r="C405" s="38">
        <v>44062</v>
      </c>
      <c r="D405" s="38">
        <v>44055</v>
      </c>
      <c r="E405" s="28">
        <v>44076</v>
      </c>
      <c r="F405" s="5">
        <v>3052</v>
      </c>
      <c r="G405" s="5" t="s">
        <v>91</v>
      </c>
      <c r="H405" s="5" t="s">
        <v>43</v>
      </c>
      <c r="I405" s="5" t="s">
        <v>92</v>
      </c>
      <c r="J405" s="21" t="s">
        <v>93</v>
      </c>
      <c r="K405" s="21" t="s">
        <v>1415</v>
      </c>
      <c r="L405" s="6" t="s">
        <v>1416</v>
      </c>
      <c r="M405" s="5">
        <v>11</v>
      </c>
      <c r="N405" s="5" t="s">
        <v>91</v>
      </c>
      <c r="O405" s="5" t="s">
        <v>91</v>
      </c>
      <c r="P405" s="5" t="s">
        <v>91</v>
      </c>
      <c r="Q405" s="6"/>
      <c r="R405" s="6" t="s">
        <v>97</v>
      </c>
      <c r="S405" s="6"/>
      <c r="T405" s="6"/>
      <c r="U405" s="5"/>
      <c r="V405" s="6"/>
      <c r="W405" s="6" t="s">
        <v>1417</v>
      </c>
      <c r="X405" s="6" t="s">
        <v>1418</v>
      </c>
      <c r="Y405" s="22"/>
      <c r="Z405" s="6"/>
      <c r="AA405" s="21">
        <v>10161</v>
      </c>
      <c r="AB405" s="23">
        <v>44056</v>
      </c>
      <c r="AC405" s="21" t="s">
        <v>32</v>
      </c>
      <c r="AD405" s="24" t="s">
        <v>1419</v>
      </c>
      <c r="AE405" s="6" t="s">
        <v>31</v>
      </c>
      <c r="AF405" s="6"/>
      <c r="AG405" s="6" t="s">
        <v>3041</v>
      </c>
    </row>
    <row r="406" spans="1:33" ht="15" customHeight="1" x14ac:dyDescent="0.25">
      <c r="A406" s="5">
        <v>36</v>
      </c>
      <c r="B406" s="38">
        <v>44076</v>
      </c>
      <c r="C406" s="38">
        <v>44062</v>
      </c>
      <c r="D406" s="38">
        <v>44055</v>
      </c>
      <c r="E406" s="28">
        <v>44076</v>
      </c>
      <c r="F406" s="5">
        <v>12073</v>
      </c>
      <c r="G406" s="5" t="s">
        <v>91</v>
      </c>
      <c r="H406" s="5" t="s">
        <v>43</v>
      </c>
      <c r="I406" s="5" t="s">
        <v>92</v>
      </c>
      <c r="J406" s="21" t="s">
        <v>275</v>
      </c>
      <c r="K406" s="21" t="s">
        <v>1423</v>
      </c>
      <c r="L406" s="6" t="s">
        <v>1424</v>
      </c>
      <c r="M406" s="5">
        <v>13</v>
      </c>
      <c r="N406" s="5" t="s">
        <v>91</v>
      </c>
      <c r="O406" s="5" t="s">
        <v>91</v>
      </c>
      <c r="P406" s="5" t="s">
        <v>91</v>
      </c>
      <c r="Q406" s="6" t="s">
        <v>96</v>
      </c>
      <c r="R406" s="6" t="s">
        <v>123</v>
      </c>
      <c r="S406" s="6"/>
      <c r="T406" s="6"/>
      <c r="U406" s="5"/>
      <c r="V406" s="6"/>
      <c r="W406" s="6" t="s">
        <v>1425</v>
      </c>
      <c r="X406" s="6"/>
      <c r="Y406" s="22"/>
      <c r="Z406" s="6">
        <v>6</v>
      </c>
      <c r="AA406" s="21"/>
      <c r="AB406" s="23">
        <v>44056</v>
      </c>
      <c r="AC406" s="21" t="s">
        <v>32</v>
      </c>
      <c r="AD406" s="24" t="s">
        <v>1426</v>
      </c>
      <c r="AE406" s="6" t="s">
        <v>31</v>
      </c>
      <c r="AF406" s="6"/>
      <c r="AG406" s="6" t="s">
        <v>3039</v>
      </c>
    </row>
    <row r="407" spans="1:33" ht="15" customHeight="1" x14ac:dyDescent="0.25">
      <c r="A407" s="5">
        <v>36</v>
      </c>
      <c r="B407" s="38">
        <v>44076</v>
      </c>
      <c r="C407" s="38">
        <v>44062</v>
      </c>
      <c r="D407" s="38">
        <v>44055</v>
      </c>
      <c r="E407" s="28">
        <v>44076</v>
      </c>
      <c r="F407" s="5">
        <v>12076</v>
      </c>
      <c r="G407" s="5" t="s">
        <v>91</v>
      </c>
      <c r="H407" s="5" t="s">
        <v>41</v>
      </c>
      <c r="I407" s="5" t="s">
        <v>92</v>
      </c>
      <c r="J407" s="21" t="s">
        <v>275</v>
      </c>
      <c r="K407" s="21" t="s">
        <v>1427</v>
      </c>
      <c r="L407" s="6" t="s">
        <v>1428</v>
      </c>
      <c r="M407" s="5">
        <v>0</v>
      </c>
      <c r="N407" s="5" t="s">
        <v>91</v>
      </c>
      <c r="O407" s="5" t="s">
        <v>91</v>
      </c>
      <c r="P407" s="5" t="s">
        <v>91</v>
      </c>
      <c r="Q407" s="6"/>
      <c r="R407" s="6" t="s">
        <v>112</v>
      </c>
      <c r="S407" s="6"/>
      <c r="T407" s="6"/>
      <c r="U407" s="5"/>
      <c r="V407" s="6"/>
      <c r="W407" s="6" t="s">
        <v>1429</v>
      </c>
      <c r="X407" s="6"/>
      <c r="Y407" s="22"/>
      <c r="Z407" s="6"/>
      <c r="AA407" s="21"/>
      <c r="AB407" s="23">
        <v>44061</v>
      </c>
      <c r="AC407" s="21" t="s">
        <v>30</v>
      </c>
      <c r="AD407" s="24" t="s">
        <v>1430</v>
      </c>
      <c r="AE407" s="6" t="s">
        <v>31</v>
      </c>
      <c r="AF407" s="6"/>
      <c r="AG407" s="6" t="s">
        <v>3040</v>
      </c>
    </row>
    <row r="408" spans="1:33" ht="15" customHeight="1" x14ac:dyDescent="0.25">
      <c r="A408" s="5">
        <v>36</v>
      </c>
      <c r="B408" s="38">
        <v>44076</v>
      </c>
      <c r="C408" s="38">
        <v>44062</v>
      </c>
      <c r="D408" s="38">
        <v>44055</v>
      </c>
      <c r="E408" s="28">
        <v>44076</v>
      </c>
      <c r="F408" s="5">
        <v>4813</v>
      </c>
      <c r="G408" s="5" t="s">
        <v>91</v>
      </c>
      <c r="H408" s="5" t="s">
        <v>43</v>
      </c>
      <c r="I408" s="5" t="s">
        <v>92</v>
      </c>
      <c r="J408" s="21" t="s">
        <v>109</v>
      </c>
      <c r="K408" s="21" t="s">
        <v>1439</v>
      </c>
      <c r="L408" s="6" t="s">
        <v>1440</v>
      </c>
      <c r="M408" s="5">
        <v>11</v>
      </c>
      <c r="N408" s="5" t="s">
        <v>91</v>
      </c>
      <c r="O408" s="5" t="s">
        <v>91</v>
      </c>
      <c r="P408" s="5" t="s">
        <v>91</v>
      </c>
      <c r="Q408" s="6"/>
      <c r="R408" s="6" t="s">
        <v>112</v>
      </c>
      <c r="S408" s="6"/>
      <c r="T408" s="6"/>
      <c r="U408" s="5"/>
      <c r="V408" s="6"/>
      <c r="W408" s="6" t="s">
        <v>1441</v>
      </c>
      <c r="X408" s="6"/>
      <c r="Y408" s="22"/>
      <c r="Z408" s="6">
        <v>4.9000000000000004</v>
      </c>
      <c r="AA408" s="21">
        <v>14050</v>
      </c>
      <c r="AB408" s="23">
        <v>44061</v>
      </c>
      <c r="AC408" s="21" t="s">
        <v>30</v>
      </c>
      <c r="AD408" s="24" t="s">
        <v>1442</v>
      </c>
      <c r="AE408" s="6" t="s">
        <v>31</v>
      </c>
      <c r="AF408" s="6"/>
      <c r="AG408" s="6" t="s">
        <v>3039</v>
      </c>
    </row>
    <row r="409" spans="1:33" ht="15" customHeight="1" x14ac:dyDescent="0.25">
      <c r="A409" s="5">
        <v>36</v>
      </c>
      <c r="B409" s="38">
        <v>44076</v>
      </c>
      <c r="C409" s="38">
        <v>44062</v>
      </c>
      <c r="D409" s="38">
        <v>44055</v>
      </c>
      <c r="E409" s="28">
        <v>44076</v>
      </c>
      <c r="F409" s="5">
        <v>4815</v>
      </c>
      <c r="G409" s="5" t="s">
        <v>91</v>
      </c>
      <c r="H409" s="5" t="s">
        <v>43</v>
      </c>
      <c r="I409" s="5" t="s">
        <v>92</v>
      </c>
      <c r="J409" s="21" t="s">
        <v>109</v>
      </c>
      <c r="K409" s="21" t="s">
        <v>1443</v>
      </c>
      <c r="L409" s="6" t="s">
        <v>1444</v>
      </c>
      <c r="M409" s="5">
        <v>11</v>
      </c>
      <c r="N409" s="5" t="s">
        <v>91</v>
      </c>
      <c r="O409" s="5" t="s">
        <v>91</v>
      </c>
      <c r="P409" s="5" t="s">
        <v>91</v>
      </c>
      <c r="Q409" s="6"/>
      <c r="R409" s="6" t="s">
        <v>112</v>
      </c>
      <c r="S409" s="6"/>
      <c r="T409" s="6"/>
      <c r="U409" s="5"/>
      <c r="V409" s="6"/>
      <c r="W409" s="6" t="s">
        <v>1445</v>
      </c>
      <c r="X409" s="6"/>
      <c r="Y409" s="22"/>
      <c r="Z409" s="6">
        <v>3.7</v>
      </c>
      <c r="AA409" s="21">
        <v>14031</v>
      </c>
      <c r="AB409" s="23">
        <v>44061</v>
      </c>
      <c r="AC409" s="21" t="s">
        <v>30</v>
      </c>
      <c r="AD409" s="24" t="s">
        <v>1446</v>
      </c>
      <c r="AE409" s="6" t="s">
        <v>36</v>
      </c>
      <c r="AF409" s="6"/>
      <c r="AG409" s="6" t="s">
        <v>3040</v>
      </c>
    </row>
    <row r="410" spans="1:33" ht="15" customHeight="1" x14ac:dyDescent="0.25">
      <c r="A410" s="5">
        <v>36</v>
      </c>
      <c r="B410" s="38">
        <v>44076</v>
      </c>
      <c r="C410" s="38">
        <v>44062</v>
      </c>
      <c r="D410" s="38">
        <v>44055</v>
      </c>
      <c r="E410" s="28">
        <v>44076</v>
      </c>
      <c r="F410" s="5">
        <v>4818</v>
      </c>
      <c r="G410" s="5" t="s">
        <v>91</v>
      </c>
      <c r="H410" s="5" t="s">
        <v>41</v>
      </c>
      <c r="I410" s="5" t="s">
        <v>92</v>
      </c>
      <c r="J410" s="21" t="s">
        <v>109</v>
      </c>
      <c r="K410" s="21" t="s">
        <v>1447</v>
      </c>
      <c r="L410" s="6" t="s">
        <v>1448</v>
      </c>
      <c r="M410" s="5">
        <v>6</v>
      </c>
      <c r="N410" s="5" t="s">
        <v>91</v>
      </c>
      <c r="O410" s="5" t="s">
        <v>91</v>
      </c>
      <c r="P410" s="5" t="s">
        <v>91</v>
      </c>
      <c r="Q410" s="6"/>
      <c r="R410" s="6" t="s">
        <v>112</v>
      </c>
      <c r="S410" s="6"/>
      <c r="T410" s="6"/>
      <c r="U410" s="5"/>
      <c r="V410" s="6"/>
      <c r="W410" s="6" t="s">
        <v>1449</v>
      </c>
      <c r="X410" s="6"/>
      <c r="Y410" s="22"/>
      <c r="Z410" s="6">
        <v>4.0999999999999996</v>
      </c>
      <c r="AA410" s="21">
        <v>15368</v>
      </c>
      <c r="AB410" s="23">
        <v>44062</v>
      </c>
      <c r="AC410" s="21" t="s">
        <v>30</v>
      </c>
      <c r="AD410" s="24" t="s">
        <v>1450</v>
      </c>
      <c r="AE410" s="6" t="s">
        <v>31</v>
      </c>
      <c r="AF410" s="6"/>
      <c r="AG410" s="6" t="s">
        <v>3041</v>
      </c>
    </row>
    <row r="411" spans="1:33" ht="15" customHeight="1" x14ac:dyDescent="0.25">
      <c r="A411" s="5">
        <v>36</v>
      </c>
      <c r="B411" s="38">
        <v>44076</v>
      </c>
      <c r="C411" s="38">
        <v>44062</v>
      </c>
      <c r="D411" s="38">
        <v>44055</v>
      </c>
      <c r="E411" s="28">
        <v>44076</v>
      </c>
      <c r="F411" s="5">
        <v>5628</v>
      </c>
      <c r="G411" s="5" t="s">
        <v>91</v>
      </c>
      <c r="H411" s="5" t="s">
        <v>41</v>
      </c>
      <c r="I411" s="5" t="s">
        <v>92</v>
      </c>
      <c r="J411" s="21" t="s">
        <v>131</v>
      </c>
      <c r="K411" s="21" t="s">
        <v>1455</v>
      </c>
      <c r="L411" s="6" t="s">
        <v>95</v>
      </c>
      <c r="M411" s="5">
        <v>10</v>
      </c>
      <c r="N411" s="5" t="s">
        <v>91</v>
      </c>
      <c r="O411" s="5" t="s">
        <v>91</v>
      </c>
      <c r="P411" s="5" t="s">
        <v>91</v>
      </c>
      <c r="Q411" s="6" t="s">
        <v>105</v>
      </c>
      <c r="R411" s="6" t="s">
        <v>123</v>
      </c>
      <c r="S411" s="6"/>
      <c r="T411" s="6"/>
      <c r="U411" s="5"/>
      <c r="V411" s="6"/>
      <c r="W411" s="6" t="s">
        <v>1456</v>
      </c>
      <c r="X411" s="6"/>
      <c r="Y411" s="22"/>
      <c r="Z411" s="6">
        <v>3</v>
      </c>
      <c r="AA411" s="21"/>
      <c r="AB411" s="23">
        <v>44050</v>
      </c>
      <c r="AC411" s="21" t="s">
        <v>32</v>
      </c>
      <c r="AD411" s="24" t="s">
        <v>1457</v>
      </c>
      <c r="AE411" s="6" t="s">
        <v>34</v>
      </c>
      <c r="AF411" s="6"/>
      <c r="AG411" s="6" t="s">
        <v>3040</v>
      </c>
    </row>
    <row r="412" spans="1:33" ht="15" customHeight="1" x14ac:dyDescent="0.25">
      <c r="A412" s="5">
        <v>36</v>
      </c>
      <c r="B412" s="38">
        <v>44076</v>
      </c>
      <c r="C412" s="38">
        <v>44062</v>
      </c>
      <c r="D412" s="38">
        <v>44055</v>
      </c>
      <c r="E412" s="28">
        <v>44076</v>
      </c>
      <c r="F412" s="5">
        <v>5636</v>
      </c>
      <c r="G412" s="5" t="s">
        <v>91</v>
      </c>
      <c r="H412" s="5" t="s">
        <v>41</v>
      </c>
      <c r="I412" s="5" t="s">
        <v>92</v>
      </c>
      <c r="J412" s="21" t="s">
        <v>131</v>
      </c>
      <c r="K412" s="21" t="s">
        <v>1458</v>
      </c>
      <c r="L412" s="6" t="s">
        <v>1459</v>
      </c>
      <c r="M412" s="5">
        <v>0</v>
      </c>
      <c r="N412" s="5" t="s">
        <v>91</v>
      </c>
      <c r="O412" s="5" t="s">
        <v>91</v>
      </c>
      <c r="P412" s="5" t="s">
        <v>91</v>
      </c>
      <c r="Q412" s="6" t="s">
        <v>96</v>
      </c>
      <c r="R412" s="6" t="s">
        <v>112</v>
      </c>
      <c r="S412" s="6"/>
      <c r="T412" s="6"/>
      <c r="U412" s="5"/>
      <c r="V412" s="6"/>
      <c r="W412" s="6" t="s">
        <v>183</v>
      </c>
      <c r="X412" s="6"/>
      <c r="Y412" s="22"/>
      <c r="Z412" s="6"/>
      <c r="AA412" s="21" t="s">
        <v>1460</v>
      </c>
      <c r="AB412" s="23">
        <v>44061</v>
      </c>
      <c r="AC412" s="21" t="s">
        <v>32</v>
      </c>
      <c r="AD412" s="24" t="s">
        <v>1461</v>
      </c>
      <c r="AE412" s="6" t="s">
        <v>31</v>
      </c>
      <c r="AF412" s="6"/>
      <c r="AG412" s="6" t="s">
        <v>3041</v>
      </c>
    </row>
    <row r="413" spans="1:33" ht="15" customHeight="1" x14ac:dyDescent="0.25">
      <c r="A413" s="5">
        <v>36</v>
      </c>
      <c r="B413" s="38">
        <v>44076</v>
      </c>
      <c r="C413" s="38">
        <v>44062</v>
      </c>
      <c r="D413" s="38">
        <v>44055</v>
      </c>
      <c r="E413" s="28">
        <v>44076</v>
      </c>
      <c r="F413" s="5">
        <v>5638</v>
      </c>
      <c r="G413" s="5" t="s">
        <v>91</v>
      </c>
      <c r="H413" s="5" t="s">
        <v>41</v>
      </c>
      <c r="I413" s="5" t="s">
        <v>92</v>
      </c>
      <c r="J413" s="21" t="s">
        <v>131</v>
      </c>
      <c r="K413" s="21" t="s">
        <v>1462</v>
      </c>
      <c r="L413" s="6" t="s">
        <v>1463</v>
      </c>
      <c r="M413" s="5">
        <v>3</v>
      </c>
      <c r="N413" s="5" t="s">
        <v>91</v>
      </c>
      <c r="O413" s="5" t="s">
        <v>91</v>
      </c>
      <c r="P413" s="5" t="s">
        <v>91</v>
      </c>
      <c r="Q413" s="6"/>
      <c r="R413" s="6" t="s">
        <v>112</v>
      </c>
      <c r="S413" s="6"/>
      <c r="T413" s="6"/>
      <c r="U413" s="5"/>
      <c r="V413" s="6"/>
      <c r="W413" s="6" t="s">
        <v>183</v>
      </c>
      <c r="X413" s="6"/>
      <c r="Y413" s="22"/>
      <c r="Z413" s="6"/>
      <c r="AA413" s="21"/>
      <c r="AB413" s="23">
        <v>44061</v>
      </c>
      <c r="AC413" s="21" t="s">
        <v>32</v>
      </c>
      <c r="AD413" s="24" t="s">
        <v>1464</v>
      </c>
      <c r="AE413" s="6" t="s">
        <v>35</v>
      </c>
      <c r="AF413" s="6"/>
      <c r="AG413" s="6" t="s">
        <v>3042</v>
      </c>
    </row>
    <row r="414" spans="1:33" ht="15" customHeight="1" x14ac:dyDescent="0.25">
      <c r="A414" s="5">
        <v>36</v>
      </c>
      <c r="B414" s="38">
        <v>44076</v>
      </c>
      <c r="C414" s="38">
        <v>44062</v>
      </c>
      <c r="D414" s="38">
        <v>44055</v>
      </c>
      <c r="E414" s="28">
        <v>44076</v>
      </c>
      <c r="F414" s="5">
        <v>5647</v>
      </c>
      <c r="G414" s="5" t="s">
        <v>91</v>
      </c>
      <c r="H414" s="5" t="s">
        <v>43</v>
      </c>
      <c r="I414" s="5" t="s">
        <v>92</v>
      </c>
      <c r="J414" s="21" t="s">
        <v>131</v>
      </c>
      <c r="K414" s="21" t="s">
        <v>1451</v>
      </c>
      <c r="L414" s="6" t="s">
        <v>1465</v>
      </c>
      <c r="M414" s="5">
        <v>0</v>
      </c>
      <c r="N414" s="5" t="s">
        <v>91</v>
      </c>
      <c r="O414" s="5" t="s">
        <v>91</v>
      </c>
      <c r="P414" s="5" t="s">
        <v>91</v>
      </c>
      <c r="Q414" s="6"/>
      <c r="R414" s="6" t="s">
        <v>112</v>
      </c>
      <c r="S414" s="6"/>
      <c r="T414" s="6"/>
      <c r="U414" s="5"/>
      <c r="V414" s="6"/>
      <c r="W414" s="6" t="s">
        <v>183</v>
      </c>
      <c r="X414" s="6"/>
      <c r="Y414" s="22"/>
      <c r="Z414" s="6"/>
      <c r="AA414" s="21"/>
      <c r="AB414" s="23">
        <v>44070</v>
      </c>
      <c r="AC414" s="21" t="s">
        <v>33</v>
      </c>
      <c r="AD414" s="24" t="s">
        <v>1426</v>
      </c>
      <c r="AE414" s="6" t="s">
        <v>31</v>
      </c>
      <c r="AF414" s="6"/>
      <c r="AG414" s="6" t="s">
        <v>3039</v>
      </c>
    </row>
    <row r="415" spans="1:33" ht="15" customHeight="1" x14ac:dyDescent="0.25">
      <c r="A415" s="5">
        <v>36</v>
      </c>
      <c r="B415" s="38">
        <v>44076</v>
      </c>
      <c r="C415" s="38">
        <v>44062</v>
      </c>
      <c r="D415" s="38">
        <v>44055</v>
      </c>
      <c r="E415" s="28">
        <v>44076</v>
      </c>
      <c r="F415" s="5">
        <v>8753</v>
      </c>
      <c r="G415" s="5" t="s">
        <v>91</v>
      </c>
      <c r="H415" s="5" t="s">
        <v>43</v>
      </c>
      <c r="I415" s="5" t="s">
        <v>92</v>
      </c>
      <c r="J415" s="21" t="s">
        <v>147</v>
      </c>
      <c r="K415" s="21" t="s">
        <v>1477</v>
      </c>
      <c r="L415" s="6" t="s">
        <v>544</v>
      </c>
      <c r="M415" s="5">
        <v>17</v>
      </c>
      <c r="N415" s="5" t="s">
        <v>91</v>
      </c>
      <c r="O415" s="5" t="s">
        <v>91</v>
      </c>
      <c r="P415" s="5" t="s">
        <v>91</v>
      </c>
      <c r="Q415" s="6" t="s">
        <v>153</v>
      </c>
      <c r="R415" s="6" t="s">
        <v>264</v>
      </c>
      <c r="S415" s="6" t="s">
        <v>1478</v>
      </c>
      <c r="T415" s="6"/>
      <c r="U415" s="5"/>
      <c r="V415" s="6"/>
      <c r="W415" s="6" t="s">
        <v>1479</v>
      </c>
      <c r="X415" s="6" t="s">
        <v>459</v>
      </c>
      <c r="Y415" s="22"/>
      <c r="Z415" s="6"/>
      <c r="AA415" s="21"/>
      <c r="AB415" s="23">
        <v>44062</v>
      </c>
      <c r="AC415" s="21" t="s">
        <v>30</v>
      </c>
      <c r="AD415" s="24" t="s">
        <v>1480</v>
      </c>
      <c r="AE415" s="6" t="s">
        <v>31</v>
      </c>
      <c r="AF415" s="6"/>
      <c r="AG415" s="6" t="s">
        <v>3039</v>
      </c>
    </row>
    <row r="416" spans="1:33" ht="7.5" customHeight="1" x14ac:dyDescent="0.25">
      <c r="A416" s="27"/>
      <c r="B416" s="39"/>
      <c r="C416" s="39"/>
      <c r="D416" s="39"/>
      <c r="E416" s="28"/>
      <c r="F416" s="27"/>
      <c r="G416" s="27"/>
      <c r="H416" s="27"/>
      <c r="I416" s="27"/>
      <c r="J416" s="30"/>
      <c r="K416" s="30"/>
      <c r="L416" s="29"/>
      <c r="M416" s="27"/>
      <c r="N416" s="27"/>
      <c r="O416" s="27"/>
      <c r="P416" s="27"/>
      <c r="Q416" s="29"/>
      <c r="R416" s="29"/>
      <c r="S416" s="29"/>
      <c r="T416" s="29"/>
      <c r="U416" s="27"/>
      <c r="V416" s="29"/>
      <c r="W416" s="29"/>
      <c r="X416" s="29"/>
      <c r="Y416" s="31"/>
      <c r="Z416" s="29"/>
      <c r="AA416" s="30"/>
      <c r="AB416" s="32"/>
      <c r="AC416" s="30"/>
      <c r="AD416" s="33"/>
      <c r="AE416" s="29"/>
      <c r="AF416" s="29"/>
      <c r="AG416" s="29"/>
    </row>
    <row r="417" spans="1:33" ht="15" customHeight="1" x14ac:dyDescent="0.25">
      <c r="A417" s="5">
        <v>36</v>
      </c>
      <c r="B417" s="38">
        <v>44078</v>
      </c>
      <c r="C417" s="38">
        <v>44062</v>
      </c>
      <c r="D417" s="38">
        <v>44049</v>
      </c>
      <c r="E417" s="28">
        <v>44078</v>
      </c>
      <c r="F417" s="5">
        <v>8738</v>
      </c>
      <c r="G417" s="5" t="s">
        <v>91</v>
      </c>
      <c r="H417" s="5" t="s">
        <v>40</v>
      </c>
      <c r="I417" s="5" t="s">
        <v>92</v>
      </c>
      <c r="J417" s="21" t="s">
        <v>147</v>
      </c>
      <c r="K417" s="21" t="s">
        <v>1505</v>
      </c>
      <c r="L417" s="6" t="s">
        <v>402</v>
      </c>
      <c r="M417" s="5">
        <v>11</v>
      </c>
      <c r="N417" s="5" t="s">
        <v>91</v>
      </c>
      <c r="O417" s="5" t="s">
        <v>91</v>
      </c>
      <c r="P417" s="5" t="s">
        <v>91</v>
      </c>
      <c r="Q417" s="6" t="s">
        <v>105</v>
      </c>
      <c r="R417" s="6" t="s">
        <v>1506</v>
      </c>
      <c r="S417" s="6" t="s">
        <v>98</v>
      </c>
      <c r="T417" s="6"/>
      <c r="U417" s="5"/>
      <c r="V417" s="6"/>
      <c r="W417" s="6" t="s">
        <v>1507</v>
      </c>
      <c r="X417" s="6" t="s">
        <v>1508</v>
      </c>
      <c r="Y417" s="22"/>
      <c r="Z417" s="6"/>
      <c r="AA417" s="21"/>
      <c r="AB417" s="23">
        <v>44047</v>
      </c>
      <c r="AC417" s="21" t="s">
        <v>30</v>
      </c>
      <c r="AD417" s="24" t="s">
        <v>1509</v>
      </c>
      <c r="AE417" s="6" t="s">
        <v>31</v>
      </c>
      <c r="AF417" s="6"/>
      <c r="AG417" s="6" t="s">
        <v>3042</v>
      </c>
    </row>
    <row r="418" spans="1:33" ht="15" customHeight="1" x14ac:dyDescent="0.25">
      <c r="A418" s="5">
        <v>36</v>
      </c>
      <c r="B418" s="38">
        <v>44078</v>
      </c>
      <c r="C418" s="38">
        <v>44062</v>
      </c>
      <c r="D418" s="38">
        <v>44060</v>
      </c>
      <c r="E418" s="28">
        <v>44078</v>
      </c>
      <c r="F418" s="5">
        <v>8740</v>
      </c>
      <c r="G418" s="5" t="s">
        <v>91</v>
      </c>
      <c r="H418" s="5" t="s">
        <v>40</v>
      </c>
      <c r="I418" s="5" t="s">
        <v>92</v>
      </c>
      <c r="J418" s="21" t="s">
        <v>147</v>
      </c>
      <c r="K418" s="21" t="s">
        <v>1510</v>
      </c>
      <c r="L418" s="6" t="s">
        <v>1511</v>
      </c>
      <c r="M418" s="5">
        <v>20</v>
      </c>
      <c r="N418" s="5" t="s">
        <v>91</v>
      </c>
      <c r="O418" s="5" t="s">
        <v>91</v>
      </c>
      <c r="P418" s="5" t="s">
        <v>91</v>
      </c>
      <c r="Q418" s="6" t="s">
        <v>96</v>
      </c>
      <c r="R418" s="6" t="s">
        <v>97</v>
      </c>
      <c r="S418" s="6" t="s">
        <v>98</v>
      </c>
      <c r="T418" s="6"/>
      <c r="U418" s="5"/>
      <c r="V418" s="6"/>
      <c r="W418" s="6" t="s">
        <v>1512</v>
      </c>
      <c r="X418" s="6" t="s">
        <v>1513</v>
      </c>
      <c r="Y418" s="22"/>
      <c r="Z418" s="6"/>
      <c r="AA418" s="21"/>
      <c r="AB418" s="23">
        <v>44048</v>
      </c>
      <c r="AC418" s="21" t="s">
        <v>30</v>
      </c>
      <c r="AD418" s="24" t="s">
        <v>1514</v>
      </c>
      <c r="AE418" s="6" t="s">
        <v>31</v>
      </c>
      <c r="AF418" s="6"/>
      <c r="AG418" s="6" t="s">
        <v>3039</v>
      </c>
    </row>
    <row r="419" spans="1:33" ht="7.5" customHeight="1" x14ac:dyDescent="0.25">
      <c r="A419" s="27"/>
      <c r="B419" s="39"/>
      <c r="C419" s="39"/>
      <c r="D419" s="39"/>
      <c r="E419" s="28"/>
      <c r="F419" s="27"/>
      <c r="G419" s="27"/>
      <c r="H419" s="27"/>
      <c r="I419" s="27"/>
      <c r="J419" s="30"/>
      <c r="K419" s="30"/>
      <c r="L419" s="29"/>
      <c r="M419" s="27"/>
      <c r="N419" s="27"/>
      <c r="O419" s="27"/>
      <c r="P419" s="27"/>
      <c r="Q419" s="29"/>
      <c r="R419" s="29"/>
      <c r="S419" s="29"/>
      <c r="T419" s="29"/>
      <c r="U419" s="27"/>
      <c r="V419" s="29"/>
      <c r="W419" s="29"/>
      <c r="X419" s="29"/>
      <c r="Y419" s="31"/>
      <c r="Z419" s="29"/>
      <c r="AA419" s="30"/>
      <c r="AB419" s="32"/>
      <c r="AC419" s="30"/>
      <c r="AD419" s="33"/>
      <c r="AE419" s="29"/>
      <c r="AF419" s="29"/>
      <c r="AG419" s="29"/>
    </row>
    <row r="420" spans="1:33" ht="15" customHeight="1" x14ac:dyDescent="0.25">
      <c r="A420" s="5">
        <v>36</v>
      </c>
      <c r="B420" s="38">
        <v>44077</v>
      </c>
      <c r="C420" s="38">
        <v>44063</v>
      </c>
      <c r="D420" s="38">
        <v>44056</v>
      </c>
      <c r="E420" s="28">
        <v>44077</v>
      </c>
      <c r="F420" s="5">
        <v>2387</v>
      </c>
      <c r="G420" s="5" t="s">
        <v>91</v>
      </c>
      <c r="H420" s="5" t="s">
        <v>41</v>
      </c>
      <c r="I420" s="5" t="s">
        <v>92</v>
      </c>
      <c r="J420" s="21" t="s">
        <v>231</v>
      </c>
      <c r="K420" s="21" t="s">
        <v>1485</v>
      </c>
      <c r="L420" s="6" t="s">
        <v>1486</v>
      </c>
      <c r="M420" s="5">
        <v>0</v>
      </c>
      <c r="N420" s="5" t="s">
        <v>91</v>
      </c>
      <c r="O420" s="5" t="s">
        <v>91</v>
      </c>
      <c r="P420" s="5" t="s">
        <v>91</v>
      </c>
      <c r="Q420" s="6" t="s">
        <v>105</v>
      </c>
      <c r="R420" s="6" t="s">
        <v>1224</v>
      </c>
      <c r="S420" s="6"/>
      <c r="T420" s="6"/>
      <c r="U420" s="5"/>
      <c r="V420" s="6" t="s">
        <v>1487</v>
      </c>
      <c r="W420" s="6" t="s">
        <v>1488</v>
      </c>
      <c r="X420" s="6"/>
      <c r="Y420" s="22"/>
      <c r="Z420" s="6"/>
      <c r="AA420" s="21"/>
      <c r="AB420" s="23">
        <v>44070</v>
      </c>
      <c r="AC420" s="21" t="s">
        <v>32</v>
      </c>
      <c r="AD420" s="24" t="s">
        <v>1489</v>
      </c>
      <c r="AE420" s="6" t="s">
        <v>38</v>
      </c>
      <c r="AF420" s="6"/>
      <c r="AG420" s="6" t="s">
        <v>3041</v>
      </c>
    </row>
    <row r="421" spans="1:33" ht="7.5" customHeight="1" x14ac:dyDescent="0.25">
      <c r="A421" s="27"/>
      <c r="B421" s="39"/>
      <c r="C421" s="39"/>
      <c r="D421" s="39"/>
      <c r="E421" s="28"/>
      <c r="F421" s="27"/>
      <c r="G421" s="27"/>
      <c r="H421" s="27"/>
      <c r="I421" s="27"/>
      <c r="J421" s="30"/>
      <c r="K421" s="30"/>
      <c r="L421" s="29"/>
      <c r="M421" s="27"/>
      <c r="N421" s="27"/>
      <c r="O421" s="27"/>
      <c r="P421" s="27"/>
      <c r="Q421" s="29"/>
      <c r="R421" s="29"/>
      <c r="S421" s="29"/>
      <c r="T421" s="29"/>
      <c r="U421" s="27"/>
      <c r="V421" s="29"/>
      <c r="W421" s="29"/>
      <c r="X421" s="29"/>
      <c r="Y421" s="31"/>
      <c r="Z421" s="29"/>
      <c r="AA421" s="30"/>
      <c r="AB421" s="32"/>
      <c r="AC421" s="30"/>
      <c r="AD421" s="33"/>
      <c r="AE421" s="29"/>
      <c r="AF421" s="29"/>
      <c r="AG421" s="29"/>
    </row>
    <row r="422" spans="1:33" ht="15" customHeight="1" x14ac:dyDescent="0.25">
      <c r="A422" s="5">
        <v>37</v>
      </c>
      <c r="B422" s="38">
        <v>44084</v>
      </c>
      <c r="C422" s="38">
        <v>44063</v>
      </c>
      <c r="D422" s="38">
        <v>44056</v>
      </c>
      <c r="E422" s="37">
        <v>44084</v>
      </c>
      <c r="F422" s="5">
        <v>3062</v>
      </c>
      <c r="G422" s="5" t="s">
        <v>91</v>
      </c>
      <c r="H422" s="5" t="s">
        <v>40</v>
      </c>
      <c r="I422" s="5" t="s">
        <v>92</v>
      </c>
      <c r="J422" s="21" t="s">
        <v>93</v>
      </c>
      <c r="K422" s="21" t="s">
        <v>1642</v>
      </c>
      <c r="L422" s="6" t="s">
        <v>95</v>
      </c>
      <c r="M422" s="5">
        <v>13</v>
      </c>
      <c r="N422" s="5" t="s">
        <v>91</v>
      </c>
      <c r="O422" s="5" t="s">
        <v>91</v>
      </c>
      <c r="P422" s="5" t="s">
        <v>91</v>
      </c>
      <c r="Q422" s="6"/>
      <c r="R422" s="6" t="s">
        <v>97</v>
      </c>
      <c r="S422" s="6" t="s">
        <v>516</v>
      </c>
      <c r="T422" s="6"/>
      <c r="U422" s="5"/>
      <c r="V422" s="6"/>
      <c r="W422" s="6" t="s">
        <v>1643</v>
      </c>
      <c r="X422" s="6" t="s">
        <v>1644</v>
      </c>
      <c r="Y422" s="22"/>
      <c r="Z422" s="6"/>
      <c r="AA422" s="21">
        <v>10163</v>
      </c>
      <c r="AB422" s="23">
        <v>44062</v>
      </c>
      <c r="AC422" s="21" t="s">
        <v>30</v>
      </c>
      <c r="AD422" s="24" t="s">
        <v>1645</v>
      </c>
      <c r="AE422" s="6" t="s">
        <v>31</v>
      </c>
      <c r="AF422" s="6"/>
      <c r="AG422" s="6" t="s">
        <v>3039</v>
      </c>
    </row>
    <row r="423" spans="1:33" ht="7.5" customHeight="1" x14ac:dyDescent="0.25">
      <c r="A423" s="27"/>
      <c r="B423" s="39"/>
      <c r="C423" s="39"/>
      <c r="D423" s="39"/>
      <c r="E423" s="28"/>
      <c r="F423" s="27"/>
      <c r="G423" s="27"/>
      <c r="H423" s="27"/>
      <c r="I423" s="27"/>
      <c r="J423" s="30"/>
      <c r="K423" s="30"/>
      <c r="L423" s="29"/>
      <c r="M423" s="27"/>
      <c r="N423" s="27"/>
      <c r="O423" s="27"/>
      <c r="P423" s="27"/>
      <c r="Q423" s="29"/>
      <c r="R423" s="29"/>
      <c r="S423" s="29"/>
      <c r="T423" s="29"/>
      <c r="U423" s="27"/>
      <c r="V423" s="29"/>
      <c r="W423" s="29"/>
      <c r="X423" s="29"/>
      <c r="Y423" s="31"/>
      <c r="Z423" s="29"/>
      <c r="AA423" s="30"/>
      <c r="AB423" s="32"/>
      <c r="AC423" s="30"/>
      <c r="AD423" s="33"/>
      <c r="AE423" s="29"/>
      <c r="AF423" s="29"/>
      <c r="AG423" s="29"/>
    </row>
    <row r="424" spans="1:33" ht="15" customHeight="1" x14ac:dyDescent="0.25">
      <c r="A424" s="5">
        <v>38</v>
      </c>
      <c r="B424" s="38">
        <v>44088</v>
      </c>
      <c r="C424" s="38">
        <v>44063</v>
      </c>
      <c r="D424" s="38">
        <v>44053</v>
      </c>
      <c r="E424" s="34">
        <v>44088</v>
      </c>
      <c r="F424" s="5">
        <v>3057</v>
      </c>
      <c r="G424" s="5" t="s">
        <v>91</v>
      </c>
      <c r="H424" s="5" t="s">
        <v>41</v>
      </c>
      <c r="I424" s="5" t="s">
        <v>92</v>
      </c>
      <c r="J424" s="21" t="s">
        <v>93</v>
      </c>
      <c r="K424" s="21" t="s">
        <v>1678</v>
      </c>
      <c r="L424" s="6" t="s">
        <v>1679</v>
      </c>
      <c r="M424" s="5">
        <v>13</v>
      </c>
      <c r="N424" s="5" t="s">
        <v>91</v>
      </c>
      <c r="O424" s="5" t="s">
        <v>91</v>
      </c>
      <c r="P424" s="5" t="s">
        <v>1215</v>
      </c>
      <c r="Q424" s="6"/>
      <c r="R424" s="6" t="s">
        <v>1680</v>
      </c>
      <c r="S424" s="6" t="s">
        <v>1287</v>
      </c>
      <c r="T424" s="6"/>
      <c r="U424" s="5"/>
      <c r="V424" s="6" t="s">
        <v>1681</v>
      </c>
      <c r="W424" s="6" t="s">
        <v>1682</v>
      </c>
      <c r="X424" s="6"/>
      <c r="Y424" s="22"/>
      <c r="Z424" s="6"/>
      <c r="AA424" s="21">
        <v>10166</v>
      </c>
      <c r="AB424" s="23">
        <v>44057</v>
      </c>
      <c r="AC424" s="21" t="s">
        <v>32</v>
      </c>
      <c r="AD424" s="24" t="s">
        <v>1683</v>
      </c>
      <c r="AE424" s="6" t="s">
        <v>34</v>
      </c>
      <c r="AF424" s="6"/>
      <c r="AG424" s="6" t="s">
        <v>3041</v>
      </c>
    </row>
    <row r="425" spans="1:33" ht="7.5" customHeight="1" x14ac:dyDescent="0.25">
      <c r="A425" s="27"/>
      <c r="B425" s="39"/>
      <c r="C425" s="39"/>
      <c r="D425" s="39"/>
      <c r="E425" s="28"/>
      <c r="F425" s="27"/>
      <c r="G425" s="27"/>
      <c r="H425" s="27"/>
      <c r="I425" s="27"/>
      <c r="J425" s="30"/>
      <c r="K425" s="30"/>
      <c r="L425" s="29"/>
      <c r="M425" s="27"/>
      <c r="N425" s="27"/>
      <c r="O425" s="27"/>
      <c r="P425" s="27"/>
      <c r="Q425" s="29"/>
      <c r="R425" s="29"/>
      <c r="S425" s="29"/>
      <c r="T425" s="29"/>
      <c r="U425" s="27"/>
      <c r="V425" s="29"/>
      <c r="W425" s="29"/>
      <c r="X425" s="29"/>
      <c r="Y425" s="31"/>
      <c r="Z425" s="29"/>
      <c r="AA425" s="30"/>
      <c r="AB425" s="32"/>
      <c r="AC425" s="30"/>
      <c r="AD425" s="33"/>
      <c r="AE425" s="29"/>
      <c r="AF425" s="29"/>
      <c r="AG425" s="29"/>
    </row>
    <row r="426" spans="1:33" ht="15" customHeight="1" x14ac:dyDescent="0.25">
      <c r="A426" s="5">
        <v>38</v>
      </c>
      <c r="B426" s="38">
        <v>44090</v>
      </c>
      <c r="C426" s="38">
        <v>44063</v>
      </c>
      <c r="D426" s="38">
        <v>43986</v>
      </c>
      <c r="E426" s="34">
        <v>44090</v>
      </c>
      <c r="F426" s="5">
        <v>5549</v>
      </c>
      <c r="G426" s="5" t="s">
        <v>91</v>
      </c>
      <c r="H426" s="5" t="s">
        <v>43</v>
      </c>
      <c r="I426" s="5" t="s">
        <v>92</v>
      </c>
      <c r="J426" s="21" t="s">
        <v>131</v>
      </c>
      <c r="K426" s="21" t="s">
        <v>504</v>
      </c>
      <c r="L426" s="6" t="s">
        <v>505</v>
      </c>
      <c r="M426" s="5">
        <v>0</v>
      </c>
      <c r="N426" s="5" t="s">
        <v>91</v>
      </c>
      <c r="O426" s="5" t="s">
        <v>91</v>
      </c>
      <c r="P426" s="5" t="s">
        <v>91</v>
      </c>
      <c r="Q426" s="6" t="s">
        <v>105</v>
      </c>
      <c r="R426" s="6" t="s">
        <v>123</v>
      </c>
      <c r="S426" s="6"/>
      <c r="T426" s="6"/>
      <c r="U426" s="5"/>
      <c r="V426" s="6" t="s">
        <v>113</v>
      </c>
      <c r="W426" s="6" t="s">
        <v>183</v>
      </c>
      <c r="X426" s="6"/>
      <c r="Y426" s="22"/>
      <c r="Z426" s="6">
        <v>0</v>
      </c>
      <c r="AA426" s="21"/>
      <c r="AB426" s="23"/>
      <c r="AC426" s="21" t="s">
        <v>30</v>
      </c>
      <c r="AD426" s="24" t="s">
        <v>115</v>
      </c>
      <c r="AE426" s="6" t="s">
        <v>35</v>
      </c>
      <c r="AF426" s="6"/>
      <c r="AG426" s="6" t="s">
        <v>3042</v>
      </c>
    </row>
    <row r="427" spans="1:33" ht="7.5" customHeight="1" x14ac:dyDescent="0.25">
      <c r="A427" s="27"/>
      <c r="B427" s="39"/>
      <c r="C427" s="39"/>
      <c r="D427" s="39"/>
      <c r="E427" s="28"/>
      <c r="F427" s="27"/>
      <c r="G427" s="27"/>
      <c r="H427" s="27"/>
      <c r="I427" s="27"/>
      <c r="J427" s="30"/>
      <c r="K427" s="30"/>
      <c r="L427" s="29"/>
      <c r="M427" s="27"/>
      <c r="N427" s="27"/>
      <c r="O427" s="27"/>
      <c r="P427" s="27"/>
      <c r="Q427" s="29"/>
      <c r="R427" s="29"/>
      <c r="S427" s="29"/>
      <c r="T427" s="29"/>
      <c r="U427" s="27"/>
      <c r="V427" s="29"/>
      <c r="W427" s="29"/>
      <c r="X427" s="29"/>
      <c r="Y427" s="31"/>
      <c r="Z427" s="29"/>
      <c r="AA427" s="30"/>
      <c r="AB427" s="32"/>
      <c r="AC427" s="30"/>
      <c r="AD427" s="33"/>
      <c r="AE427" s="29"/>
      <c r="AF427" s="29"/>
      <c r="AG427" s="29"/>
    </row>
    <row r="428" spans="1:33" ht="15" customHeight="1" x14ac:dyDescent="0.25">
      <c r="A428" s="5">
        <v>36</v>
      </c>
      <c r="B428" s="38">
        <v>44077</v>
      </c>
      <c r="C428" s="38">
        <v>44063</v>
      </c>
      <c r="D428" s="38">
        <v>44056</v>
      </c>
      <c r="E428" s="28">
        <v>44077</v>
      </c>
      <c r="F428" s="5">
        <v>6716</v>
      </c>
      <c r="G428" s="5" t="s">
        <v>91</v>
      </c>
      <c r="H428" s="5" t="s">
        <v>41</v>
      </c>
      <c r="I428" s="5" t="s">
        <v>92</v>
      </c>
      <c r="J428" s="21" t="s">
        <v>191</v>
      </c>
      <c r="K428" s="21" t="s">
        <v>1493</v>
      </c>
      <c r="L428" s="6" t="s">
        <v>152</v>
      </c>
      <c r="M428" s="5">
        <v>8</v>
      </c>
      <c r="N428" s="5" t="s">
        <v>91</v>
      </c>
      <c r="O428" s="5" t="s">
        <v>91</v>
      </c>
      <c r="P428" s="5" t="s">
        <v>91</v>
      </c>
      <c r="Q428" s="6" t="s">
        <v>105</v>
      </c>
      <c r="R428" s="6" t="s">
        <v>1494</v>
      </c>
      <c r="S428" s="6"/>
      <c r="T428" s="6"/>
      <c r="U428" s="5"/>
      <c r="V428" s="6"/>
      <c r="W428" s="6" t="s">
        <v>347</v>
      </c>
      <c r="X428" s="6"/>
      <c r="Y428" s="22"/>
      <c r="Z428" s="6">
        <v>3</v>
      </c>
      <c r="AA428" s="21"/>
      <c r="AB428" s="23">
        <v>44057</v>
      </c>
      <c r="AC428" s="21" t="s">
        <v>32</v>
      </c>
      <c r="AD428" s="24" t="s">
        <v>1495</v>
      </c>
      <c r="AE428" s="6" t="s">
        <v>34</v>
      </c>
      <c r="AF428" s="6"/>
      <c r="AG428" s="6" t="s">
        <v>3039</v>
      </c>
    </row>
    <row r="429" spans="1:33" ht="15" customHeight="1" x14ac:dyDescent="0.25">
      <c r="A429" s="5">
        <v>36</v>
      </c>
      <c r="B429" s="38">
        <v>44077</v>
      </c>
      <c r="C429" s="38">
        <v>44063</v>
      </c>
      <c r="D429" s="38">
        <v>44056</v>
      </c>
      <c r="E429" s="28">
        <v>44077</v>
      </c>
      <c r="F429" s="5">
        <v>7770</v>
      </c>
      <c r="G429" s="5" t="s">
        <v>91</v>
      </c>
      <c r="H429" s="5" t="s">
        <v>41</v>
      </c>
      <c r="I429" s="5" t="s">
        <v>92</v>
      </c>
      <c r="J429" s="21" t="s">
        <v>214</v>
      </c>
      <c r="K429" s="21" t="s">
        <v>1496</v>
      </c>
      <c r="L429" s="6" t="s">
        <v>1497</v>
      </c>
      <c r="M429" s="5">
        <v>1</v>
      </c>
      <c r="N429" s="5" t="s">
        <v>91</v>
      </c>
      <c r="O429" s="5" t="s">
        <v>91</v>
      </c>
      <c r="P429" s="5" t="s">
        <v>91</v>
      </c>
      <c r="Q429" s="6" t="s">
        <v>96</v>
      </c>
      <c r="R429" s="6" t="s">
        <v>223</v>
      </c>
      <c r="S429" s="6"/>
      <c r="T429" s="6"/>
      <c r="U429" s="5"/>
      <c r="V429" s="6"/>
      <c r="W429" s="6" t="s">
        <v>1498</v>
      </c>
      <c r="X429" s="6" t="s">
        <v>1499</v>
      </c>
      <c r="Y429" s="22"/>
      <c r="Z429" s="6">
        <v>0.47</v>
      </c>
      <c r="AA429" s="21" t="s">
        <v>1500</v>
      </c>
      <c r="AB429" s="23">
        <v>44068</v>
      </c>
      <c r="AC429" s="21" t="s">
        <v>33</v>
      </c>
      <c r="AD429" s="24" t="s">
        <v>1501</v>
      </c>
      <c r="AE429" s="6" t="s">
        <v>31</v>
      </c>
      <c r="AF429" s="6"/>
      <c r="AG429" s="6" t="s">
        <v>3040</v>
      </c>
    </row>
    <row r="430" spans="1:33" ht="7.5" customHeight="1" x14ac:dyDescent="0.25">
      <c r="A430" s="27"/>
      <c r="B430" s="39"/>
      <c r="C430" s="39"/>
      <c r="D430" s="39"/>
      <c r="E430" s="28"/>
      <c r="F430" s="27"/>
      <c r="G430" s="27"/>
      <c r="H430" s="27"/>
      <c r="I430" s="27"/>
      <c r="J430" s="30"/>
      <c r="K430" s="30"/>
      <c r="L430" s="29"/>
      <c r="M430" s="27"/>
      <c r="N430" s="27"/>
      <c r="O430" s="27"/>
      <c r="P430" s="27"/>
      <c r="Q430" s="29"/>
      <c r="R430" s="29"/>
      <c r="S430" s="29"/>
      <c r="T430" s="29"/>
      <c r="U430" s="27"/>
      <c r="V430" s="29"/>
      <c r="W430" s="29"/>
      <c r="X430" s="29"/>
      <c r="Y430" s="31"/>
      <c r="Z430" s="29"/>
      <c r="AA430" s="30"/>
      <c r="AB430" s="32"/>
      <c r="AC430" s="30"/>
      <c r="AD430" s="33"/>
      <c r="AE430" s="29"/>
      <c r="AF430" s="29"/>
      <c r="AG430" s="29"/>
    </row>
    <row r="431" spans="1:33" ht="15" customHeight="1" x14ac:dyDescent="0.25">
      <c r="A431" s="5">
        <v>37</v>
      </c>
      <c r="B431" s="38">
        <v>44081</v>
      </c>
      <c r="C431" s="38">
        <v>44063</v>
      </c>
      <c r="D431" s="38">
        <v>44048</v>
      </c>
      <c r="E431" s="37">
        <v>44081</v>
      </c>
      <c r="F431" s="5">
        <v>8737</v>
      </c>
      <c r="G431" s="5" t="s">
        <v>91</v>
      </c>
      <c r="H431" s="5" t="s">
        <v>43</v>
      </c>
      <c r="I431" s="5" t="s">
        <v>92</v>
      </c>
      <c r="J431" s="21" t="s">
        <v>147</v>
      </c>
      <c r="K431" s="21" t="s">
        <v>1552</v>
      </c>
      <c r="L431" s="6" t="s">
        <v>1553</v>
      </c>
      <c r="M431" s="5">
        <v>10</v>
      </c>
      <c r="N431" s="5" t="s">
        <v>91</v>
      </c>
      <c r="O431" s="5" t="s">
        <v>91</v>
      </c>
      <c r="P431" s="5" t="s">
        <v>91</v>
      </c>
      <c r="Q431" s="6" t="s">
        <v>105</v>
      </c>
      <c r="R431" s="6" t="s">
        <v>112</v>
      </c>
      <c r="S431" s="6" t="s">
        <v>265</v>
      </c>
      <c r="T431" s="6"/>
      <c r="U431" s="5"/>
      <c r="V431" s="6"/>
      <c r="W431" s="6" t="s">
        <v>1554</v>
      </c>
      <c r="X431" s="6"/>
      <c r="Y431" s="22"/>
      <c r="Z431" s="6"/>
      <c r="AA431" s="21"/>
      <c r="AB431" s="23">
        <v>44047</v>
      </c>
      <c r="AC431" s="21" t="s">
        <v>30</v>
      </c>
      <c r="AD431" s="24" t="s">
        <v>1555</v>
      </c>
      <c r="AE431" s="6" t="s">
        <v>31</v>
      </c>
      <c r="AF431" s="6"/>
      <c r="AG431" s="6" t="s">
        <v>3040</v>
      </c>
    </row>
    <row r="432" spans="1:33" ht="15" customHeight="1" x14ac:dyDescent="0.25">
      <c r="A432" s="5">
        <v>37</v>
      </c>
      <c r="B432" s="38">
        <v>44081</v>
      </c>
      <c r="C432" s="38">
        <v>44063</v>
      </c>
      <c r="D432" s="38">
        <v>44048</v>
      </c>
      <c r="E432" s="37">
        <v>44081</v>
      </c>
      <c r="F432" s="5">
        <v>8739</v>
      </c>
      <c r="G432" s="5" t="s">
        <v>91</v>
      </c>
      <c r="H432" s="5" t="s">
        <v>43</v>
      </c>
      <c r="I432" s="5" t="s">
        <v>92</v>
      </c>
      <c r="J432" s="21" t="s">
        <v>147</v>
      </c>
      <c r="K432" s="21" t="s">
        <v>1556</v>
      </c>
      <c r="L432" s="6" t="s">
        <v>1557</v>
      </c>
      <c r="M432" s="5">
        <v>4</v>
      </c>
      <c r="N432" s="5" t="s">
        <v>91</v>
      </c>
      <c r="O432" s="5" t="s">
        <v>91</v>
      </c>
      <c r="P432" s="5" t="s">
        <v>91</v>
      </c>
      <c r="Q432" s="6" t="s">
        <v>105</v>
      </c>
      <c r="R432" s="6" t="s">
        <v>112</v>
      </c>
      <c r="S432" s="6" t="s">
        <v>1287</v>
      </c>
      <c r="T432" s="6"/>
      <c r="U432" s="5"/>
      <c r="V432" s="6"/>
      <c r="W432" s="6" t="s">
        <v>1558</v>
      </c>
      <c r="X432" s="6"/>
      <c r="Y432" s="22"/>
      <c r="Z432" s="6"/>
      <c r="AA432" s="21"/>
      <c r="AB432" s="23">
        <v>44047</v>
      </c>
      <c r="AC432" s="21" t="s">
        <v>30</v>
      </c>
      <c r="AD432" s="24" t="s">
        <v>1559</v>
      </c>
      <c r="AE432" s="6" t="s">
        <v>36</v>
      </c>
      <c r="AF432" s="6"/>
      <c r="AG432" s="6" t="s">
        <v>3041</v>
      </c>
    </row>
    <row r="433" spans="1:33" ht="7.5" customHeight="1" x14ac:dyDescent="0.25">
      <c r="A433" s="27"/>
      <c r="B433" s="39"/>
      <c r="C433" s="39"/>
      <c r="D433" s="39"/>
      <c r="E433" s="28"/>
      <c r="F433" s="27"/>
      <c r="G433" s="27"/>
      <c r="H433" s="27"/>
      <c r="I433" s="27"/>
      <c r="J433" s="30"/>
      <c r="K433" s="30"/>
      <c r="L433" s="29"/>
      <c r="M433" s="27"/>
      <c r="N433" s="27"/>
      <c r="O433" s="27"/>
      <c r="P433" s="27"/>
      <c r="Q433" s="29"/>
      <c r="R433" s="29"/>
      <c r="S433" s="29"/>
      <c r="T433" s="29"/>
      <c r="U433" s="27"/>
      <c r="V433" s="29"/>
      <c r="W433" s="29"/>
      <c r="X433" s="29"/>
      <c r="Y433" s="31"/>
      <c r="Z433" s="29"/>
      <c r="AA433" s="30"/>
      <c r="AB433" s="32"/>
      <c r="AC433" s="30"/>
      <c r="AD433" s="33"/>
      <c r="AE433" s="29"/>
      <c r="AF433" s="29"/>
      <c r="AG433" s="29"/>
    </row>
    <row r="434" spans="1:33" ht="15" customHeight="1" x14ac:dyDescent="0.25">
      <c r="A434" s="5">
        <v>37</v>
      </c>
      <c r="B434" s="38">
        <v>44084</v>
      </c>
      <c r="C434" s="38">
        <v>44063</v>
      </c>
      <c r="D434" s="38">
        <v>44056</v>
      </c>
      <c r="E434" s="37">
        <v>44084</v>
      </c>
      <c r="F434" s="5">
        <v>9676</v>
      </c>
      <c r="G434" s="5" t="s">
        <v>91</v>
      </c>
      <c r="H434" s="5" t="s">
        <v>40</v>
      </c>
      <c r="I434" s="5" t="s">
        <v>92</v>
      </c>
      <c r="J434" s="21" t="s">
        <v>159</v>
      </c>
      <c r="K434" s="21">
        <v>257542</v>
      </c>
      <c r="L434" s="6" t="s">
        <v>152</v>
      </c>
      <c r="M434" s="5">
        <v>10</v>
      </c>
      <c r="N434" s="5" t="s">
        <v>91</v>
      </c>
      <c r="O434" s="5" t="s">
        <v>91</v>
      </c>
      <c r="P434" s="5" t="s">
        <v>91</v>
      </c>
      <c r="Q434" s="6"/>
      <c r="R434" s="6" t="s">
        <v>163</v>
      </c>
      <c r="S434" s="6"/>
      <c r="T434" s="6"/>
      <c r="U434" s="5"/>
      <c r="V434" s="6" t="s">
        <v>164</v>
      </c>
      <c r="W434" s="6" t="s">
        <v>1656</v>
      </c>
      <c r="X434" s="6"/>
      <c r="Y434" s="22"/>
      <c r="Z434" s="6"/>
      <c r="AA434" s="21"/>
      <c r="AB434" s="23">
        <v>44062</v>
      </c>
      <c r="AC434" s="21" t="s">
        <v>32</v>
      </c>
      <c r="AD434" s="24" t="s">
        <v>1657</v>
      </c>
      <c r="AE434" s="6" t="s">
        <v>35</v>
      </c>
      <c r="AF434" s="6"/>
      <c r="AG434" s="6" t="s">
        <v>3040</v>
      </c>
    </row>
    <row r="435" spans="1:33" ht="7.5" customHeight="1" x14ac:dyDescent="0.25">
      <c r="A435" s="27"/>
      <c r="B435" s="39"/>
      <c r="C435" s="39"/>
      <c r="D435" s="39"/>
      <c r="E435" s="28"/>
      <c r="F435" s="27"/>
      <c r="G435" s="27"/>
      <c r="H435" s="27"/>
      <c r="I435" s="27"/>
      <c r="J435" s="30"/>
      <c r="K435" s="30"/>
      <c r="L435" s="29"/>
      <c r="M435" s="27"/>
      <c r="N435" s="27"/>
      <c r="O435" s="27"/>
      <c r="P435" s="27"/>
      <c r="Q435" s="29"/>
      <c r="R435" s="29"/>
      <c r="S435" s="29"/>
      <c r="T435" s="29"/>
      <c r="U435" s="27"/>
      <c r="V435" s="29"/>
      <c r="W435" s="29"/>
      <c r="X435" s="29"/>
      <c r="Y435" s="31"/>
      <c r="Z435" s="29"/>
      <c r="AA435" s="30"/>
      <c r="AB435" s="32"/>
      <c r="AC435" s="30"/>
      <c r="AD435" s="33"/>
      <c r="AE435" s="29"/>
      <c r="AF435" s="29"/>
      <c r="AG435" s="29"/>
    </row>
    <row r="436" spans="1:33" ht="15" customHeight="1" x14ac:dyDescent="0.25">
      <c r="A436" s="5">
        <v>37</v>
      </c>
      <c r="B436" s="38">
        <v>44085</v>
      </c>
      <c r="C436" s="38">
        <v>44064</v>
      </c>
      <c r="D436" s="38">
        <v>44057</v>
      </c>
      <c r="E436" s="37">
        <v>44085</v>
      </c>
      <c r="F436" s="5">
        <v>8747</v>
      </c>
      <c r="G436" s="5" t="s">
        <v>91</v>
      </c>
      <c r="H436" s="5" t="s">
        <v>40</v>
      </c>
      <c r="I436" s="5" t="s">
        <v>92</v>
      </c>
      <c r="J436" s="21" t="s">
        <v>147</v>
      </c>
      <c r="K436" s="21" t="s">
        <v>1660</v>
      </c>
      <c r="L436" s="6" t="s">
        <v>1661</v>
      </c>
      <c r="M436" s="5">
        <v>10</v>
      </c>
      <c r="N436" s="5" t="s">
        <v>91</v>
      </c>
      <c r="O436" s="5" t="s">
        <v>91</v>
      </c>
      <c r="P436" s="5" t="s">
        <v>91</v>
      </c>
      <c r="Q436" s="6" t="s">
        <v>105</v>
      </c>
      <c r="R436" s="6" t="s">
        <v>264</v>
      </c>
      <c r="S436" s="6"/>
      <c r="T436" s="6"/>
      <c r="U436" s="5"/>
      <c r="V436" s="6"/>
      <c r="W436" s="6" t="s">
        <v>1662</v>
      </c>
      <c r="X436" s="6" t="s">
        <v>1663</v>
      </c>
      <c r="Y436" s="22"/>
      <c r="Z436" s="6"/>
      <c r="AA436" s="21"/>
      <c r="AB436" s="23">
        <v>44057</v>
      </c>
      <c r="AC436" s="21" t="s">
        <v>32</v>
      </c>
      <c r="AD436" s="24" t="s">
        <v>1664</v>
      </c>
      <c r="AE436" s="6" t="s">
        <v>31</v>
      </c>
      <c r="AF436" s="6"/>
      <c r="AG436" s="6" t="s">
        <v>3042</v>
      </c>
    </row>
    <row r="437" spans="1:33" ht="15" customHeight="1" x14ac:dyDescent="0.25">
      <c r="A437" s="5">
        <v>37</v>
      </c>
      <c r="B437" s="38">
        <v>44085</v>
      </c>
      <c r="C437" s="38">
        <v>44064</v>
      </c>
      <c r="D437" s="38">
        <v>44057</v>
      </c>
      <c r="E437" s="37">
        <v>44085</v>
      </c>
      <c r="F437" s="5">
        <v>9677</v>
      </c>
      <c r="G437" s="5" t="s">
        <v>91</v>
      </c>
      <c r="H437" s="5" t="s">
        <v>40</v>
      </c>
      <c r="I437" s="5" t="s">
        <v>92</v>
      </c>
      <c r="J437" s="21" t="s">
        <v>159</v>
      </c>
      <c r="K437" s="21">
        <v>257546</v>
      </c>
      <c r="L437" s="6" t="s">
        <v>152</v>
      </c>
      <c r="M437" s="5">
        <v>8</v>
      </c>
      <c r="N437" s="5" t="s">
        <v>91</v>
      </c>
      <c r="O437" s="5" t="s">
        <v>91</v>
      </c>
      <c r="P437" s="5" t="s">
        <v>91</v>
      </c>
      <c r="Q437" s="6"/>
      <c r="R437" s="6" t="s">
        <v>163</v>
      </c>
      <c r="S437" s="6"/>
      <c r="T437" s="6"/>
      <c r="U437" s="5"/>
      <c r="V437" s="6" t="s">
        <v>164</v>
      </c>
      <c r="W437" s="6" t="s">
        <v>1668</v>
      </c>
      <c r="X437" s="6"/>
      <c r="Y437" s="22"/>
      <c r="Z437" s="6"/>
      <c r="AA437" s="21">
        <v>257546</v>
      </c>
      <c r="AB437" s="23">
        <v>44063</v>
      </c>
      <c r="AC437" s="21" t="s">
        <v>30</v>
      </c>
      <c r="AD437" s="24" t="s">
        <v>1669</v>
      </c>
      <c r="AE437" s="6" t="s">
        <v>31</v>
      </c>
      <c r="AF437" s="6"/>
      <c r="AG437" s="6" t="s">
        <v>3040</v>
      </c>
    </row>
    <row r="438" spans="1:33" ht="7.5" customHeight="1" x14ac:dyDescent="0.25">
      <c r="A438" s="27"/>
      <c r="B438" s="39"/>
      <c r="C438" s="39"/>
      <c r="D438" s="39"/>
      <c r="E438" s="28"/>
      <c r="F438" s="27"/>
      <c r="G438" s="27"/>
      <c r="H438" s="27"/>
      <c r="I438" s="27"/>
      <c r="J438" s="30"/>
      <c r="K438" s="30"/>
      <c r="L438" s="29"/>
      <c r="M438" s="27"/>
      <c r="N438" s="27"/>
      <c r="O438" s="27"/>
      <c r="P438" s="27"/>
      <c r="Q438" s="29"/>
      <c r="R438" s="29"/>
      <c r="S438" s="29"/>
      <c r="T438" s="29"/>
      <c r="U438" s="27"/>
      <c r="V438" s="29"/>
      <c r="W438" s="29"/>
      <c r="X438" s="29"/>
      <c r="Y438" s="31"/>
      <c r="Z438" s="29"/>
      <c r="AA438" s="30"/>
      <c r="AB438" s="32"/>
      <c r="AC438" s="30"/>
      <c r="AD438" s="33"/>
      <c r="AE438" s="29"/>
      <c r="AF438" s="29"/>
      <c r="AG438" s="29"/>
    </row>
    <row r="439" spans="1:33" ht="15" customHeight="1" x14ac:dyDescent="0.25">
      <c r="A439" s="5">
        <v>37</v>
      </c>
      <c r="B439" s="38">
        <v>44081</v>
      </c>
      <c r="C439" s="38">
        <v>44067</v>
      </c>
      <c r="D439" s="38">
        <v>44060</v>
      </c>
      <c r="E439" s="37">
        <v>44081</v>
      </c>
      <c r="F439" s="5">
        <v>2388</v>
      </c>
      <c r="G439" s="5" t="s">
        <v>91</v>
      </c>
      <c r="H439" s="5" t="s">
        <v>41</v>
      </c>
      <c r="I439" s="5" t="s">
        <v>92</v>
      </c>
      <c r="J439" s="21" t="s">
        <v>231</v>
      </c>
      <c r="K439" s="21" t="s">
        <v>1520</v>
      </c>
      <c r="L439" s="6" t="s">
        <v>1521</v>
      </c>
      <c r="M439" s="5">
        <v>0</v>
      </c>
      <c r="N439" s="5" t="s">
        <v>91</v>
      </c>
      <c r="O439" s="5" t="s">
        <v>91</v>
      </c>
      <c r="P439" s="5" t="s">
        <v>91</v>
      </c>
      <c r="Q439" s="6" t="s">
        <v>105</v>
      </c>
      <c r="R439" s="6" t="s">
        <v>112</v>
      </c>
      <c r="S439" s="6"/>
      <c r="T439" s="6"/>
      <c r="U439" s="5"/>
      <c r="V439" s="6"/>
      <c r="W439" s="6" t="s">
        <v>1522</v>
      </c>
      <c r="X439" s="6"/>
      <c r="Y439" s="22"/>
      <c r="Z439" s="6"/>
      <c r="AA439" s="21"/>
      <c r="AB439" s="23">
        <v>44071</v>
      </c>
      <c r="AC439" s="21" t="s">
        <v>30</v>
      </c>
      <c r="AD439" s="24" t="s">
        <v>1523</v>
      </c>
      <c r="AE439" s="6" t="s">
        <v>31</v>
      </c>
      <c r="AF439" s="6"/>
      <c r="AG439" s="6" t="s">
        <v>3042</v>
      </c>
    </row>
    <row r="440" spans="1:33" ht="15" customHeight="1" x14ac:dyDescent="0.25">
      <c r="A440" s="5">
        <v>37</v>
      </c>
      <c r="B440" s="38">
        <v>44081</v>
      </c>
      <c r="C440" s="38">
        <v>44067</v>
      </c>
      <c r="D440" s="38">
        <v>44060</v>
      </c>
      <c r="E440" s="37">
        <v>44081</v>
      </c>
      <c r="F440" s="5">
        <v>2389</v>
      </c>
      <c r="G440" s="5" t="s">
        <v>91</v>
      </c>
      <c r="H440" s="5" t="s">
        <v>43</v>
      </c>
      <c r="I440" s="5" t="s">
        <v>92</v>
      </c>
      <c r="J440" s="21" t="s">
        <v>231</v>
      </c>
      <c r="K440" s="21" t="s">
        <v>1524</v>
      </c>
      <c r="L440" s="6" t="s">
        <v>1525</v>
      </c>
      <c r="M440" s="5">
        <v>0</v>
      </c>
      <c r="N440" s="5" t="s">
        <v>91</v>
      </c>
      <c r="O440" s="5" t="s">
        <v>91</v>
      </c>
      <c r="P440" s="5" t="s">
        <v>91</v>
      </c>
      <c r="Q440" s="6"/>
      <c r="R440" s="6" t="s">
        <v>112</v>
      </c>
      <c r="S440" s="6"/>
      <c r="T440" s="6"/>
      <c r="U440" s="5"/>
      <c r="V440" s="6"/>
      <c r="W440" s="6" t="s">
        <v>1526</v>
      </c>
      <c r="X440" s="6"/>
      <c r="Y440" s="22"/>
      <c r="Z440" s="6"/>
      <c r="AA440" s="21"/>
      <c r="AB440" s="23">
        <v>44074</v>
      </c>
      <c r="AC440" s="21" t="s">
        <v>32</v>
      </c>
      <c r="AD440" s="24" t="s">
        <v>1527</v>
      </c>
      <c r="AE440" s="6" t="s">
        <v>38</v>
      </c>
      <c r="AF440" s="6"/>
      <c r="AG440" s="6" t="s">
        <v>3039</v>
      </c>
    </row>
    <row r="441" spans="1:33" ht="7.5" customHeight="1" x14ac:dyDescent="0.25">
      <c r="A441" s="27"/>
      <c r="B441" s="39"/>
      <c r="C441" s="39"/>
      <c r="D441" s="39"/>
      <c r="E441" s="28"/>
      <c r="F441" s="27"/>
      <c r="G441" s="27"/>
      <c r="H441" s="27"/>
      <c r="I441" s="27"/>
      <c r="J441" s="30"/>
      <c r="K441" s="30"/>
      <c r="L441" s="29"/>
      <c r="M441" s="27"/>
      <c r="N441" s="27"/>
      <c r="O441" s="27"/>
      <c r="P441" s="27"/>
      <c r="Q441" s="29"/>
      <c r="R441" s="29"/>
      <c r="S441" s="29"/>
      <c r="T441" s="29"/>
      <c r="U441" s="27"/>
      <c r="V441" s="29"/>
      <c r="W441" s="29"/>
      <c r="X441" s="29"/>
      <c r="Y441" s="31"/>
      <c r="Z441" s="29"/>
      <c r="AA441" s="30"/>
      <c r="AB441" s="32"/>
      <c r="AC441" s="30"/>
      <c r="AD441" s="33"/>
      <c r="AE441" s="29"/>
      <c r="AF441" s="29"/>
      <c r="AG441" s="29"/>
    </row>
    <row r="442" spans="1:33" ht="15" customHeight="1" x14ac:dyDescent="0.25">
      <c r="A442" s="5">
        <v>36</v>
      </c>
      <c r="B442" s="38">
        <v>44076</v>
      </c>
      <c r="C442" s="38">
        <v>44067</v>
      </c>
      <c r="D442" s="38">
        <v>44041</v>
      </c>
      <c r="E442" s="28">
        <v>44076</v>
      </c>
      <c r="F442" s="5">
        <v>10675</v>
      </c>
      <c r="G442" s="5" t="s">
        <v>91</v>
      </c>
      <c r="H442" s="5" t="s">
        <v>43</v>
      </c>
      <c r="I442" s="5" t="s">
        <v>92</v>
      </c>
      <c r="J442" s="21" t="s">
        <v>170</v>
      </c>
      <c r="K442" s="21" t="s">
        <v>1404</v>
      </c>
      <c r="L442" s="6" t="s">
        <v>1405</v>
      </c>
      <c r="M442" s="5">
        <v>0</v>
      </c>
      <c r="N442" s="5" t="s">
        <v>91</v>
      </c>
      <c r="O442" s="5" t="s">
        <v>91</v>
      </c>
      <c r="P442" s="5" t="s">
        <v>91</v>
      </c>
      <c r="Q442" s="6" t="s">
        <v>105</v>
      </c>
      <c r="R442" s="6" t="s">
        <v>112</v>
      </c>
      <c r="S442" s="6"/>
      <c r="T442" s="6"/>
      <c r="U442" s="5"/>
      <c r="V442" s="6"/>
      <c r="W442" s="6" t="s">
        <v>1406</v>
      </c>
      <c r="X442" s="6" t="s">
        <v>251</v>
      </c>
      <c r="Y442" s="22"/>
      <c r="Z442" s="6">
        <v>0</v>
      </c>
      <c r="AA442" s="21" t="s">
        <v>1407</v>
      </c>
      <c r="AB442" s="23">
        <v>44048</v>
      </c>
      <c r="AC442" s="21" t="s">
        <v>30</v>
      </c>
      <c r="AD442" s="24" t="s">
        <v>115</v>
      </c>
      <c r="AE442" s="6" t="s">
        <v>35</v>
      </c>
      <c r="AF442" s="6"/>
      <c r="AG442" s="6" t="s">
        <v>3042</v>
      </c>
    </row>
    <row r="443" spans="1:33" ht="15" customHeight="1" x14ac:dyDescent="0.25">
      <c r="A443" s="5">
        <v>36</v>
      </c>
      <c r="B443" s="38">
        <v>44076</v>
      </c>
      <c r="C443" s="38">
        <v>44067</v>
      </c>
      <c r="D443" s="38">
        <v>44048</v>
      </c>
      <c r="E443" s="28">
        <v>44076</v>
      </c>
      <c r="F443" s="5">
        <v>10679</v>
      </c>
      <c r="G443" s="5" t="s">
        <v>91</v>
      </c>
      <c r="H443" s="5" t="s">
        <v>40</v>
      </c>
      <c r="I443" s="5" t="s">
        <v>92</v>
      </c>
      <c r="J443" s="21" t="s">
        <v>170</v>
      </c>
      <c r="K443" s="21" t="s">
        <v>1408</v>
      </c>
      <c r="L443" s="6" t="s">
        <v>1409</v>
      </c>
      <c r="M443" s="5">
        <v>12</v>
      </c>
      <c r="N443" s="5" t="s">
        <v>91</v>
      </c>
      <c r="O443" s="5" t="s">
        <v>91</v>
      </c>
      <c r="P443" s="5" t="s">
        <v>91</v>
      </c>
      <c r="Q443" s="6"/>
      <c r="R443" s="6" t="s">
        <v>112</v>
      </c>
      <c r="S443" s="6"/>
      <c r="T443" s="6"/>
      <c r="U443" s="5"/>
      <c r="V443" s="6"/>
      <c r="W443" s="6" t="s">
        <v>471</v>
      </c>
      <c r="X443" s="6" t="s">
        <v>1410</v>
      </c>
      <c r="Y443" s="22"/>
      <c r="Z443" s="6">
        <v>5</v>
      </c>
      <c r="AA443" s="21" t="s">
        <v>1411</v>
      </c>
      <c r="AB443" s="23">
        <v>44054</v>
      </c>
      <c r="AC443" s="21" t="s">
        <v>32</v>
      </c>
      <c r="AD443" s="24" t="s">
        <v>1412</v>
      </c>
      <c r="AE443" s="6" t="s">
        <v>34</v>
      </c>
      <c r="AF443" s="6"/>
      <c r="AG443" s="6" t="s">
        <v>3039</v>
      </c>
    </row>
    <row r="444" spans="1:33" ht="15" customHeight="1" x14ac:dyDescent="0.25">
      <c r="A444" s="5">
        <v>36</v>
      </c>
      <c r="B444" s="38">
        <v>44076</v>
      </c>
      <c r="C444" s="38">
        <v>44067</v>
      </c>
      <c r="D444" s="38">
        <v>44049</v>
      </c>
      <c r="E444" s="28">
        <v>44076</v>
      </c>
      <c r="F444" s="5">
        <v>3068</v>
      </c>
      <c r="G444" s="5" t="s">
        <v>91</v>
      </c>
      <c r="H444" s="5" t="s">
        <v>43</v>
      </c>
      <c r="I444" s="5" t="s">
        <v>92</v>
      </c>
      <c r="J444" s="21" t="s">
        <v>93</v>
      </c>
      <c r="K444" s="21" t="s">
        <v>1420</v>
      </c>
      <c r="L444" s="6" t="s">
        <v>1421</v>
      </c>
      <c r="M444" s="5">
        <v>0</v>
      </c>
      <c r="N444" s="5" t="s">
        <v>91</v>
      </c>
      <c r="O444" s="5" t="s">
        <v>91</v>
      </c>
      <c r="P444" s="5" t="s">
        <v>91</v>
      </c>
      <c r="Q444" s="6"/>
      <c r="R444" s="6"/>
      <c r="S444" s="6"/>
      <c r="T444" s="6"/>
      <c r="U444" s="5"/>
      <c r="V444" s="6"/>
      <c r="W444" s="6" t="s">
        <v>106</v>
      </c>
      <c r="X444" s="6"/>
      <c r="Y444" s="22"/>
      <c r="Z444" s="6"/>
      <c r="AA444" s="21">
        <v>101500</v>
      </c>
      <c r="AB444" s="23">
        <v>44070</v>
      </c>
      <c r="AC444" s="21" t="s">
        <v>32</v>
      </c>
      <c r="AD444" s="24" t="s">
        <v>1422</v>
      </c>
      <c r="AE444" s="6" t="s">
        <v>36</v>
      </c>
      <c r="AF444" s="6"/>
      <c r="AG444" s="6" t="s">
        <v>3042</v>
      </c>
    </row>
    <row r="445" spans="1:33" ht="15" customHeight="1" x14ac:dyDescent="0.25">
      <c r="A445" s="5">
        <v>36</v>
      </c>
      <c r="B445" s="38">
        <v>44076</v>
      </c>
      <c r="C445" s="38">
        <v>44067</v>
      </c>
      <c r="D445" s="38">
        <v>44056</v>
      </c>
      <c r="E445" s="28">
        <v>44076</v>
      </c>
      <c r="F445" s="5">
        <v>12077</v>
      </c>
      <c r="G445" s="5" t="s">
        <v>91</v>
      </c>
      <c r="H445" s="5" t="s">
        <v>41</v>
      </c>
      <c r="I445" s="5" t="s">
        <v>92</v>
      </c>
      <c r="J445" s="21" t="s">
        <v>275</v>
      </c>
      <c r="K445" s="21" t="s">
        <v>1431</v>
      </c>
      <c r="L445" s="6" t="s">
        <v>1432</v>
      </c>
      <c r="M445" s="5">
        <v>0</v>
      </c>
      <c r="N445" s="5" t="s">
        <v>91</v>
      </c>
      <c r="O445" s="5" t="s">
        <v>91</v>
      </c>
      <c r="P445" s="5" t="s">
        <v>91</v>
      </c>
      <c r="Q445" s="6"/>
      <c r="R445" s="6" t="s">
        <v>112</v>
      </c>
      <c r="S445" s="6"/>
      <c r="T445" s="6"/>
      <c r="U445" s="5"/>
      <c r="V445" s="6" t="s">
        <v>1433</v>
      </c>
      <c r="W445" s="6" t="s">
        <v>1434</v>
      </c>
      <c r="X445" s="6"/>
      <c r="Y445" s="22"/>
      <c r="Z445" s="6"/>
      <c r="AA445" s="21"/>
      <c r="AB445" s="23">
        <v>44062</v>
      </c>
      <c r="AC445" s="21" t="s">
        <v>32</v>
      </c>
      <c r="AD445" s="24" t="s">
        <v>1435</v>
      </c>
      <c r="AE445" s="6" t="s">
        <v>37</v>
      </c>
      <c r="AF445" s="6"/>
      <c r="AG445" s="6" t="s">
        <v>3041</v>
      </c>
    </row>
    <row r="446" spans="1:33" ht="15" customHeight="1" x14ac:dyDescent="0.25">
      <c r="A446" s="5">
        <v>36</v>
      </c>
      <c r="B446" s="38">
        <v>44076</v>
      </c>
      <c r="C446" s="38">
        <v>44067</v>
      </c>
      <c r="D446" s="38">
        <v>44056</v>
      </c>
      <c r="E446" s="28">
        <v>44076</v>
      </c>
      <c r="F446" s="5">
        <v>12078</v>
      </c>
      <c r="G446" s="5" t="s">
        <v>91</v>
      </c>
      <c r="H446" s="5" t="s">
        <v>41</v>
      </c>
      <c r="I446" s="5" t="s">
        <v>92</v>
      </c>
      <c r="J446" s="21" t="s">
        <v>275</v>
      </c>
      <c r="K446" s="21" t="s">
        <v>1436</v>
      </c>
      <c r="L446" s="6" t="s">
        <v>306</v>
      </c>
      <c r="M446" s="5">
        <v>0</v>
      </c>
      <c r="N446" s="5" t="s">
        <v>91</v>
      </c>
      <c r="O446" s="5" t="s">
        <v>91</v>
      </c>
      <c r="P446" s="5" t="s">
        <v>91</v>
      </c>
      <c r="Q446" s="6" t="s">
        <v>96</v>
      </c>
      <c r="R446" s="6" t="s">
        <v>123</v>
      </c>
      <c r="S446" s="6"/>
      <c r="T446" s="6"/>
      <c r="U446" s="5"/>
      <c r="V446" s="6"/>
      <c r="W446" s="6" t="s">
        <v>1437</v>
      </c>
      <c r="X446" s="6"/>
      <c r="Y446" s="22"/>
      <c r="Z446" s="6"/>
      <c r="AA446" s="21"/>
      <c r="AB446" s="23">
        <v>44062</v>
      </c>
      <c r="AC446" s="21" t="s">
        <v>30</v>
      </c>
      <c r="AD446" s="24" t="s">
        <v>1438</v>
      </c>
      <c r="AE446" s="6" t="s">
        <v>38</v>
      </c>
      <c r="AF446" s="6"/>
      <c r="AG446" s="6" t="s">
        <v>3042</v>
      </c>
    </row>
    <row r="447" spans="1:33" ht="7.5" customHeight="1" x14ac:dyDescent="0.25">
      <c r="A447" s="27"/>
      <c r="B447" s="39"/>
      <c r="C447" s="39"/>
      <c r="D447" s="39"/>
      <c r="E447" s="28"/>
      <c r="F447" s="27"/>
      <c r="G447" s="27"/>
      <c r="H447" s="27"/>
      <c r="I447" s="27"/>
      <c r="J447" s="30"/>
      <c r="K447" s="30"/>
      <c r="L447" s="29"/>
      <c r="M447" s="27"/>
      <c r="N447" s="27"/>
      <c r="O447" s="27"/>
      <c r="P447" s="27"/>
      <c r="Q447" s="29"/>
      <c r="R447" s="29"/>
      <c r="S447" s="29"/>
      <c r="T447" s="29"/>
      <c r="U447" s="27"/>
      <c r="V447" s="29"/>
      <c r="W447" s="29"/>
      <c r="X447" s="29"/>
      <c r="Y447" s="31"/>
      <c r="Z447" s="29"/>
      <c r="AA447" s="30"/>
      <c r="AB447" s="32"/>
      <c r="AC447" s="30"/>
      <c r="AD447" s="33"/>
      <c r="AE447" s="29"/>
      <c r="AF447" s="29"/>
      <c r="AG447" s="29"/>
    </row>
    <row r="448" spans="1:33" ht="15" customHeight="1" x14ac:dyDescent="0.25">
      <c r="A448" s="5">
        <v>37</v>
      </c>
      <c r="B448" s="38">
        <v>44081</v>
      </c>
      <c r="C448" s="38">
        <v>44067</v>
      </c>
      <c r="D448" s="38">
        <v>44060</v>
      </c>
      <c r="E448" s="37">
        <v>44081</v>
      </c>
      <c r="F448" s="5">
        <v>12072</v>
      </c>
      <c r="G448" s="5" t="s">
        <v>91</v>
      </c>
      <c r="H448" s="5" t="s">
        <v>40</v>
      </c>
      <c r="I448" s="5" t="s">
        <v>92</v>
      </c>
      <c r="J448" s="21" t="s">
        <v>275</v>
      </c>
      <c r="K448" s="21" t="s">
        <v>1528</v>
      </c>
      <c r="L448" s="6" t="s">
        <v>1529</v>
      </c>
      <c r="M448" s="5">
        <v>12</v>
      </c>
      <c r="N448" s="5" t="s">
        <v>91</v>
      </c>
      <c r="O448" s="5" t="s">
        <v>91</v>
      </c>
      <c r="P448" s="5" t="s">
        <v>91</v>
      </c>
      <c r="Q448" s="6"/>
      <c r="R448" s="6" t="s">
        <v>112</v>
      </c>
      <c r="S448" s="6"/>
      <c r="T448" s="6"/>
      <c r="U448" s="5"/>
      <c r="V448" s="6"/>
      <c r="W448" s="6" t="s">
        <v>1530</v>
      </c>
      <c r="X448" s="6"/>
      <c r="Y448" s="22"/>
      <c r="Z448" s="6">
        <v>5.2</v>
      </c>
      <c r="AA448" s="21"/>
      <c r="AB448" s="23">
        <v>44053</v>
      </c>
      <c r="AC448" s="21" t="s">
        <v>32</v>
      </c>
      <c r="AD448" s="24" t="s">
        <v>1531</v>
      </c>
      <c r="AE448" s="6" t="s">
        <v>31</v>
      </c>
      <c r="AF448" s="6"/>
      <c r="AG448" s="6" t="s">
        <v>3040</v>
      </c>
    </row>
    <row r="449" spans="1:33" ht="7.5" customHeight="1" x14ac:dyDescent="0.25">
      <c r="A449" s="27"/>
      <c r="B449" s="39"/>
      <c r="C449" s="39"/>
      <c r="D449" s="39"/>
      <c r="E449" s="28"/>
      <c r="F449" s="27"/>
      <c r="G449" s="27"/>
      <c r="H449" s="27"/>
      <c r="I449" s="27"/>
      <c r="J449" s="30"/>
      <c r="K449" s="30"/>
      <c r="L449" s="29"/>
      <c r="M449" s="27"/>
      <c r="N449" s="27"/>
      <c r="O449" s="27"/>
      <c r="P449" s="27"/>
      <c r="Q449" s="29"/>
      <c r="R449" s="29"/>
      <c r="S449" s="29"/>
      <c r="T449" s="29"/>
      <c r="U449" s="27"/>
      <c r="V449" s="29"/>
      <c r="W449" s="29"/>
      <c r="X449" s="29"/>
      <c r="Y449" s="31"/>
      <c r="Z449" s="29"/>
      <c r="AA449" s="30"/>
      <c r="AB449" s="32"/>
      <c r="AC449" s="30"/>
      <c r="AD449" s="33"/>
      <c r="AE449" s="29"/>
      <c r="AF449" s="29"/>
      <c r="AG449" s="29"/>
    </row>
    <row r="450" spans="1:33" ht="15" customHeight="1" x14ac:dyDescent="0.25">
      <c r="A450" s="5">
        <v>38</v>
      </c>
      <c r="B450" s="38">
        <v>44088</v>
      </c>
      <c r="C450" s="38">
        <v>44067</v>
      </c>
      <c r="D450" s="38">
        <v>44060</v>
      </c>
      <c r="E450" s="34">
        <v>44088</v>
      </c>
      <c r="F450" s="5">
        <v>12074</v>
      </c>
      <c r="G450" s="5" t="s">
        <v>91</v>
      </c>
      <c r="H450" s="5" t="s">
        <v>43</v>
      </c>
      <c r="I450" s="5" t="s">
        <v>92</v>
      </c>
      <c r="J450" s="21" t="s">
        <v>275</v>
      </c>
      <c r="K450" s="21" t="s">
        <v>1688</v>
      </c>
      <c r="L450" s="6" t="s">
        <v>149</v>
      </c>
      <c r="M450" s="5">
        <v>10</v>
      </c>
      <c r="N450" s="5" t="s">
        <v>91</v>
      </c>
      <c r="O450" s="5" t="s">
        <v>91</v>
      </c>
      <c r="P450" s="5" t="s">
        <v>91</v>
      </c>
      <c r="Q450" s="6" t="s">
        <v>105</v>
      </c>
      <c r="R450" s="6" t="s">
        <v>123</v>
      </c>
      <c r="S450" s="6"/>
      <c r="T450" s="6"/>
      <c r="U450" s="5"/>
      <c r="V450" s="6"/>
      <c r="W450" s="6" t="s">
        <v>1689</v>
      </c>
      <c r="X450" s="6"/>
      <c r="Y450" s="22"/>
      <c r="Z450" s="6">
        <v>6.6</v>
      </c>
      <c r="AA450" s="21"/>
      <c r="AB450" s="23">
        <v>44057</v>
      </c>
      <c r="AC450" s="21" t="s">
        <v>32</v>
      </c>
      <c r="AD450" s="24" t="s">
        <v>1690</v>
      </c>
      <c r="AE450" s="6" t="s">
        <v>35</v>
      </c>
      <c r="AF450" s="6"/>
      <c r="AG450" s="6" t="s">
        <v>3039</v>
      </c>
    </row>
    <row r="451" spans="1:33" ht="15" customHeight="1" x14ac:dyDescent="0.25">
      <c r="A451" s="5">
        <v>38</v>
      </c>
      <c r="B451" s="38">
        <v>44088</v>
      </c>
      <c r="C451" s="38">
        <v>44067</v>
      </c>
      <c r="D451" s="38">
        <v>44060</v>
      </c>
      <c r="E451" s="34">
        <v>44088</v>
      </c>
      <c r="F451" s="5">
        <v>12079</v>
      </c>
      <c r="G451" s="5" t="s">
        <v>91</v>
      </c>
      <c r="H451" s="5" t="s">
        <v>43</v>
      </c>
      <c r="I451" s="5" t="s">
        <v>92</v>
      </c>
      <c r="J451" s="21" t="s">
        <v>275</v>
      </c>
      <c r="K451" s="21" t="s">
        <v>1691</v>
      </c>
      <c r="L451" s="6" t="s">
        <v>1692</v>
      </c>
      <c r="M451" s="5">
        <v>16</v>
      </c>
      <c r="N451" s="5" t="s">
        <v>91</v>
      </c>
      <c r="O451" s="5" t="s">
        <v>91</v>
      </c>
      <c r="P451" s="5" t="s">
        <v>91</v>
      </c>
      <c r="Q451" s="6" t="s">
        <v>96</v>
      </c>
      <c r="R451" s="6" t="s">
        <v>112</v>
      </c>
      <c r="S451" s="6"/>
      <c r="T451" s="6"/>
      <c r="U451" s="5"/>
      <c r="V451" s="6"/>
      <c r="W451" s="6" t="s">
        <v>1689</v>
      </c>
      <c r="X451" s="6"/>
      <c r="Y451" s="22"/>
      <c r="Z451" s="6"/>
      <c r="AA451" s="21"/>
      <c r="AB451" s="23">
        <v>44063</v>
      </c>
      <c r="AC451" s="21" t="s">
        <v>33</v>
      </c>
      <c r="AD451" s="24" t="s">
        <v>1693</v>
      </c>
      <c r="AE451" s="6" t="s">
        <v>31</v>
      </c>
      <c r="AF451" s="6"/>
      <c r="AG451" s="6" t="s">
        <v>3040</v>
      </c>
    </row>
    <row r="452" spans="1:33" ht="7.5" customHeight="1" x14ac:dyDescent="0.25">
      <c r="A452" s="27"/>
      <c r="B452" s="39"/>
      <c r="C452" s="39"/>
      <c r="D452" s="39"/>
      <c r="E452" s="28"/>
      <c r="F452" s="27"/>
      <c r="G452" s="27"/>
      <c r="H452" s="27"/>
      <c r="I452" s="27"/>
      <c r="J452" s="30"/>
      <c r="K452" s="30"/>
      <c r="L452" s="29"/>
      <c r="M452" s="27"/>
      <c r="N452" s="27"/>
      <c r="O452" s="27"/>
      <c r="P452" s="27"/>
      <c r="Q452" s="29"/>
      <c r="R452" s="29"/>
      <c r="S452" s="29"/>
      <c r="T452" s="29"/>
      <c r="U452" s="27"/>
      <c r="V452" s="29"/>
      <c r="W452" s="29"/>
      <c r="X452" s="29"/>
      <c r="Y452" s="31"/>
      <c r="Z452" s="29"/>
      <c r="AA452" s="30"/>
      <c r="AB452" s="32"/>
      <c r="AC452" s="30"/>
      <c r="AD452" s="33"/>
      <c r="AE452" s="29"/>
      <c r="AF452" s="29"/>
      <c r="AG452" s="29"/>
    </row>
    <row r="453" spans="1:33" ht="15" customHeight="1" x14ac:dyDescent="0.25">
      <c r="A453" s="5">
        <v>36</v>
      </c>
      <c r="B453" s="38">
        <v>44076</v>
      </c>
      <c r="C453" s="38">
        <v>44067</v>
      </c>
      <c r="D453" s="38">
        <v>44054</v>
      </c>
      <c r="E453" s="28">
        <v>44076</v>
      </c>
      <c r="F453" s="5">
        <v>5634</v>
      </c>
      <c r="G453" s="5" t="s">
        <v>91</v>
      </c>
      <c r="H453" s="5" t="s">
        <v>41</v>
      </c>
      <c r="I453" s="5" t="s">
        <v>92</v>
      </c>
      <c r="J453" s="21" t="s">
        <v>131</v>
      </c>
      <c r="K453" s="21" t="s">
        <v>1451</v>
      </c>
      <c r="L453" s="6" t="s">
        <v>1452</v>
      </c>
      <c r="M453" s="5">
        <v>0</v>
      </c>
      <c r="N453" s="5" t="s">
        <v>91</v>
      </c>
      <c r="O453" s="5" t="s">
        <v>91</v>
      </c>
      <c r="P453" s="5" t="s">
        <v>91</v>
      </c>
      <c r="Q453" s="6" t="s">
        <v>105</v>
      </c>
      <c r="R453" s="6" t="s">
        <v>112</v>
      </c>
      <c r="S453" s="6"/>
      <c r="T453" s="6"/>
      <c r="U453" s="5"/>
      <c r="V453" s="6"/>
      <c r="W453" s="6" t="s">
        <v>329</v>
      </c>
      <c r="X453" s="6"/>
      <c r="Y453" s="22"/>
      <c r="Z453" s="6"/>
      <c r="AA453" s="21"/>
      <c r="AB453" s="23">
        <v>44060</v>
      </c>
      <c r="AC453" s="21" t="s">
        <v>32</v>
      </c>
      <c r="AD453" s="24" t="s">
        <v>1438</v>
      </c>
      <c r="AE453" s="6" t="s">
        <v>31</v>
      </c>
      <c r="AF453" s="6"/>
      <c r="AG453" s="6" t="s">
        <v>3042</v>
      </c>
    </row>
    <row r="454" spans="1:33" ht="15" customHeight="1" x14ac:dyDescent="0.25">
      <c r="A454" s="5">
        <v>36</v>
      </c>
      <c r="B454" s="38">
        <v>44076</v>
      </c>
      <c r="C454" s="38">
        <v>44067</v>
      </c>
      <c r="D454" s="38">
        <v>44054</v>
      </c>
      <c r="E454" s="28">
        <v>44076</v>
      </c>
      <c r="F454" s="5">
        <v>5635</v>
      </c>
      <c r="G454" s="5" t="s">
        <v>91</v>
      </c>
      <c r="H454" s="5" t="s">
        <v>41</v>
      </c>
      <c r="I454" s="5" t="s">
        <v>92</v>
      </c>
      <c r="J454" s="21" t="s">
        <v>131</v>
      </c>
      <c r="K454" s="21" t="s">
        <v>1453</v>
      </c>
      <c r="L454" s="6" t="s">
        <v>95</v>
      </c>
      <c r="M454" s="5">
        <v>0</v>
      </c>
      <c r="N454" s="5" t="s">
        <v>91</v>
      </c>
      <c r="O454" s="5" t="s">
        <v>91</v>
      </c>
      <c r="P454" s="5" t="s">
        <v>91</v>
      </c>
      <c r="Q454" s="6" t="s">
        <v>105</v>
      </c>
      <c r="R454" s="6" t="s">
        <v>112</v>
      </c>
      <c r="S454" s="6"/>
      <c r="T454" s="6"/>
      <c r="U454" s="5"/>
      <c r="V454" s="6"/>
      <c r="W454" s="6" t="s">
        <v>502</v>
      </c>
      <c r="X454" s="6"/>
      <c r="Y454" s="22"/>
      <c r="Z454" s="6"/>
      <c r="AA454" s="21"/>
      <c r="AB454" s="23">
        <v>44060</v>
      </c>
      <c r="AC454" s="21" t="s">
        <v>32</v>
      </c>
      <c r="AD454" s="24" t="s">
        <v>1454</v>
      </c>
      <c r="AE454" s="6" t="s">
        <v>37</v>
      </c>
      <c r="AF454" s="6"/>
      <c r="AG454" s="6" t="s">
        <v>3039</v>
      </c>
    </row>
    <row r="455" spans="1:33" ht="15" customHeight="1" x14ac:dyDescent="0.25">
      <c r="A455" s="5">
        <v>36</v>
      </c>
      <c r="B455" s="38">
        <v>44076</v>
      </c>
      <c r="C455" s="38">
        <v>44067</v>
      </c>
      <c r="D455" s="38">
        <v>44048</v>
      </c>
      <c r="E455" s="28">
        <v>44076</v>
      </c>
      <c r="F455" s="5">
        <v>5630</v>
      </c>
      <c r="G455" s="5" t="s">
        <v>91</v>
      </c>
      <c r="H455" s="5" t="s">
        <v>41</v>
      </c>
      <c r="I455" s="5" t="s">
        <v>92</v>
      </c>
      <c r="J455" s="21" t="s">
        <v>131</v>
      </c>
      <c r="K455" s="21" t="s">
        <v>1469</v>
      </c>
      <c r="L455" s="6" t="s">
        <v>1470</v>
      </c>
      <c r="M455" s="5">
        <v>0</v>
      </c>
      <c r="N455" s="5" t="s">
        <v>91</v>
      </c>
      <c r="O455" s="5" t="s">
        <v>91</v>
      </c>
      <c r="P455" s="5" t="s">
        <v>91</v>
      </c>
      <c r="Q455" s="6"/>
      <c r="R455" s="6" t="s">
        <v>112</v>
      </c>
      <c r="S455" s="6"/>
      <c r="T455" s="6"/>
      <c r="U455" s="5"/>
      <c r="V455" s="6" t="s">
        <v>301</v>
      </c>
      <c r="W455" s="6" t="s">
        <v>794</v>
      </c>
      <c r="X455" s="6"/>
      <c r="Y455" s="22"/>
      <c r="Z455" s="6"/>
      <c r="AA455" s="21"/>
      <c r="AB455" s="23">
        <v>44054</v>
      </c>
      <c r="AC455" s="21" t="s">
        <v>39</v>
      </c>
      <c r="AD455" s="24" t="s">
        <v>115</v>
      </c>
      <c r="AE455" s="6" t="s">
        <v>36</v>
      </c>
      <c r="AF455" s="6"/>
      <c r="AG455" s="6" t="s">
        <v>3041</v>
      </c>
    </row>
    <row r="456" spans="1:33" ht="7.5" customHeight="1" x14ac:dyDescent="0.25">
      <c r="A456" s="27"/>
      <c r="B456" s="39"/>
      <c r="C456" s="39"/>
      <c r="D456" s="39"/>
      <c r="E456" s="28"/>
      <c r="F456" s="27"/>
      <c r="G456" s="27"/>
      <c r="H456" s="27"/>
      <c r="I456" s="27"/>
      <c r="J456" s="30"/>
      <c r="K456" s="30"/>
      <c r="L456" s="29"/>
      <c r="M456" s="27"/>
      <c r="N456" s="27"/>
      <c r="O456" s="27"/>
      <c r="P456" s="27"/>
      <c r="Q456" s="29"/>
      <c r="R456" s="29"/>
      <c r="S456" s="29"/>
      <c r="T456" s="29"/>
      <c r="U456" s="27"/>
      <c r="V456" s="29"/>
      <c r="W456" s="29"/>
      <c r="X456" s="29"/>
      <c r="Y456" s="31"/>
      <c r="Z456" s="29"/>
      <c r="AA456" s="30"/>
      <c r="AB456" s="32"/>
      <c r="AC456" s="30"/>
      <c r="AD456" s="33"/>
      <c r="AE456" s="29"/>
      <c r="AF456" s="29"/>
      <c r="AG456" s="29"/>
    </row>
    <row r="457" spans="1:33" ht="15" customHeight="1" x14ac:dyDescent="0.25">
      <c r="A457" s="5">
        <v>37</v>
      </c>
      <c r="B457" s="38">
        <v>44081</v>
      </c>
      <c r="C457" s="38">
        <v>44067</v>
      </c>
      <c r="D457" s="38">
        <v>44060</v>
      </c>
      <c r="E457" s="37">
        <v>44081</v>
      </c>
      <c r="F457" s="5">
        <v>5649</v>
      </c>
      <c r="G457" s="5" t="s">
        <v>91</v>
      </c>
      <c r="H457" s="5" t="s">
        <v>41</v>
      </c>
      <c r="I457" s="5" t="s">
        <v>92</v>
      </c>
      <c r="J457" s="21" t="s">
        <v>131</v>
      </c>
      <c r="K457" s="21" t="s">
        <v>1537</v>
      </c>
      <c r="L457" s="6" t="s">
        <v>339</v>
      </c>
      <c r="M457" s="5">
        <v>0</v>
      </c>
      <c r="N457" s="5" t="s">
        <v>91</v>
      </c>
      <c r="O457" s="5" t="s">
        <v>91</v>
      </c>
      <c r="P457" s="5" t="s">
        <v>91</v>
      </c>
      <c r="Q457" s="6"/>
      <c r="R457" s="6" t="s">
        <v>112</v>
      </c>
      <c r="S457" s="6"/>
      <c r="T457" s="6"/>
      <c r="U457" s="5"/>
      <c r="V457" s="6"/>
      <c r="W457" s="6" t="s">
        <v>183</v>
      </c>
      <c r="X457" s="6"/>
      <c r="Y457" s="22"/>
      <c r="Z457" s="6"/>
      <c r="AA457" s="21"/>
      <c r="AB457" s="23">
        <v>44071</v>
      </c>
      <c r="AC457" s="21" t="s">
        <v>33</v>
      </c>
      <c r="AD457" s="24" t="s">
        <v>1538</v>
      </c>
      <c r="AE457" s="6" t="s">
        <v>37</v>
      </c>
      <c r="AF457" s="6"/>
      <c r="AG457" s="6" t="s">
        <v>3039</v>
      </c>
    </row>
    <row r="458" spans="1:33" ht="7.5" customHeight="1" x14ac:dyDescent="0.25">
      <c r="A458" s="27"/>
      <c r="B458" s="39"/>
      <c r="C458" s="39"/>
      <c r="D458" s="39"/>
      <c r="E458" s="28"/>
      <c r="F458" s="27"/>
      <c r="G458" s="27"/>
      <c r="H458" s="27"/>
      <c r="I458" s="27"/>
      <c r="J458" s="30"/>
      <c r="K458" s="30"/>
      <c r="L458" s="29"/>
      <c r="M458" s="27"/>
      <c r="N458" s="27"/>
      <c r="O458" s="27"/>
      <c r="P458" s="27"/>
      <c r="Q458" s="29"/>
      <c r="R458" s="29"/>
      <c r="S458" s="29"/>
      <c r="T458" s="29"/>
      <c r="U458" s="27"/>
      <c r="V458" s="29"/>
      <c r="W458" s="29"/>
      <c r="X458" s="29"/>
      <c r="Y458" s="31"/>
      <c r="Z458" s="29"/>
      <c r="AA458" s="30"/>
      <c r="AB458" s="32"/>
      <c r="AC458" s="30"/>
      <c r="AD458" s="33"/>
      <c r="AE458" s="29"/>
      <c r="AF458" s="29"/>
      <c r="AG458" s="29"/>
    </row>
    <row r="459" spans="1:33" ht="15" customHeight="1" x14ac:dyDescent="0.25">
      <c r="A459" s="5">
        <v>38</v>
      </c>
      <c r="B459" s="38">
        <v>44088</v>
      </c>
      <c r="C459" s="38">
        <v>44067</v>
      </c>
      <c r="D459" s="38">
        <v>44060</v>
      </c>
      <c r="E459" s="34">
        <v>44088</v>
      </c>
      <c r="F459" s="5">
        <v>5643</v>
      </c>
      <c r="G459" s="5" t="s">
        <v>91</v>
      </c>
      <c r="H459" s="5" t="s">
        <v>43</v>
      </c>
      <c r="I459" s="5" t="s">
        <v>92</v>
      </c>
      <c r="J459" s="21" t="s">
        <v>131</v>
      </c>
      <c r="K459" s="21" t="s">
        <v>1700</v>
      </c>
      <c r="L459" s="6" t="s">
        <v>1701</v>
      </c>
      <c r="M459" s="5">
        <v>10</v>
      </c>
      <c r="N459" s="5" t="s">
        <v>91</v>
      </c>
      <c r="O459" s="5" t="s">
        <v>91</v>
      </c>
      <c r="P459" s="5" t="s">
        <v>91</v>
      </c>
      <c r="Q459" s="6" t="s">
        <v>105</v>
      </c>
      <c r="R459" s="6" t="s">
        <v>112</v>
      </c>
      <c r="S459" s="6"/>
      <c r="T459" s="6"/>
      <c r="U459" s="5"/>
      <c r="V459" s="6"/>
      <c r="W459" s="6" t="s">
        <v>183</v>
      </c>
      <c r="X459" s="6"/>
      <c r="Y459" s="22"/>
      <c r="Z459" s="6">
        <v>5</v>
      </c>
      <c r="AA459" s="21"/>
      <c r="AB459" s="23">
        <v>44067</v>
      </c>
      <c r="AC459" s="21" t="s">
        <v>32</v>
      </c>
      <c r="AD459" s="24" t="s">
        <v>1702</v>
      </c>
      <c r="AE459" s="6" t="s">
        <v>31</v>
      </c>
      <c r="AF459" s="6"/>
      <c r="AG459" s="6" t="s">
        <v>3040</v>
      </c>
    </row>
    <row r="460" spans="1:33" ht="7.5" customHeight="1" x14ac:dyDescent="0.25">
      <c r="A460" s="27"/>
      <c r="B460" s="39"/>
      <c r="C460" s="39"/>
      <c r="D460" s="39"/>
      <c r="E460" s="28"/>
      <c r="F460" s="27"/>
      <c r="G460" s="27"/>
      <c r="H460" s="27"/>
      <c r="I460" s="27"/>
      <c r="J460" s="30"/>
      <c r="K460" s="30"/>
      <c r="L460" s="29"/>
      <c r="M460" s="27"/>
      <c r="N460" s="27"/>
      <c r="O460" s="27"/>
      <c r="P460" s="27"/>
      <c r="Q460" s="29"/>
      <c r="R460" s="29"/>
      <c r="S460" s="29"/>
      <c r="T460" s="29"/>
      <c r="U460" s="27"/>
      <c r="V460" s="29"/>
      <c r="W460" s="29"/>
      <c r="X460" s="29"/>
      <c r="Y460" s="31"/>
      <c r="Z460" s="29"/>
      <c r="AA460" s="30"/>
      <c r="AB460" s="32"/>
      <c r="AC460" s="30"/>
      <c r="AD460" s="33"/>
      <c r="AE460" s="29"/>
      <c r="AF460" s="29"/>
      <c r="AG460" s="29"/>
    </row>
    <row r="461" spans="1:33" ht="15" customHeight="1" x14ac:dyDescent="0.25">
      <c r="A461" s="5">
        <v>37</v>
      </c>
      <c r="B461" s="38">
        <v>44081</v>
      </c>
      <c r="C461" s="38">
        <v>44067</v>
      </c>
      <c r="D461" s="38">
        <v>44060</v>
      </c>
      <c r="E461" s="37">
        <v>44081</v>
      </c>
      <c r="F461" s="5">
        <v>6718</v>
      </c>
      <c r="G461" s="5" t="s">
        <v>91</v>
      </c>
      <c r="H461" s="5" t="s">
        <v>41</v>
      </c>
      <c r="I461" s="5" t="s">
        <v>92</v>
      </c>
      <c r="J461" s="21" t="s">
        <v>191</v>
      </c>
      <c r="K461" s="21" t="s">
        <v>1539</v>
      </c>
      <c r="L461" s="6" t="s">
        <v>1540</v>
      </c>
      <c r="M461" s="5">
        <v>3</v>
      </c>
      <c r="N461" s="5" t="s">
        <v>91</v>
      </c>
      <c r="O461" s="5" t="s">
        <v>91</v>
      </c>
      <c r="P461" s="5" t="s">
        <v>91</v>
      </c>
      <c r="Q461" s="6" t="s">
        <v>105</v>
      </c>
      <c r="R461" s="6" t="s">
        <v>194</v>
      </c>
      <c r="S461" s="6"/>
      <c r="T461" s="6"/>
      <c r="U461" s="5"/>
      <c r="V461" s="6"/>
      <c r="W461" s="6" t="s">
        <v>580</v>
      </c>
      <c r="X461" s="6"/>
      <c r="Y461" s="22"/>
      <c r="Z461" s="6">
        <v>2</v>
      </c>
      <c r="AA461" s="21"/>
      <c r="AB461" s="23">
        <v>44068</v>
      </c>
      <c r="AC461" s="21" t="s">
        <v>30</v>
      </c>
      <c r="AD461" s="24" t="s">
        <v>1541</v>
      </c>
      <c r="AE461" s="6" t="s">
        <v>38</v>
      </c>
      <c r="AF461" s="6"/>
      <c r="AG461" s="6" t="s">
        <v>3040</v>
      </c>
    </row>
    <row r="462" spans="1:33" ht="15" customHeight="1" x14ac:dyDescent="0.25">
      <c r="A462" s="5">
        <v>37</v>
      </c>
      <c r="B462" s="38">
        <v>44081</v>
      </c>
      <c r="C462" s="38">
        <v>44067</v>
      </c>
      <c r="D462" s="38">
        <v>44060</v>
      </c>
      <c r="E462" s="37">
        <v>44081</v>
      </c>
      <c r="F462" s="5">
        <v>7768</v>
      </c>
      <c r="G462" s="5" t="s">
        <v>91</v>
      </c>
      <c r="H462" s="5" t="s">
        <v>43</v>
      </c>
      <c r="I462" s="5" t="s">
        <v>92</v>
      </c>
      <c r="J462" s="21" t="s">
        <v>214</v>
      </c>
      <c r="K462" s="21" t="s">
        <v>368</v>
      </c>
      <c r="L462" s="6" t="s">
        <v>1546</v>
      </c>
      <c r="M462" s="5">
        <v>9</v>
      </c>
      <c r="N462" s="5" t="s">
        <v>91</v>
      </c>
      <c r="O462" s="5" t="s">
        <v>91</v>
      </c>
      <c r="P462" s="5" t="s">
        <v>91</v>
      </c>
      <c r="Q462" s="6" t="s">
        <v>105</v>
      </c>
      <c r="R462" s="6" t="s">
        <v>217</v>
      </c>
      <c r="S462" s="6"/>
      <c r="T462" s="6"/>
      <c r="U462" s="5"/>
      <c r="V462" s="6"/>
      <c r="W462" s="6" t="s">
        <v>1547</v>
      </c>
      <c r="X462" s="6">
        <v>2041208056</v>
      </c>
      <c r="Y462" s="22"/>
      <c r="Z462" s="6">
        <v>3.55</v>
      </c>
      <c r="AA462" s="21" t="s">
        <v>369</v>
      </c>
      <c r="AB462" s="23">
        <v>44063</v>
      </c>
      <c r="AC462" s="21" t="s">
        <v>32</v>
      </c>
      <c r="AD462" s="24" t="s">
        <v>1548</v>
      </c>
      <c r="AE462" s="6" t="s">
        <v>35</v>
      </c>
      <c r="AF462" s="6"/>
      <c r="AG462" s="6" t="s">
        <v>3042</v>
      </c>
    </row>
    <row r="463" spans="1:33" ht="7.5" customHeight="1" x14ac:dyDescent="0.25">
      <c r="A463" s="27"/>
      <c r="B463" s="39"/>
      <c r="C463" s="39"/>
      <c r="D463" s="39"/>
      <c r="E463" s="28"/>
      <c r="F463" s="27"/>
      <c r="G463" s="27"/>
      <c r="H463" s="27"/>
      <c r="I463" s="27"/>
      <c r="J463" s="30"/>
      <c r="K463" s="30"/>
      <c r="L463" s="29"/>
      <c r="M463" s="27"/>
      <c r="N463" s="27"/>
      <c r="O463" s="27"/>
      <c r="P463" s="27"/>
      <c r="Q463" s="29"/>
      <c r="R463" s="29"/>
      <c r="S463" s="29"/>
      <c r="T463" s="29"/>
      <c r="U463" s="27"/>
      <c r="V463" s="29"/>
      <c r="W463" s="29"/>
      <c r="X463" s="29"/>
      <c r="Y463" s="31"/>
      <c r="Z463" s="29"/>
      <c r="AA463" s="30"/>
      <c r="AB463" s="32"/>
      <c r="AC463" s="30"/>
      <c r="AD463" s="33"/>
      <c r="AE463" s="29"/>
      <c r="AF463" s="29"/>
      <c r="AG463" s="29"/>
    </row>
    <row r="464" spans="1:33" ht="15" customHeight="1" x14ac:dyDescent="0.25">
      <c r="A464" s="5">
        <v>36</v>
      </c>
      <c r="B464" s="38">
        <v>44076</v>
      </c>
      <c r="C464" s="38">
        <v>44067</v>
      </c>
      <c r="D464" s="38">
        <v>44048</v>
      </c>
      <c r="E464" s="28">
        <v>44076</v>
      </c>
      <c r="F464" s="5">
        <v>8708</v>
      </c>
      <c r="G464" s="5" t="s">
        <v>91</v>
      </c>
      <c r="H464" s="5" t="s">
        <v>43</v>
      </c>
      <c r="I464" s="5" t="s">
        <v>92</v>
      </c>
      <c r="J464" s="21" t="s">
        <v>147</v>
      </c>
      <c r="K464" s="21" t="s">
        <v>1471</v>
      </c>
      <c r="L464" s="6" t="s">
        <v>1472</v>
      </c>
      <c r="M464" s="5">
        <v>16</v>
      </c>
      <c r="N464" s="5" t="s">
        <v>91</v>
      </c>
      <c r="O464" s="5" t="s">
        <v>91</v>
      </c>
      <c r="P464" s="5" t="s">
        <v>91</v>
      </c>
      <c r="Q464" s="6"/>
      <c r="R464" s="6" t="s">
        <v>1473</v>
      </c>
      <c r="S464" s="6" t="s">
        <v>265</v>
      </c>
      <c r="T464" s="6"/>
      <c r="U464" s="5"/>
      <c r="V464" s="6"/>
      <c r="W464" s="6" t="s">
        <v>1474</v>
      </c>
      <c r="X464" s="6" t="s">
        <v>1475</v>
      </c>
      <c r="Y464" s="22"/>
      <c r="Z464" s="6"/>
      <c r="AA464" s="21"/>
      <c r="AB464" s="23">
        <v>44012</v>
      </c>
      <c r="AC464" s="21" t="s">
        <v>30</v>
      </c>
      <c r="AD464" s="24" t="s">
        <v>1476</v>
      </c>
      <c r="AE464" s="6" t="s">
        <v>31</v>
      </c>
      <c r="AF464" s="6"/>
      <c r="AG464" s="6" t="s">
        <v>3042</v>
      </c>
    </row>
    <row r="465" spans="1:33" ht="15" customHeight="1" x14ac:dyDescent="0.25">
      <c r="A465" s="5">
        <v>36</v>
      </c>
      <c r="B465" s="38">
        <v>44076</v>
      </c>
      <c r="C465" s="38">
        <v>44067</v>
      </c>
      <c r="D465" s="38">
        <v>44048</v>
      </c>
      <c r="E465" s="28">
        <v>44076</v>
      </c>
      <c r="F465" s="5">
        <v>8741</v>
      </c>
      <c r="G465" s="5" t="s">
        <v>91</v>
      </c>
      <c r="H465" s="5" t="s">
        <v>40</v>
      </c>
      <c r="I465" s="5" t="s">
        <v>92</v>
      </c>
      <c r="J465" s="21" t="s">
        <v>147</v>
      </c>
      <c r="K465" s="21" t="s">
        <v>1481</v>
      </c>
      <c r="L465" s="6" t="s">
        <v>1482</v>
      </c>
      <c r="M465" s="5">
        <v>46</v>
      </c>
      <c r="N465" s="5" t="s">
        <v>91</v>
      </c>
      <c r="O465" s="5" t="s">
        <v>91</v>
      </c>
      <c r="P465" s="5" t="s">
        <v>91</v>
      </c>
      <c r="Q465" s="6" t="s">
        <v>105</v>
      </c>
      <c r="R465" s="6" t="s">
        <v>107</v>
      </c>
      <c r="S465" s="6" t="s">
        <v>155</v>
      </c>
      <c r="T465" s="6"/>
      <c r="U465" s="5"/>
      <c r="V465" s="6"/>
      <c r="W465" s="6" t="s">
        <v>107</v>
      </c>
      <c r="X465" s="6" t="s">
        <v>1483</v>
      </c>
      <c r="Y465" s="22"/>
      <c r="Z465" s="6"/>
      <c r="AA465" s="21"/>
      <c r="AB465" s="23">
        <v>44048</v>
      </c>
      <c r="AC465" s="21" t="s">
        <v>30</v>
      </c>
      <c r="AD465" s="24" t="s">
        <v>1484</v>
      </c>
      <c r="AE465" s="6" t="s">
        <v>37</v>
      </c>
      <c r="AF465" s="6"/>
      <c r="AG465" s="6" t="s">
        <v>3040</v>
      </c>
    </row>
    <row r="466" spans="1:33" ht="7.5" customHeight="1" x14ac:dyDescent="0.25">
      <c r="A466" s="27"/>
      <c r="B466" s="39"/>
      <c r="C466" s="39"/>
      <c r="D466" s="39"/>
      <c r="E466" s="28"/>
      <c r="F466" s="27"/>
      <c r="G466" s="27"/>
      <c r="H466" s="27"/>
      <c r="I466" s="27"/>
      <c r="J466" s="30"/>
      <c r="K466" s="30"/>
      <c r="L466" s="29"/>
      <c r="M466" s="27"/>
      <c r="N466" s="27"/>
      <c r="O466" s="27"/>
      <c r="P466" s="27"/>
      <c r="Q466" s="29"/>
      <c r="R466" s="29"/>
      <c r="S466" s="29"/>
      <c r="T466" s="29"/>
      <c r="U466" s="27"/>
      <c r="V466" s="29"/>
      <c r="W466" s="29"/>
      <c r="X466" s="29"/>
      <c r="Y466" s="31"/>
      <c r="Z466" s="29"/>
      <c r="AA466" s="30"/>
      <c r="AB466" s="32"/>
      <c r="AC466" s="30"/>
      <c r="AD466" s="33"/>
      <c r="AE466" s="29"/>
      <c r="AF466" s="29"/>
      <c r="AG466" s="29"/>
    </row>
    <row r="467" spans="1:33" ht="15" customHeight="1" x14ac:dyDescent="0.25">
      <c r="A467" s="5">
        <v>37</v>
      </c>
      <c r="B467" s="38">
        <v>44082</v>
      </c>
      <c r="C467" s="38">
        <v>44068</v>
      </c>
      <c r="D467" s="38">
        <v>44061</v>
      </c>
      <c r="E467" s="37">
        <v>44082</v>
      </c>
      <c r="F467" s="5">
        <v>3060</v>
      </c>
      <c r="G467" s="5" t="s">
        <v>91</v>
      </c>
      <c r="H467" s="5" t="s">
        <v>40</v>
      </c>
      <c r="I467" s="5" t="s">
        <v>92</v>
      </c>
      <c r="J467" s="21" t="s">
        <v>93</v>
      </c>
      <c r="K467" s="21" t="s">
        <v>1565</v>
      </c>
      <c r="L467" s="6" t="s">
        <v>1566</v>
      </c>
      <c r="M467" s="5">
        <v>4</v>
      </c>
      <c r="N467" s="5" t="s">
        <v>91</v>
      </c>
      <c r="O467" s="5" t="s">
        <v>91</v>
      </c>
      <c r="P467" s="5" t="s">
        <v>91</v>
      </c>
      <c r="Q467" s="6" t="s">
        <v>105</v>
      </c>
      <c r="R467" s="6" t="s">
        <v>97</v>
      </c>
      <c r="S467" s="6" t="s">
        <v>244</v>
      </c>
      <c r="T467" s="6"/>
      <c r="U467" s="5"/>
      <c r="V467" s="6"/>
      <c r="W467" s="6" t="s">
        <v>1567</v>
      </c>
      <c r="X467" s="6" t="s">
        <v>1568</v>
      </c>
      <c r="Y467" s="22"/>
      <c r="Z467" s="6"/>
      <c r="AA467" s="21">
        <v>10170</v>
      </c>
      <c r="AB467" s="23">
        <v>44062</v>
      </c>
      <c r="AC467" s="21" t="s">
        <v>33</v>
      </c>
      <c r="AD467" s="24" t="s">
        <v>1569</v>
      </c>
      <c r="AE467" s="6" t="s">
        <v>31</v>
      </c>
      <c r="AF467" s="6"/>
      <c r="AG467" s="6" t="s">
        <v>3039</v>
      </c>
    </row>
    <row r="468" spans="1:33" ht="15" customHeight="1" x14ac:dyDescent="0.25">
      <c r="A468" s="5">
        <v>37</v>
      </c>
      <c r="B468" s="38">
        <v>44082</v>
      </c>
      <c r="C468" s="38">
        <v>44068</v>
      </c>
      <c r="D468" s="38">
        <v>44061</v>
      </c>
      <c r="E468" s="37">
        <v>44082</v>
      </c>
      <c r="F468" s="5">
        <v>3072</v>
      </c>
      <c r="G468" s="5" t="s">
        <v>91</v>
      </c>
      <c r="H468" s="5" t="s">
        <v>41</v>
      </c>
      <c r="I468" s="5" t="s">
        <v>92</v>
      </c>
      <c r="J468" s="21" t="s">
        <v>93</v>
      </c>
      <c r="K468" s="21" t="s">
        <v>1570</v>
      </c>
      <c r="L468" s="6" t="s">
        <v>95</v>
      </c>
      <c r="M468" s="5">
        <v>0</v>
      </c>
      <c r="N468" s="5" t="s">
        <v>91</v>
      </c>
      <c r="O468" s="5" t="s">
        <v>91</v>
      </c>
      <c r="P468" s="5" t="s">
        <v>91</v>
      </c>
      <c r="Q468" s="6"/>
      <c r="R468" s="6" t="s">
        <v>107</v>
      </c>
      <c r="S468" s="6"/>
      <c r="T468" s="6"/>
      <c r="U468" s="5"/>
      <c r="V468" s="6" t="s">
        <v>1571</v>
      </c>
      <c r="W468" s="6" t="s">
        <v>106</v>
      </c>
      <c r="X468" s="6"/>
      <c r="Y468" s="22"/>
      <c r="Z468" s="6"/>
      <c r="AA468" s="21">
        <v>1013300</v>
      </c>
      <c r="AB468" s="23">
        <v>44075</v>
      </c>
      <c r="AC468" s="21" t="s">
        <v>33</v>
      </c>
      <c r="AD468" s="24" t="s">
        <v>1572</v>
      </c>
      <c r="AE468" s="6" t="s">
        <v>37</v>
      </c>
      <c r="AF468" s="6"/>
      <c r="AG468" s="6" t="s">
        <v>3040</v>
      </c>
    </row>
    <row r="469" spans="1:33" ht="7.5" customHeight="1" x14ac:dyDescent="0.25">
      <c r="A469" s="27"/>
      <c r="B469" s="39"/>
      <c r="C469" s="39"/>
      <c r="D469" s="39"/>
      <c r="E469" s="28"/>
      <c r="F469" s="27"/>
      <c r="G469" s="27"/>
      <c r="H469" s="27"/>
      <c r="I469" s="27"/>
      <c r="J469" s="30"/>
      <c r="K469" s="30"/>
      <c r="L469" s="29"/>
      <c r="M469" s="27"/>
      <c r="N469" s="27"/>
      <c r="O469" s="27"/>
      <c r="P469" s="27"/>
      <c r="Q469" s="29"/>
      <c r="R469" s="29"/>
      <c r="S469" s="29"/>
      <c r="T469" s="29"/>
      <c r="U469" s="27"/>
      <c r="V469" s="29"/>
      <c r="W469" s="29"/>
      <c r="X469" s="29"/>
      <c r="Y469" s="31"/>
      <c r="Z469" s="29"/>
      <c r="AA469" s="30"/>
      <c r="AB469" s="32"/>
      <c r="AC469" s="30"/>
      <c r="AD469" s="33"/>
      <c r="AE469" s="29"/>
      <c r="AF469" s="29"/>
      <c r="AG469" s="29"/>
    </row>
    <row r="470" spans="1:33" ht="15" customHeight="1" x14ac:dyDescent="0.25">
      <c r="A470" s="5">
        <v>38</v>
      </c>
      <c r="B470" s="38">
        <v>44089</v>
      </c>
      <c r="C470" s="38">
        <v>44068</v>
      </c>
      <c r="D470" s="38">
        <v>44061</v>
      </c>
      <c r="E470" s="34">
        <v>44089</v>
      </c>
      <c r="F470" s="5">
        <v>4819</v>
      </c>
      <c r="G470" s="5" t="s">
        <v>91</v>
      </c>
      <c r="H470" s="5" t="s">
        <v>43</v>
      </c>
      <c r="I470" s="5" t="s">
        <v>92</v>
      </c>
      <c r="J470" s="21" t="s">
        <v>109</v>
      </c>
      <c r="K470" s="21" t="s">
        <v>448</v>
      </c>
      <c r="L470" s="6" t="s">
        <v>128</v>
      </c>
      <c r="M470" s="5">
        <v>16</v>
      </c>
      <c r="N470" s="5" t="s">
        <v>91</v>
      </c>
      <c r="O470" s="5" t="s">
        <v>91</v>
      </c>
      <c r="P470" s="5" t="s">
        <v>91</v>
      </c>
      <c r="Q470" s="6" t="s">
        <v>105</v>
      </c>
      <c r="R470" s="6" t="s">
        <v>112</v>
      </c>
      <c r="S470" s="6"/>
      <c r="T470" s="6"/>
      <c r="U470" s="5"/>
      <c r="V470" s="6"/>
      <c r="W470" s="6" t="s">
        <v>129</v>
      </c>
      <c r="X470" s="6"/>
      <c r="Y470" s="22"/>
      <c r="Z470" s="6">
        <v>5.2</v>
      </c>
      <c r="AA470" s="21">
        <v>14156</v>
      </c>
      <c r="AB470" s="23">
        <v>44062</v>
      </c>
      <c r="AC470" s="21" t="s">
        <v>32</v>
      </c>
      <c r="AD470" s="24" t="s">
        <v>449</v>
      </c>
      <c r="AE470" s="6" t="s">
        <v>31</v>
      </c>
      <c r="AF470" s="6"/>
      <c r="AG470" s="6" t="s">
        <v>3042</v>
      </c>
    </row>
    <row r="471" spans="1:33" ht="7.5" customHeight="1" x14ac:dyDescent="0.25">
      <c r="A471" s="27"/>
      <c r="B471" s="39"/>
      <c r="C471" s="39"/>
      <c r="D471" s="39"/>
      <c r="E471" s="28"/>
      <c r="F471" s="27"/>
      <c r="G471" s="27"/>
      <c r="H471" s="27"/>
      <c r="I471" s="27"/>
      <c r="J471" s="30"/>
      <c r="K471" s="30"/>
      <c r="L471" s="29"/>
      <c r="M471" s="27"/>
      <c r="N471" s="27"/>
      <c r="O471" s="27"/>
      <c r="P471" s="27"/>
      <c r="Q471" s="29"/>
      <c r="R471" s="29"/>
      <c r="S471" s="29"/>
      <c r="T471" s="29"/>
      <c r="U471" s="27"/>
      <c r="V471" s="29"/>
      <c r="W471" s="29"/>
      <c r="X471" s="29"/>
      <c r="Y471" s="31"/>
      <c r="Z471" s="29"/>
      <c r="AA471" s="30"/>
      <c r="AB471" s="32"/>
      <c r="AC471" s="30"/>
      <c r="AD471" s="33"/>
      <c r="AE471" s="29"/>
      <c r="AF471" s="29"/>
      <c r="AG471" s="29"/>
    </row>
    <row r="472" spans="1:33" ht="15" customHeight="1" x14ac:dyDescent="0.25">
      <c r="A472" s="5">
        <v>36</v>
      </c>
      <c r="B472" s="38">
        <v>44077</v>
      </c>
      <c r="C472" s="38">
        <v>44068</v>
      </c>
      <c r="D472" s="38">
        <v>44056</v>
      </c>
      <c r="E472" s="28">
        <v>44077</v>
      </c>
      <c r="F472" s="5">
        <v>6715</v>
      </c>
      <c r="G472" s="5" t="s">
        <v>91</v>
      </c>
      <c r="H472" s="5" t="s">
        <v>41</v>
      </c>
      <c r="I472" s="5" t="s">
        <v>92</v>
      </c>
      <c r="J472" s="21" t="s">
        <v>191</v>
      </c>
      <c r="K472" s="21" t="s">
        <v>1490</v>
      </c>
      <c r="L472" s="6" t="s">
        <v>1491</v>
      </c>
      <c r="M472" s="5">
        <v>8</v>
      </c>
      <c r="N472" s="5" t="s">
        <v>91</v>
      </c>
      <c r="O472" s="5" t="s">
        <v>91</v>
      </c>
      <c r="P472" s="5" t="s">
        <v>91</v>
      </c>
      <c r="Q472" s="6" t="s">
        <v>105</v>
      </c>
      <c r="R472" s="6" t="s">
        <v>194</v>
      </c>
      <c r="S472" s="6"/>
      <c r="T472" s="6"/>
      <c r="U472" s="5"/>
      <c r="V472" s="6"/>
      <c r="W472" s="6" t="s">
        <v>672</v>
      </c>
      <c r="X472" s="6"/>
      <c r="Y472" s="22"/>
      <c r="Z472" s="6">
        <v>3</v>
      </c>
      <c r="AA472" s="21"/>
      <c r="AB472" s="23">
        <v>44057</v>
      </c>
      <c r="AC472" s="21" t="s">
        <v>32</v>
      </c>
      <c r="AD472" s="24" t="s">
        <v>1492</v>
      </c>
      <c r="AE472" s="6" t="s">
        <v>31</v>
      </c>
      <c r="AF472" s="6"/>
      <c r="AG472" s="6" t="s">
        <v>3042</v>
      </c>
    </row>
    <row r="473" spans="1:33" ht="7.5" customHeight="1" x14ac:dyDescent="0.25">
      <c r="A473" s="27"/>
      <c r="B473" s="39"/>
      <c r="C473" s="39"/>
      <c r="D473" s="39"/>
      <c r="E473" s="28"/>
      <c r="F473" s="27"/>
      <c r="G473" s="27"/>
      <c r="H473" s="27"/>
      <c r="I473" s="27"/>
      <c r="J473" s="30"/>
      <c r="K473" s="30"/>
      <c r="L473" s="29"/>
      <c r="M473" s="27"/>
      <c r="N473" s="27"/>
      <c r="O473" s="27"/>
      <c r="P473" s="27"/>
      <c r="Q473" s="29"/>
      <c r="R473" s="29"/>
      <c r="S473" s="29"/>
      <c r="T473" s="29"/>
      <c r="U473" s="27"/>
      <c r="V473" s="29"/>
      <c r="W473" s="29"/>
      <c r="X473" s="29"/>
      <c r="Y473" s="31"/>
      <c r="Z473" s="29"/>
      <c r="AA473" s="30"/>
      <c r="AB473" s="32"/>
      <c r="AC473" s="30"/>
      <c r="AD473" s="33"/>
      <c r="AE473" s="29"/>
      <c r="AF473" s="29"/>
      <c r="AG473" s="29"/>
    </row>
    <row r="474" spans="1:33" ht="15" customHeight="1" x14ac:dyDescent="0.25">
      <c r="A474" s="5">
        <v>39</v>
      </c>
      <c r="B474" s="38">
        <v>44095</v>
      </c>
      <c r="C474" s="38">
        <v>44068</v>
      </c>
      <c r="D474" s="38">
        <v>44063</v>
      </c>
      <c r="E474" s="35">
        <v>44095</v>
      </c>
      <c r="F474" s="5">
        <v>7774</v>
      </c>
      <c r="G474" s="5" t="s">
        <v>91</v>
      </c>
      <c r="H474" s="5" t="s">
        <v>41</v>
      </c>
      <c r="I474" s="5" t="s">
        <v>92</v>
      </c>
      <c r="J474" s="21" t="s">
        <v>214</v>
      </c>
      <c r="K474" s="21" t="s">
        <v>363</v>
      </c>
      <c r="L474" s="6" t="s">
        <v>364</v>
      </c>
      <c r="M474" s="5">
        <v>22</v>
      </c>
      <c r="N474" s="5" t="s">
        <v>91</v>
      </c>
      <c r="O474" s="5" t="s">
        <v>91</v>
      </c>
      <c r="P474" s="5" t="s">
        <v>91</v>
      </c>
      <c r="Q474" s="6" t="s">
        <v>105</v>
      </c>
      <c r="R474" s="6" t="s">
        <v>223</v>
      </c>
      <c r="S474" s="6"/>
      <c r="T474" s="6"/>
      <c r="U474" s="5"/>
      <c r="V474" s="6"/>
      <c r="W474" s="6" t="s">
        <v>365</v>
      </c>
      <c r="X474" s="6">
        <v>277047156</v>
      </c>
      <c r="Y474" s="22"/>
      <c r="Z474" s="6">
        <v>7.22</v>
      </c>
      <c r="AA474" s="21" t="s">
        <v>366</v>
      </c>
      <c r="AB474" s="23">
        <v>44070</v>
      </c>
      <c r="AC474" s="21" t="s">
        <v>30</v>
      </c>
      <c r="AD474" s="24" t="s">
        <v>367</v>
      </c>
      <c r="AE474" s="6" t="s">
        <v>31</v>
      </c>
      <c r="AF474" s="6"/>
      <c r="AG474" s="6" t="s">
        <v>3040</v>
      </c>
    </row>
    <row r="475" spans="1:33" ht="7.5" customHeight="1" x14ac:dyDescent="0.25">
      <c r="A475" s="27"/>
      <c r="B475" s="39"/>
      <c r="C475" s="39"/>
      <c r="D475" s="39"/>
      <c r="E475" s="28"/>
      <c r="F475" s="27"/>
      <c r="G475" s="27"/>
      <c r="H475" s="27"/>
      <c r="I475" s="27"/>
      <c r="J475" s="30"/>
      <c r="K475" s="30"/>
      <c r="L475" s="29"/>
      <c r="M475" s="27"/>
      <c r="N475" s="27"/>
      <c r="O475" s="27"/>
      <c r="P475" s="27"/>
      <c r="Q475" s="29"/>
      <c r="R475" s="29"/>
      <c r="S475" s="29"/>
      <c r="T475" s="29"/>
      <c r="U475" s="27"/>
      <c r="V475" s="29"/>
      <c r="W475" s="29"/>
      <c r="X475" s="29"/>
      <c r="Y475" s="31"/>
      <c r="Z475" s="29"/>
      <c r="AA475" s="30"/>
      <c r="AB475" s="32"/>
      <c r="AC475" s="30"/>
      <c r="AD475" s="33"/>
      <c r="AE475" s="29"/>
      <c r="AF475" s="29"/>
      <c r="AG475" s="29"/>
    </row>
    <row r="476" spans="1:33" ht="15" customHeight="1" x14ac:dyDescent="0.25">
      <c r="A476" s="5">
        <v>37</v>
      </c>
      <c r="B476" s="38">
        <v>44082</v>
      </c>
      <c r="C476" s="38">
        <v>44068</v>
      </c>
      <c r="D476" s="38">
        <v>44061</v>
      </c>
      <c r="E476" s="37">
        <v>44082</v>
      </c>
      <c r="F476" s="5">
        <v>8754</v>
      </c>
      <c r="G476" s="5" t="s">
        <v>91</v>
      </c>
      <c r="H476" s="5" t="s">
        <v>40</v>
      </c>
      <c r="I476" s="5" t="s">
        <v>92</v>
      </c>
      <c r="J476" s="21" t="s">
        <v>147</v>
      </c>
      <c r="K476" s="21" t="s">
        <v>1576</v>
      </c>
      <c r="L476" s="6" t="s">
        <v>1577</v>
      </c>
      <c r="M476" s="5">
        <v>20</v>
      </c>
      <c r="N476" s="5" t="s">
        <v>91</v>
      </c>
      <c r="O476" s="5" t="s">
        <v>91</v>
      </c>
      <c r="P476" s="5" t="s">
        <v>91</v>
      </c>
      <c r="Q476" s="6" t="s">
        <v>105</v>
      </c>
      <c r="R476" s="6" t="s">
        <v>1578</v>
      </c>
      <c r="S476" s="6" t="s">
        <v>98</v>
      </c>
      <c r="T476" s="6"/>
      <c r="U476" s="5"/>
      <c r="V476" s="6"/>
      <c r="W476" s="6" t="s">
        <v>1579</v>
      </c>
      <c r="X476" s="6" t="s">
        <v>459</v>
      </c>
      <c r="Y476" s="22"/>
      <c r="Z476" s="6"/>
      <c r="AA476" s="21"/>
      <c r="AB476" s="23">
        <v>44062</v>
      </c>
      <c r="AC476" s="21" t="s">
        <v>30</v>
      </c>
      <c r="AD476" s="24" t="s">
        <v>1580</v>
      </c>
      <c r="AE476" s="6" t="s">
        <v>31</v>
      </c>
      <c r="AF476" s="6"/>
      <c r="AG476" s="6" t="s">
        <v>3042</v>
      </c>
    </row>
    <row r="477" spans="1:33" ht="7.5" customHeight="1" x14ac:dyDescent="0.25">
      <c r="A477" s="27"/>
      <c r="B477" s="39"/>
      <c r="C477" s="39"/>
      <c r="D477" s="39"/>
      <c r="E477" s="28"/>
      <c r="F477" s="27"/>
      <c r="G477" s="27"/>
      <c r="H477" s="27"/>
      <c r="I477" s="27"/>
      <c r="J477" s="30"/>
      <c r="K477" s="30"/>
      <c r="L477" s="29"/>
      <c r="M477" s="27"/>
      <c r="N477" s="27"/>
      <c r="O477" s="27"/>
      <c r="P477" s="27"/>
      <c r="Q477" s="29"/>
      <c r="R477" s="29"/>
      <c r="S477" s="29"/>
      <c r="T477" s="29"/>
      <c r="U477" s="27"/>
      <c r="V477" s="29"/>
      <c r="W477" s="29"/>
      <c r="X477" s="29"/>
      <c r="Y477" s="31"/>
      <c r="Z477" s="29"/>
      <c r="AA477" s="30"/>
      <c r="AB477" s="32"/>
      <c r="AC477" s="30"/>
      <c r="AD477" s="33"/>
      <c r="AE477" s="29"/>
      <c r="AF477" s="29"/>
      <c r="AG477" s="29"/>
    </row>
    <row r="478" spans="1:33" ht="15" customHeight="1" x14ac:dyDescent="0.25">
      <c r="A478" s="5">
        <v>38</v>
      </c>
      <c r="B478" s="38">
        <v>44089</v>
      </c>
      <c r="C478" s="38">
        <v>44068</v>
      </c>
      <c r="D478" s="38">
        <v>44061</v>
      </c>
      <c r="E478" s="34">
        <v>44089</v>
      </c>
      <c r="F478" s="5">
        <v>8748</v>
      </c>
      <c r="G478" s="5" t="s">
        <v>91</v>
      </c>
      <c r="H478" s="5" t="s">
        <v>43</v>
      </c>
      <c r="I478" s="5" t="s">
        <v>92</v>
      </c>
      <c r="J478" s="21" t="s">
        <v>147</v>
      </c>
      <c r="K478" s="21" t="s">
        <v>450</v>
      </c>
      <c r="L478" s="6" t="s">
        <v>451</v>
      </c>
      <c r="M478" s="5">
        <v>10</v>
      </c>
      <c r="N478" s="5" t="s">
        <v>91</v>
      </c>
      <c r="O478" s="5" t="s">
        <v>91</v>
      </c>
      <c r="P478" s="5" t="s">
        <v>91</v>
      </c>
      <c r="Q478" s="6" t="s">
        <v>452</v>
      </c>
      <c r="R478" s="6" t="s">
        <v>97</v>
      </c>
      <c r="S478" s="6" t="s">
        <v>265</v>
      </c>
      <c r="T478" s="6" t="s">
        <v>453</v>
      </c>
      <c r="U478" s="5"/>
      <c r="V478" s="6"/>
      <c r="W478" s="6" t="s">
        <v>454</v>
      </c>
      <c r="X478" s="6"/>
      <c r="Y478" s="22"/>
      <c r="Z478" s="6"/>
      <c r="AA478" s="21"/>
      <c r="AB478" s="23">
        <v>44060</v>
      </c>
      <c r="AC478" s="21" t="s">
        <v>30</v>
      </c>
      <c r="AD478" s="24" t="s">
        <v>455</v>
      </c>
      <c r="AE478" s="6" t="s">
        <v>36</v>
      </c>
      <c r="AF478" s="6"/>
      <c r="AG478" s="6" t="s">
        <v>3039</v>
      </c>
    </row>
    <row r="479" spans="1:33" ht="7.5" customHeight="1" x14ac:dyDescent="0.25">
      <c r="A479" s="27"/>
      <c r="B479" s="39"/>
      <c r="C479" s="39"/>
      <c r="D479" s="39"/>
      <c r="E479" s="28"/>
      <c r="F479" s="27"/>
      <c r="G479" s="27"/>
      <c r="H479" s="27"/>
      <c r="I479" s="27"/>
      <c r="J479" s="30"/>
      <c r="K479" s="30"/>
      <c r="L479" s="29"/>
      <c r="M479" s="27"/>
      <c r="N479" s="27"/>
      <c r="O479" s="27"/>
      <c r="P479" s="27"/>
      <c r="Q479" s="29"/>
      <c r="R479" s="29"/>
      <c r="S479" s="29"/>
      <c r="T479" s="29"/>
      <c r="U479" s="27"/>
      <c r="V479" s="29"/>
      <c r="W479" s="29"/>
      <c r="X479" s="29"/>
      <c r="Y479" s="31"/>
      <c r="Z479" s="29"/>
      <c r="AA479" s="30"/>
      <c r="AB479" s="32"/>
      <c r="AC479" s="30"/>
      <c r="AD479" s="33"/>
      <c r="AE479" s="29"/>
      <c r="AF479" s="29"/>
      <c r="AG479" s="29"/>
    </row>
    <row r="480" spans="1:33" ht="15" customHeight="1" x14ac:dyDescent="0.25">
      <c r="A480" s="5">
        <v>38</v>
      </c>
      <c r="B480" s="38">
        <v>44090</v>
      </c>
      <c r="C480" s="38">
        <v>44069</v>
      </c>
      <c r="D480" s="38">
        <v>44062</v>
      </c>
      <c r="E480" s="34">
        <v>44090</v>
      </c>
      <c r="F480" s="5">
        <v>2385</v>
      </c>
      <c r="G480" s="5" t="s">
        <v>91</v>
      </c>
      <c r="H480" s="5" t="s">
        <v>43</v>
      </c>
      <c r="I480" s="5" t="s">
        <v>92</v>
      </c>
      <c r="J480" s="21" t="s">
        <v>231</v>
      </c>
      <c r="K480" s="21" t="s">
        <v>463</v>
      </c>
      <c r="L480" s="6" t="s">
        <v>237</v>
      </c>
      <c r="M480" s="5">
        <v>14</v>
      </c>
      <c r="N480" s="5" t="s">
        <v>91</v>
      </c>
      <c r="O480" s="5" t="s">
        <v>91</v>
      </c>
      <c r="P480" s="5" t="s">
        <v>91</v>
      </c>
      <c r="Q480" s="6" t="s">
        <v>105</v>
      </c>
      <c r="R480" s="6" t="s">
        <v>112</v>
      </c>
      <c r="S480" s="6" t="s">
        <v>98</v>
      </c>
      <c r="T480" s="6" t="s">
        <v>238</v>
      </c>
      <c r="U480" s="5"/>
      <c r="V480" s="6"/>
      <c r="W480" s="6" t="s">
        <v>239</v>
      </c>
      <c r="X480" s="6" t="s">
        <v>240</v>
      </c>
      <c r="Y480" s="22"/>
      <c r="Z480" s="6"/>
      <c r="AA480" s="21" t="s">
        <v>241</v>
      </c>
      <c r="AB480" s="23">
        <v>44056</v>
      </c>
      <c r="AC480" s="21" t="s">
        <v>32</v>
      </c>
      <c r="AD480" s="24" t="s">
        <v>464</v>
      </c>
      <c r="AE480" s="6" t="s">
        <v>37</v>
      </c>
      <c r="AF480" s="6"/>
      <c r="AG480" s="6" t="s">
        <v>3042</v>
      </c>
    </row>
    <row r="481" spans="1:33" ht="7.5" customHeight="1" x14ac:dyDescent="0.25">
      <c r="A481" s="27"/>
      <c r="B481" s="39"/>
      <c r="C481" s="39"/>
      <c r="D481" s="39"/>
      <c r="E481" s="28"/>
      <c r="F481" s="27"/>
      <c r="G481" s="27"/>
      <c r="H481" s="27"/>
      <c r="I481" s="27"/>
      <c r="J481" s="30"/>
      <c r="K481" s="30"/>
      <c r="L481" s="29"/>
      <c r="M481" s="27"/>
      <c r="N481" s="27"/>
      <c r="O481" s="27"/>
      <c r="P481" s="27"/>
      <c r="Q481" s="29"/>
      <c r="R481" s="29"/>
      <c r="S481" s="29"/>
      <c r="T481" s="29"/>
      <c r="U481" s="27"/>
      <c r="V481" s="29"/>
      <c r="W481" s="29"/>
      <c r="X481" s="29"/>
      <c r="Y481" s="31"/>
      <c r="Z481" s="29"/>
      <c r="AA481" s="30"/>
      <c r="AB481" s="32"/>
      <c r="AC481" s="30"/>
      <c r="AD481" s="33"/>
      <c r="AE481" s="29"/>
      <c r="AF481" s="29"/>
      <c r="AG481" s="29"/>
    </row>
    <row r="482" spans="1:33" ht="15" customHeight="1" x14ac:dyDescent="0.25">
      <c r="A482" s="5">
        <v>37</v>
      </c>
      <c r="B482" s="38">
        <v>44083</v>
      </c>
      <c r="C482" s="38">
        <v>44069</v>
      </c>
      <c r="D482" s="38">
        <v>44062</v>
      </c>
      <c r="E482" s="37">
        <v>44083</v>
      </c>
      <c r="F482" s="5">
        <v>10683</v>
      </c>
      <c r="G482" s="5" t="s">
        <v>91</v>
      </c>
      <c r="H482" s="5" t="s">
        <v>40</v>
      </c>
      <c r="I482" s="5" t="s">
        <v>92</v>
      </c>
      <c r="J482" s="21" t="s">
        <v>170</v>
      </c>
      <c r="K482" s="21" t="s">
        <v>1581</v>
      </c>
      <c r="L482" s="6" t="s">
        <v>1582</v>
      </c>
      <c r="M482" s="5">
        <v>17</v>
      </c>
      <c r="N482" s="5" t="s">
        <v>91</v>
      </c>
      <c r="O482" s="5" t="s">
        <v>91</v>
      </c>
      <c r="P482" s="5" t="s">
        <v>91</v>
      </c>
      <c r="Q482" s="6" t="s">
        <v>105</v>
      </c>
      <c r="R482" s="6" t="s">
        <v>112</v>
      </c>
      <c r="S482" s="6"/>
      <c r="T482" s="6"/>
      <c r="U482" s="5"/>
      <c r="V482" s="6"/>
      <c r="W482" s="6" t="s">
        <v>259</v>
      </c>
      <c r="X482" s="6" t="s">
        <v>251</v>
      </c>
      <c r="Y482" s="22"/>
      <c r="Z482" s="6">
        <v>6.2</v>
      </c>
      <c r="AA482" s="21" t="s">
        <v>1583</v>
      </c>
      <c r="AB482" s="23">
        <v>44064</v>
      </c>
      <c r="AC482" s="21" t="s">
        <v>30</v>
      </c>
      <c r="AD482" s="24" t="s">
        <v>1584</v>
      </c>
      <c r="AE482" s="6" t="s">
        <v>37</v>
      </c>
      <c r="AF482" s="6"/>
      <c r="AG482" s="6" t="s">
        <v>3040</v>
      </c>
    </row>
    <row r="483" spans="1:33" ht="15" customHeight="1" x14ac:dyDescent="0.25">
      <c r="A483" s="5">
        <v>37</v>
      </c>
      <c r="B483" s="38">
        <v>44083</v>
      </c>
      <c r="C483" s="38">
        <v>44069</v>
      </c>
      <c r="D483" s="38">
        <v>44062</v>
      </c>
      <c r="E483" s="37">
        <v>44083</v>
      </c>
      <c r="F483" s="5">
        <v>10684</v>
      </c>
      <c r="G483" s="5" t="s">
        <v>91</v>
      </c>
      <c r="H483" s="5" t="s">
        <v>43</v>
      </c>
      <c r="I483" s="5" t="s">
        <v>92</v>
      </c>
      <c r="J483" s="21" t="s">
        <v>170</v>
      </c>
      <c r="K483" s="21" t="s">
        <v>1585</v>
      </c>
      <c r="L483" s="6" t="s">
        <v>1586</v>
      </c>
      <c r="M483" s="5">
        <v>2</v>
      </c>
      <c r="N483" s="5" t="s">
        <v>91</v>
      </c>
      <c r="O483" s="5" t="s">
        <v>91</v>
      </c>
      <c r="P483" s="5" t="s">
        <v>91</v>
      </c>
      <c r="Q483" s="6"/>
      <c r="R483" s="6" t="s">
        <v>112</v>
      </c>
      <c r="S483" s="6"/>
      <c r="T483" s="6"/>
      <c r="U483" s="5"/>
      <c r="V483" s="6"/>
      <c r="W483" s="6" t="s">
        <v>615</v>
      </c>
      <c r="X483" s="6" t="s">
        <v>1587</v>
      </c>
      <c r="Y483" s="22"/>
      <c r="Z483" s="6">
        <v>1</v>
      </c>
      <c r="AA483" s="21" t="s">
        <v>1588</v>
      </c>
      <c r="AB483" s="23">
        <v>44070</v>
      </c>
      <c r="AC483" s="21" t="s">
        <v>30</v>
      </c>
      <c r="AD483" s="24" t="s">
        <v>1589</v>
      </c>
      <c r="AE483" s="6" t="s">
        <v>36</v>
      </c>
      <c r="AF483" s="6"/>
      <c r="AG483" s="6" t="s">
        <v>3041</v>
      </c>
    </row>
    <row r="484" spans="1:33" ht="15" customHeight="1" x14ac:dyDescent="0.25">
      <c r="A484" s="5">
        <v>37</v>
      </c>
      <c r="B484" s="38">
        <v>44083</v>
      </c>
      <c r="C484" s="38">
        <v>44069</v>
      </c>
      <c r="D484" s="38">
        <v>44062</v>
      </c>
      <c r="E484" s="37">
        <v>44083</v>
      </c>
      <c r="F484" s="5">
        <v>10691</v>
      </c>
      <c r="G484" s="5" t="s">
        <v>91</v>
      </c>
      <c r="H484" s="5" t="s">
        <v>43</v>
      </c>
      <c r="I484" s="5" t="s">
        <v>92</v>
      </c>
      <c r="J484" s="21" t="s">
        <v>170</v>
      </c>
      <c r="K484" s="21" t="s">
        <v>1590</v>
      </c>
      <c r="L484" s="6" t="s">
        <v>1591</v>
      </c>
      <c r="M484" s="5">
        <v>0</v>
      </c>
      <c r="N484" s="5" t="s">
        <v>91</v>
      </c>
      <c r="O484" s="5" t="s">
        <v>91</v>
      </c>
      <c r="P484" s="5" t="s">
        <v>91</v>
      </c>
      <c r="Q484" s="6"/>
      <c r="R484" s="6" t="s">
        <v>112</v>
      </c>
      <c r="S484" s="6"/>
      <c r="T484" s="6"/>
      <c r="U484" s="5"/>
      <c r="V484" s="6"/>
      <c r="W484" s="6" t="s">
        <v>1592</v>
      </c>
      <c r="X484" s="6"/>
      <c r="Y484" s="22"/>
      <c r="Z484" s="6"/>
      <c r="AA484" s="21"/>
      <c r="AB484" s="23">
        <v>44081</v>
      </c>
      <c r="AC484" s="21" t="s">
        <v>30</v>
      </c>
      <c r="AD484" s="24" t="s">
        <v>1345</v>
      </c>
      <c r="AE484" s="6" t="s">
        <v>31</v>
      </c>
      <c r="AF484" s="6"/>
      <c r="AG484" s="6" t="s">
        <v>3039</v>
      </c>
    </row>
    <row r="485" spans="1:33" ht="15" customHeight="1" x14ac:dyDescent="0.25">
      <c r="A485" s="5">
        <v>37</v>
      </c>
      <c r="B485" s="38">
        <v>44083</v>
      </c>
      <c r="C485" s="38">
        <v>44069</v>
      </c>
      <c r="D485" s="38">
        <v>44062</v>
      </c>
      <c r="E485" s="37">
        <v>44083</v>
      </c>
      <c r="F485" s="5">
        <v>10692</v>
      </c>
      <c r="G485" s="5" t="s">
        <v>91</v>
      </c>
      <c r="H485" s="5" t="s">
        <v>43</v>
      </c>
      <c r="I485" s="5" t="s">
        <v>92</v>
      </c>
      <c r="J485" s="21" t="s">
        <v>170</v>
      </c>
      <c r="K485" s="21" t="s">
        <v>1593</v>
      </c>
      <c r="L485" s="6" t="s">
        <v>1594</v>
      </c>
      <c r="M485" s="5">
        <v>0</v>
      </c>
      <c r="N485" s="5" t="s">
        <v>91</v>
      </c>
      <c r="O485" s="5" t="s">
        <v>91</v>
      </c>
      <c r="P485" s="5" t="s">
        <v>91</v>
      </c>
      <c r="Q485" s="6" t="s">
        <v>96</v>
      </c>
      <c r="R485" s="6" t="s">
        <v>123</v>
      </c>
      <c r="S485" s="6"/>
      <c r="T485" s="6"/>
      <c r="U485" s="5"/>
      <c r="V485" s="6"/>
      <c r="W485" s="6" t="s">
        <v>1595</v>
      </c>
      <c r="X485" s="6"/>
      <c r="Y485" s="22"/>
      <c r="Z485" s="6"/>
      <c r="AA485" s="21" t="s">
        <v>1596</v>
      </c>
      <c r="AB485" s="23">
        <v>44081</v>
      </c>
      <c r="AC485" s="21" t="s">
        <v>30</v>
      </c>
      <c r="AD485" s="24" t="s">
        <v>1597</v>
      </c>
      <c r="AE485" s="6" t="s">
        <v>35</v>
      </c>
      <c r="AF485" s="6"/>
      <c r="AG485" s="6" t="s">
        <v>3040</v>
      </c>
    </row>
    <row r="486" spans="1:33" ht="7.5" customHeight="1" x14ac:dyDescent="0.25">
      <c r="A486" s="27"/>
      <c r="B486" s="39"/>
      <c r="C486" s="39"/>
      <c r="D486" s="39"/>
      <c r="E486" s="28"/>
      <c r="F486" s="27"/>
      <c r="G486" s="27"/>
      <c r="H486" s="27"/>
      <c r="I486" s="27"/>
      <c r="J486" s="30"/>
      <c r="K486" s="30"/>
      <c r="L486" s="29"/>
      <c r="M486" s="27"/>
      <c r="N486" s="27"/>
      <c r="O486" s="27"/>
      <c r="P486" s="27"/>
      <c r="Q486" s="29"/>
      <c r="R486" s="29"/>
      <c r="S486" s="29"/>
      <c r="T486" s="29"/>
      <c r="U486" s="27"/>
      <c r="V486" s="29"/>
      <c r="W486" s="29"/>
      <c r="X486" s="29"/>
      <c r="Y486" s="31"/>
      <c r="Z486" s="29"/>
      <c r="AA486" s="30"/>
      <c r="AB486" s="32"/>
      <c r="AC486" s="30"/>
      <c r="AD486" s="33"/>
      <c r="AE486" s="29"/>
      <c r="AF486" s="29"/>
      <c r="AG486" s="29"/>
    </row>
    <row r="487" spans="1:33" ht="15" customHeight="1" x14ac:dyDescent="0.25">
      <c r="A487" s="5">
        <v>36</v>
      </c>
      <c r="B487" s="38">
        <v>44078</v>
      </c>
      <c r="C487" s="38">
        <v>44069</v>
      </c>
      <c r="D487" s="38">
        <v>44060</v>
      </c>
      <c r="E487" s="28">
        <v>44078</v>
      </c>
      <c r="F487" s="5">
        <v>3074</v>
      </c>
      <c r="G487" s="5" t="s">
        <v>91</v>
      </c>
      <c r="H487" s="5" t="s">
        <v>41</v>
      </c>
      <c r="I487" s="5" t="s">
        <v>92</v>
      </c>
      <c r="J487" s="21" t="s">
        <v>93</v>
      </c>
      <c r="K487" s="21" t="s">
        <v>1502</v>
      </c>
      <c r="L487" s="6" t="s">
        <v>152</v>
      </c>
      <c r="M487" s="5">
        <v>0</v>
      </c>
      <c r="N487" s="5" t="s">
        <v>91</v>
      </c>
      <c r="O487" s="5" t="s">
        <v>91</v>
      </c>
      <c r="P487" s="5" t="s">
        <v>91</v>
      </c>
      <c r="Q487" s="6" t="s">
        <v>105</v>
      </c>
      <c r="R487" s="6" t="s">
        <v>106</v>
      </c>
      <c r="S487" s="6"/>
      <c r="T487" s="6"/>
      <c r="U487" s="5"/>
      <c r="V487" s="6" t="s">
        <v>1276</v>
      </c>
      <c r="W487" s="6" t="s">
        <v>106</v>
      </c>
      <c r="X487" s="6"/>
      <c r="Y487" s="22"/>
      <c r="Z487" s="6"/>
      <c r="AA487" s="21" t="s">
        <v>1503</v>
      </c>
      <c r="AB487" s="23">
        <v>44076</v>
      </c>
      <c r="AC487" s="21" t="s">
        <v>32</v>
      </c>
      <c r="AD487" s="24" t="s">
        <v>1504</v>
      </c>
      <c r="AE487" s="6" t="s">
        <v>35</v>
      </c>
      <c r="AF487" s="6"/>
      <c r="AG487" s="6" t="s">
        <v>3041</v>
      </c>
    </row>
    <row r="488" spans="1:33" ht="7.5" customHeight="1" x14ac:dyDescent="0.25">
      <c r="A488" s="27"/>
      <c r="B488" s="39"/>
      <c r="C488" s="39"/>
      <c r="D488" s="39"/>
      <c r="E488" s="28"/>
      <c r="F488" s="27"/>
      <c r="G488" s="27"/>
      <c r="H488" s="27"/>
      <c r="I488" s="27"/>
      <c r="J488" s="30"/>
      <c r="K488" s="30"/>
      <c r="L488" s="29"/>
      <c r="M488" s="27"/>
      <c r="N488" s="27"/>
      <c r="O488" s="27"/>
      <c r="P488" s="27"/>
      <c r="Q488" s="29"/>
      <c r="R488" s="29"/>
      <c r="S488" s="29"/>
      <c r="T488" s="29"/>
      <c r="U488" s="27"/>
      <c r="V488" s="29"/>
      <c r="W488" s="29"/>
      <c r="X488" s="29"/>
      <c r="Y488" s="31"/>
      <c r="Z488" s="29"/>
      <c r="AA488" s="30"/>
      <c r="AB488" s="32"/>
      <c r="AC488" s="30"/>
      <c r="AD488" s="33"/>
      <c r="AE488" s="29"/>
      <c r="AF488" s="29"/>
      <c r="AG488" s="29"/>
    </row>
    <row r="489" spans="1:33" ht="15" customHeight="1" x14ac:dyDescent="0.25">
      <c r="A489" s="5">
        <v>37</v>
      </c>
      <c r="B489" s="38">
        <v>44083</v>
      </c>
      <c r="C489" s="38">
        <v>44069</v>
      </c>
      <c r="D489" s="38">
        <v>44062</v>
      </c>
      <c r="E489" s="37">
        <v>44083</v>
      </c>
      <c r="F489" s="5">
        <v>3061</v>
      </c>
      <c r="G489" s="5" t="s">
        <v>91</v>
      </c>
      <c r="H489" s="5" t="s">
        <v>40</v>
      </c>
      <c r="I489" s="5" t="s">
        <v>92</v>
      </c>
      <c r="J489" s="21" t="s">
        <v>93</v>
      </c>
      <c r="K489" s="21" t="s">
        <v>1598</v>
      </c>
      <c r="L489" s="6" t="s">
        <v>95</v>
      </c>
      <c r="M489" s="5">
        <v>17</v>
      </c>
      <c r="N489" s="5" t="s">
        <v>91</v>
      </c>
      <c r="O489" s="5" t="s">
        <v>91</v>
      </c>
      <c r="P489" s="5" t="s">
        <v>91</v>
      </c>
      <c r="Q489" s="6" t="s">
        <v>105</v>
      </c>
      <c r="R489" s="6" t="s">
        <v>264</v>
      </c>
      <c r="S489" s="6" t="s">
        <v>98</v>
      </c>
      <c r="T489" s="6"/>
      <c r="U489" s="5"/>
      <c r="V489" s="6"/>
      <c r="W489" s="6" t="s">
        <v>1599</v>
      </c>
      <c r="X489" s="6" t="s">
        <v>1600</v>
      </c>
      <c r="Y489" s="22"/>
      <c r="Z489" s="6"/>
      <c r="AA489" s="21">
        <v>10158</v>
      </c>
      <c r="AB489" s="23">
        <v>44062</v>
      </c>
      <c r="AC489" s="21" t="s">
        <v>30</v>
      </c>
      <c r="AD489" s="24" t="s">
        <v>1601</v>
      </c>
      <c r="AE489" s="6" t="s">
        <v>31</v>
      </c>
      <c r="AF489" s="6"/>
      <c r="AG489" s="6" t="s">
        <v>3041</v>
      </c>
    </row>
    <row r="490" spans="1:33" ht="7.5" customHeight="1" x14ac:dyDescent="0.25">
      <c r="A490" s="27"/>
      <c r="B490" s="39"/>
      <c r="C490" s="39"/>
      <c r="D490" s="39"/>
      <c r="E490" s="28"/>
      <c r="F490" s="27"/>
      <c r="G490" s="27"/>
      <c r="H490" s="27"/>
      <c r="I490" s="27"/>
      <c r="J490" s="30"/>
      <c r="K490" s="30"/>
      <c r="L490" s="29"/>
      <c r="M490" s="27"/>
      <c r="N490" s="27"/>
      <c r="O490" s="27"/>
      <c r="P490" s="27"/>
      <c r="Q490" s="29"/>
      <c r="R490" s="29"/>
      <c r="S490" s="29"/>
      <c r="T490" s="29"/>
      <c r="U490" s="27"/>
      <c r="V490" s="29"/>
      <c r="W490" s="29"/>
      <c r="X490" s="29"/>
      <c r="Y490" s="31"/>
      <c r="Z490" s="29"/>
      <c r="AA490" s="30"/>
      <c r="AB490" s="32"/>
      <c r="AC490" s="30"/>
      <c r="AD490" s="33"/>
      <c r="AE490" s="29"/>
      <c r="AF490" s="29"/>
      <c r="AG490" s="29"/>
    </row>
    <row r="491" spans="1:33" ht="15" customHeight="1" x14ac:dyDescent="0.25">
      <c r="A491" s="5">
        <v>39</v>
      </c>
      <c r="B491" s="38">
        <v>44096</v>
      </c>
      <c r="C491" s="38">
        <v>44069</v>
      </c>
      <c r="D491" s="38">
        <v>44027</v>
      </c>
      <c r="E491" s="35">
        <v>44096</v>
      </c>
      <c r="F491" s="5">
        <v>3035</v>
      </c>
      <c r="G491" s="5" t="s">
        <v>91</v>
      </c>
      <c r="H491" s="5" t="s">
        <v>41</v>
      </c>
      <c r="I491" s="5" t="s">
        <v>92</v>
      </c>
      <c r="J491" s="21" t="s">
        <v>93</v>
      </c>
      <c r="K491" s="21" t="s">
        <v>378</v>
      </c>
      <c r="L491" s="6" t="s">
        <v>379</v>
      </c>
      <c r="M491" s="5">
        <v>0</v>
      </c>
      <c r="N491" s="5" t="s">
        <v>91</v>
      </c>
      <c r="O491" s="5" t="s">
        <v>91</v>
      </c>
      <c r="P491" s="5" t="s">
        <v>91</v>
      </c>
      <c r="Q491" s="6"/>
      <c r="R491" s="6" t="s">
        <v>380</v>
      </c>
      <c r="S491" s="6"/>
      <c r="T491" s="6"/>
      <c r="U491" s="5"/>
      <c r="V491" s="6" t="s">
        <v>381</v>
      </c>
      <c r="W491" s="6" t="s">
        <v>382</v>
      </c>
      <c r="X491" s="6" t="s">
        <v>383</v>
      </c>
      <c r="Y491" s="22"/>
      <c r="Z491" s="6"/>
      <c r="AA491" s="21">
        <v>10147</v>
      </c>
      <c r="AB491" s="23">
        <v>44028</v>
      </c>
      <c r="AC491" s="21" t="s">
        <v>33</v>
      </c>
      <c r="AD491" s="24" t="s">
        <v>115</v>
      </c>
      <c r="AE491" s="6" t="s">
        <v>36</v>
      </c>
      <c r="AF491" s="6"/>
      <c r="AG491" s="6" t="s">
        <v>3042</v>
      </c>
    </row>
    <row r="492" spans="1:33" ht="7.5" customHeight="1" x14ac:dyDescent="0.25">
      <c r="A492" s="27"/>
      <c r="B492" s="39"/>
      <c r="C492" s="39"/>
      <c r="D492" s="39"/>
      <c r="E492" s="28"/>
      <c r="F492" s="27"/>
      <c r="G492" s="27"/>
      <c r="H492" s="27"/>
      <c r="I492" s="27"/>
      <c r="J492" s="30"/>
      <c r="K492" s="30"/>
      <c r="L492" s="29"/>
      <c r="M492" s="27"/>
      <c r="N492" s="27"/>
      <c r="O492" s="27"/>
      <c r="P492" s="27"/>
      <c r="Q492" s="29"/>
      <c r="R492" s="29"/>
      <c r="S492" s="29"/>
      <c r="T492" s="29"/>
      <c r="U492" s="27"/>
      <c r="V492" s="29"/>
      <c r="W492" s="29"/>
      <c r="X492" s="29"/>
      <c r="Y492" s="31"/>
      <c r="Z492" s="29"/>
      <c r="AA492" s="30"/>
      <c r="AB492" s="32"/>
      <c r="AC492" s="30"/>
      <c r="AD492" s="33"/>
      <c r="AE492" s="29"/>
      <c r="AF492" s="29"/>
      <c r="AG492" s="29"/>
    </row>
    <row r="493" spans="1:33" ht="15" customHeight="1" x14ac:dyDescent="0.25">
      <c r="A493" s="5">
        <v>37</v>
      </c>
      <c r="B493" s="38">
        <v>44083</v>
      </c>
      <c r="C493" s="38">
        <v>44069</v>
      </c>
      <c r="D493" s="38">
        <v>44062</v>
      </c>
      <c r="E493" s="37">
        <v>44083</v>
      </c>
      <c r="F493" s="5">
        <v>12075</v>
      </c>
      <c r="G493" s="5" t="s">
        <v>91</v>
      </c>
      <c r="H493" s="5" t="s">
        <v>40</v>
      </c>
      <c r="I493" s="5" t="s">
        <v>92</v>
      </c>
      <c r="J493" s="21" t="s">
        <v>275</v>
      </c>
      <c r="K493" s="21" t="s">
        <v>1602</v>
      </c>
      <c r="L493" s="6" t="s">
        <v>1100</v>
      </c>
      <c r="M493" s="5">
        <v>11</v>
      </c>
      <c r="N493" s="5" t="s">
        <v>91</v>
      </c>
      <c r="O493" s="5" t="s">
        <v>91</v>
      </c>
      <c r="P493" s="5" t="s">
        <v>91</v>
      </c>
      <c r="Q493" s="6" t="s">
        <v>105</v>
      </c>
      <c r="R493" s="6" t="s">
        <v>123</v>
      </c>
      <c r="S493" s="6"/>
      <c r="T493" s="6"/>
      <c r="U493" s="5"/>
      <c r="V493" s="6"/>
      <c r="W493" s="6" t="s">
        <v>1603</v>
      </c>
      <c r="X493" s="6"/>
      <c r="Y493" s="22"/>
      <c r="Z493" s="6">
        <v>4</v>
      </c>
      <c r="AA493" s="21"/>
      <c r="AB493" s="23">
        <v>44061</v>
      </c>
      <c r="AC493" s="21" t="s">
        <v>30</v>
      </c>
      <c r="AD493" s="24" t="s">
        <v>1604</v>
      </c>
      <c r="AE493" s="6" t="s">
        <v>31</v>
      </c>
      <c r="AF493" s="6"/>
      <c r="AG493" s="6" t="s">
        <v>3042</v>
      </c>
    </row>
    <row r="494" spans="1:33" ht="15" customHeight="1" x14ac:dyDescent="0.25">
      <c r="A494" s="5">
        <v>37</v>
      </c>
      <c r="B494" s="38">
        <v>44083</v>
      </c>
      <c r="C494" s="38">
        <v>44069</v>
      </c>
      <c r="D494" s="38">
        <v>44062</v>
      </c>
      <c r="E494" s="37">
        <v>44083</v>
      </c>
      <c r="F494" s="5">
        <v>12082</v>
      </c>
      <c r="G494" s="5" t="s">
        <v>91</v>
      </c>
      <c r="H494" s="5" t="s">
        <v>43</v>
      </c>
      <c r="I494" s="5" t="s">
        <v>92</v>
      </c>
      <c r="J494" s="21" t="s">
        <v>275</v>
      </c>
      <c r="K494" s="21" t="s">
        <v>1605</v>
      </c>
      <c r="L494" s="6" t="s">
        <v>198</v>
      </c>
      <c r="M494" s="5">
        <v>1</v>
      </c>
      <c r="N494" s="5" t="s">
        <v>91</v>
      </c>
      <c r="O494" s="5" t="s">
        <v>91</v>
      </c>
      <c r="P494" s="5" t="s">
        <v>91</v>
      </c>
      <c r="Q494" s="6"/>
      <c r="R494" s="6" t="s">
        <v>123</v>
      </c>
      <c r="S494" s="6"/>
      <c r="T494" s="6"/>
      <c r="U494" s="5"/>
      <c r="V494" s="6"/>
      <c r="W494" s="6" t="s">
        <v>1606</v>
      </c>
      <c r="X494" s="6"/>
      <c r="Y494" s="22"/>
      <c r="Z494" s="6"/>
      <c r="AA494" s="21"/>
      <c r="AB494" s="23">
        <v>44070</v>
      </c>
      <c r="AC494" s="21" t="s">
        <v>33</v>
      </c>
      <c r="AD494" s="24" t="s">
        <v>1607</v>
      </c>
      <c r="AE494" s="6" t="s">
        <v>31</v>
      </c>
      <c r="AF494" s="6"/>
      <c r="AG494" s="6" t="s">
        <v>3039</v>
      </c>
    </row>
    <row r="495" spans="1:33" ht="15" customHeight="1" x14ac:dyDescent="0.25">
      <c r="A495" s="5">
        <v>37</v>
      </c>
      <c r="B495" s="38">
        <v>44083</v>
      </c>
      <c r="C495" s="38">
        <v>44069</v>
      </c>
      <c r="D495" s="38">
        <v>44062</v>
      </c>
      <c r="E495" s="37">
        <v>44083</v>
      </c>
      <c r="F495" s="5">
        <v>12085</v>
      </c>
      <c r="G495" s="5" t="s">
        <v>91</v>
      </c>
      <c r="H495" s="5" t="s">
        <v>43</v>
      </c>
      <c r="I495" s="5" t="s">
        <v>92</v>
      </c>
      <c r="J495" s="21" t="s">
        <v>275</v>
      </c>
      <c r="K495" s="21" t="s">
        <v>1608</v>
      </c>
      <c r="L495" s="6" t="s">
        <v>1609</v>
      </c>
      <c r="M495" s="5">
        <v>0</v>
      </c>
      <c r="N495" s="5" t="s">
        <v>91</v>
      </c>
      <c r="O495" s="5" t="s">
        <v>91</v>
      </c>
      <c r="P495" s="5" t="s">
        <v>91</v>
      </c>
      <c r="Q495" s="6"/>
      <c r="R495" s="6" t="s">
        <v>112</v>
      </c>
      <c r="S495" s="6"/>
      <c r="T495" s="6"/>
      <c r="U495" s="5"/>
      <c r="V495" s="6" t="s">
        <v>1610</v>
      </c>
      <c r="W495" s="6" t="s">
        <v>282</v>
      </c>
      <c r="X495" s="6"/>
      <c r="Y495" s="22"/>
      <c r="Z495" s="6"/>
      <c r="AA495" s="21"/>
      <c r="AB495" s="23">
        <v>44074</v>
      </c>
      <c r="AC495" s="21" t="s">
        <v>30</v>
      </c>
      <c r="AD495" s="24" t="s">
        <v>1611</v>
      </c>
      <c r="AE495" s="6" t="s">
        <v>35</v>
      </c>
      <c r="AF495" s="6"/>
      <c r="AG495" s="6" t="s">
        <v>3040</v>
      </c>
    </row>
    <row r="496" spans="1:33" ht="15" customHeight="1" x14ac:dyDescent="0.25">
      <c r="A496" s="5">
        <v>37</v>
      </c>
      <c r="B496" s="38">
        <v>44083</v>
      </c>
      <c r="C496" s="38">
        <v>44069</v>
      </c>
      <c r="D496" s="38">
        <v>44062</v>
      </c>
      <c r="E496" s="37">
        <v>44083</v>
      </c>
      <c r="F496" s="5">
        <v>7772</v>
      </c>
      <c r="G496" s="5" t="s">
        <v>91</v>
      </c>
      <c r="H496" s="5" t="s">
        <v>43</v>
      </c>
      <c r="I496" s="5" t="s">
        <v>92</v>
      </c>
      <c r="J496" s="21" t="s">
        <v>214</v>
      </c>
      <c r="K496" s="21" t="s">
        <v>1632</v>
      </c>
      <c r="L496" s="6" t="s">
        <v>1633</v>
      </c>
      <c r="M496" s="5">
        <v>0</v>
      </c>
      <c r="N496" s="5" t="s">
        <v>91</v>
      </c>
      <c r="O496" s="5" t="s">
        <v>91</v>
      </c>
      <c r="P496" s="5" t="s">
        <v>91</v>
      </c>
      <c r="Q496" s="6"/>
      <c r="R496" s="6" t="s">
        <v>223</v>
      </c>
      <c r="S496" s="6"/>
      <c r="T496" s="6"/>
      <c r="U496" s="5"/>
      <c r="V496" s="6" t="s">
        <v>113</v>
      </c>
      <c r="W496" s="6" t="s">
        <v>1634</v>
      </c>
      <c r="X496" s="6"/>
      <c r="Y496" s="22"/>
      <c r="Z496" s="6"/>
      <c r="AA496" s="21" t="s">
        <v>1635</v>
      </c>
      <c r="AB496" s="23">
        <v>44070</v>
      </c>
      <c r="AC496" s="21" t="s">
        <v>30</v>
      </c>
      <c r="AD496" s="24" t="s">
        <v>1636</v>
      </c>
      <c r="AE496" s="6" t="s">
        <v>38</v>
      </c>
      <c r="AF496" s="6"/>
      <c r="AG496" s="6" t="s">
        <v>3040</v>
      </c>
    </row>
    <row r="497" spans="1:33" ht="15" customHeight="1" x14ac:dyDescent="0.25">
      <c r="A497" s="5">
        <v>37</v>
      </c>
      <c r="B497" s="38">
        <v>44083</v>
      </c>
      <c r="C497" s="38">
        <v>44069</v>
      </c>
      <c r="D497" s="38">
        <v>44062</v>
      </c>
      <c r="E497" s="37">
        <v>44083</v>
      </c>
      <c r="F497" s="5">
        <v>7775</v>
      </c>
      <c r="G497" s="5" t="s">
        <v>91</v>
      </c>
      <c r="H497" s="5" t="s">
        <v>43</v>
      </c>
      <c r="I497" s="5" t="s">
        <v>92</v>
      </c>
      <c r="J497" s="21" t="s">
        <v>214</v>
      </c>
      <c r="K497" s="21" t="s">
        <v>1637</v>
      </c>
      <c r="L497" s="6" t="s">
        <v>321</v>
      </c>
      <c r="M497" s="5">
        <v>0</v>
      </c>
      <c r="N497" s="5" t="s">
        <v>91</v>
      </c>
      <c r="O497" s="5" t="s">
        <v>91</v>
      </c>
      <c r="P497" s="5" t="s">
        <v>91</v>
      </c>
      <c r="Q497" s="6" t="s">
        <v>105</v>
      </c>
      <c r="R497" s="6" t="s">
        <v>223</v>
      </c>
      <c r="S497" s="6"/>
      <c r="T497" s="6"/>
      <c r="U497" s="5"/>
      <c r="V497" s="6"/>
      <c r="W497" s="6" t="s">
        <v>224</v>
      </c>
      <c r="X497" s="6"/>
      <c r="Y497" s="22"/>
      <c r="Z497" s="6"/>
      <c r="AA497" s="21" t="s">
        <v>1638</v>
      </c>
      <c r="AB497" s="23">
        <v>44070</v>
      </c>
      <c r="AC497" s="21" t="s">
        <v>32</v>
      </c>
      <c r="AD497" s="24" t="s">
        <v>1639</v>
      </c>
      <c r="AE497" s="6" t="s">
        <v>31</v>
      </c>
      <c r="AF497" s="6"/>
      <c r="AG497" s="6" t="s">
        <v>3041</v>
      </c>
    </row>
    <row r="498" spans="1:33" ht="7.5" customHeight="1" x14ac:dyDescent="0.25">
      <c r="A498" s="27"/>
      <c r="B498" s="39"/>
      <c r="C498" s="39"/>
      <c r="D498" s="39"/>
      <c r="E498" s="28"/>
      <c r="F498" s="27"/>
      <c r="G498" s="27"/>
      <c r="H498" s="27"/>
      <c r="I498" s="27"/>
      <c r="J498" s="30"/>
      <c r="K498" s="30"/>
      <c r="L498" s="29"/>
      <c r="M498" s="27"/>
      <c r="N498" s="27"/>
      <c r="O498" s="27"/>
      <c r="P498" s="27"/>
      <c r="Q498" s="29"/>
      <c r="R498" s="29"/>
      <c r="S498" s="29"/>
      <c r="T498" s="29"/>
      <c r="U498" s="27"/>
      <c r="V498" s="29"/>
      <c r="W498" s="29"/>
      <c r="X498" s="29"/>
      <c r="Y498" s="31"/>
      <c r="Z498" s="29"/>
      <c r="AA498" s="30"/>
      <c r="AB498" s="32"/>
      <c r="AC498" s="30"/>
      <c r="AD498" s="33"/>
      <c r="AE498" s="29"/>
      <c r="AF498" s="29"/>
      <c r="AG498" s="29"/>
    </row>
    <row r="499" spans="1:33" ht="15" customHeight="1" x14ac:dyDescent="0.25">
      <c r="A499" s="5">
        <v>36</v>
      </c>
      <c r="B499" s="38">
        <v>44078</v>
      </c>
      <c r="C499" s="38">
        <v>44069</v>
      </c>
      <c r="D499" s="38">
        <v>44050</v>
      </c>
      <c r="E499" s="28">
        <v>44078</v>
      </c>
      <c r="F499" s="5">
        <v>9673</v>
      </c>
      <c r="G499" s="5" t="s">
        <v>91</v>
      </c>
      <c r="H499" s="5" t="s">
        <v>40</v>
      </c>
      <c r="I499" s="5" t="s">
        <v>92</v>
      </c>
      <c r="J499" s="21" t="s">
        <v>159</v>
      </c>
      <c r="K499" s="21">
        <v>257454</v>
      </c>
      <c r="L499" s="6" t="s">
        <v>1515</v>
      </c>
      <c r="M499" s="5">
        <v>47</v>
      </c>
      <c r="N499" s="5" t="s">
        <v>91</v>
      </c>
      <c r="O499" s="5" t="s">
        <v>91</v>
      </c>
      <c r="P499" s="5" t="s">
        <v>91</v>
      </c>
      <c r="Q499" s="6"/>
      <c r="R499" s="6" t="s">
        <v>979</v>
      </c>
      <c r="S499" s="6"/>
      <c r="T499" s="6"/>
      <c r="U499" s="5"/>
      <c r="V499" s="6"/>
      <c r="W499" s="6" t="s">
        <v>1516</v>
      </c>
      <c r="X499" s="6"/>
      <c r="Y499" s="22"/>
      <c r="Z499" s="6"/>
      <c r="AA499" s="21"/>
      <c r="AB499" s="23">
        <v>44056</v>
      </c>
      <c r="AC499" s="21" t="s">
        <v>32</v>
      </c>
      <c r="AD499" s="24" t="s">
        <v>1517</v>
      </c>
      <c r="AE499" s="6" t="s">
        <v>36</v>
      </c>
      <c r="AF499" s="6"/>
      <c r="AG499" s="6" t="s">
        <v>3040</v>
      </c>
    </row>
    <row r="500" spans="1:33" ht="7.5" customHeight="1" x14ac:dyDescent="0.25">
      <c r="A500" s="27"/>
      <c r="B500" s="39"/>
      <c r="C500" s="39"/>
      <c r="D500" s="39"/>
      <c r="E500" s="28"/>
      <c r="F500" s="27"/>
      <c r="G500" s="27"/>
      <c r="H500" s="27"/>
      <c r="I500" s="27"/>
      <c r="J500" s="30"/>
      <c r="K500" s="30"/>
      <c r="L500" s="29"/>
      <c r="M500" s="27"/>
      <c r="N500" s="27"/>
      <c r="O500" s="27"/>
      <c r="P500" s="27"/>
      <c r="Q500" s="29"/>
      <c r="R500" s="29"/>
      <c r="S500" s="29"/>
      <c r="T500" s="29"/>
      <c r="U500" s="27"/>
      <c r="V500" s="29"/>
      <c r="W500" s="29"/>
      <c r="X500" s="29"/>
      <c r="Y500" s="31"/>
      <c r="Z500" s="29"/>
      <c r="AA500" s="30"/>
      <c r="AB500" s="32"/>
      <c r="AC500" s="30"/>
      <c r="AD500" s="33"/>
      <c r="AE500" s="29"/>
      <c r="AF500" s="29"/>
      <c r="AG500" s="29"/>
    </row>
    <row r="501" spans="1:33" ht="15" customHeight="1" x14ac:dyDescent="0.25">
      <c r="A501" s="5">
        <v>37</v>
      </c>
      <c r="B501" s="38">
        <v>44083</v>
      </c>
      <c r="C501" s="38">
        <v>44069</v>
      </c>
      <c r="D501" s="38">
        <v>44062</v>
      </c>
      <c r="E501" s="37">
        <v>44083</v>
      </c>
      <c r="F501" s="5">
        <v>9679</v>
      </c>
      <c r="G501" s="5" t="s">
        <v>91</v>
      </c>
      <c r="H501" s="5" t="s">
        <v>43</v>
      </c>
      <c r="I501" s="5" t="s">
        <v>92</v>
      </c>
      <c r="J501" s="21" t="s">
        <v>159</v>
      </c>
      <c r="K501" s="21">
        <v>257597</v>
      </c>
      <c r="L501" s="6" t="s">
        <v>152</v>
      </c>
      <c r="M501" s="5">
        <v>6</v>
      </c>
      <c r="N501" s="5" t="s">
        <v>91</v>
      </c>
      <c r="O501" s="5" t="s">
        <v>91</v>
      </c>
      <c r="P501" s="5" t="s">
        <v>91</v>
      </c>
      <c r="Q501" s="6"/>
      <c r="R501" s="6" t="s">
        <v>163</v>
      </c>
      <c r="S501" s="6"/>
      <c r="T501" s="6"/>
      <c r="U501" s="5"/>
      <c r="V501" s="6" t="s">
        <v>164</v>
      </c>
      <c r="W501" s="6" t="s">
        <v>1640</v>
      </c>
      <c r="X501" s="6"/>
      <c r="Y501" s="22"/>
      <c r="Z501" s="6"/>
      <c r="AA501" s="21">
        <v>257597</v>
      </c>
      <c r="AB501" s="23">
        <v>44068</v>
      </c>
      <c r="AC501" s="21" t="s">
        <v>30</v>
      </c>
      <c r="AD501" s="24" t="s">
        <v>1641</v>
      </c>
      <c r="AE501" s="6" t="s">
        <v>36</v>
      </c>
      <c r="AF501" s="6"/>
      <c r="AG501" s="6" t="s">
        <v>3042</v>
      </c>
    </row>
    <row r="502" spans="1:33" ht="7.5" customHeight="1" x14ac:dyDescent="0.25">
      <c r="A502" s="27"/>
      <c r="B502" s="39"/>
      <c r="C502" s="39"/>
      <c r="D502" s="39"/>
      <c r="E502" s="28"/>
      <c r="F502" s="27"/>
      <c r="G502" s="27"/>
      <c r="H502" s="27"/>
      <c r="I502" s="27"/>
      <c r="J502" s="30"/>
      <c r="K502" s="30"/>
      <c r="L502" s="29"/>
      <c r="M502" s="27"/>
      <c r="N502" s="27"/>
      <c r="O502" s="27"/>
      <c r="P502" s="27"/>
      <c r="Q502" s="29"/>
      <c r="R502" s="29"/>
      <c r="S502" s="29"/>
      <c r="T502" s="29"/>
      <c r="U502" s="27"/>
      <c r="V502" s="29"/>
      <c r="W502" s="29"/>
      <c r="X502" s="29"/>
      <c r="Y502" s="31"/>
      <c r="Z502" s="29"/>
      <c r="AA502" s="30"/>
      <c r="AB502" s="32"/>
      <c r="AC502" s="30"/>
      <c r="AD502" s="33"/>
      <c r="AE502" s="29"/>
      <c r="AF502" s="29"/>
      <c r="AG502" s="29"/>
    </row>
    <row r="503" spans="1:33" ht="15" customHeight="1" x14ac:dyDescent="0.25">
      <c r="A503" s="5">
        <v>37</v>
      </c>
      <c r="B503" s="38">
        <v>44084</v>
      </c>
      <c r="C503" s="38">
        <v>44070</v>
      </c>
      <c r="D503" s="38">
        <v>44063</v>
      </c>
      <c r="E503" s="37">
        <v>44084</v>
      </c>
      <c r="F503" s="5">
        <v>3079</v>
      </c>
      <c r="G503" s="5" t="s">
        <v>91</v>
      </c>
      <c r="H503" s="5" t="s">
        <v>40</v>
      </c>
      <c r="I503" s="5" t="s">
        <v>92</v>
      </c>
      <c r="J503" s="21" t="s">
        <v>93</v>
      </c>
      <c r="K503" s="21" t="s">
        <v>520</v>
      </c>
      <c r="L503" s="6" t="s">
        <v>95</v>
      </c>
      <c r="M503" s="5">
        <v>1</v>
      </c>
      <c r="N503" s="5" t="s">
        <v>91</v>
      </c>
      <c r="O503" s="5" t="s">
        <v>91</v>
      </c>
      <c r="P503" s="5" t="s">
        <v>91</v>
      </c>
      <c r="Q503" s="6" t="s">
        <v>105</v>
      </c>
      <c r="R503" s="6" t="s">
        <v>106</v>
      </c>
      <c r="S503" s="6"/>
      <c r="T503" s="6"/>
      <c r="U503" s="5"/>
      <c r="V503" s="6"/>
      <c r="W503" s="6" t="s">
        <v>106</v>
      </c>
      <c r="X503" s="6"/>
      <c r="Y503" s="22"/>
      <c r="Z503" s="6"/>
      <c r="AA503" s="21"/>
      <c r="AB503" s="23">
        <v>44084</v>
      </c>
      <c r="AC503" s="21" t="s">
        <v>30</v>
      </c>
      <c r="AD503" s="24" t="s">
        <v>522</v>
      </c>
      <c r="AE503" s="6" t="s">
        <v>31</v>
      </c>
      <c r="AF503" s="6"/>
      <c r="AG503" s="6" t="s">
        <v>3040</v>
      </c>
    </row>
    <row r="504" spans="1:33" ht="7.5" customHeight="1" x14ac:dyDescent="0.25">
      <c r="A504" s="27"/>
      <c r="B504" s="39"/>
      <c r="C504" s="39"/>
      <c r="D504" s="39"/>
      <c r="E504" s="28"/>
      <c r="F504" s="27"/>
      <c r="G504" s="27"/>
      <c r="H504" s="27"/>
      <c r="I504" s="27"/>
      <c r="J504" s="30"/>
      <c r="K504" s="30"/>
      <c r="L504" s="29"/>
      <c r="M504" s="27"/>
      <c r="N504" s="27"/>
      <c r="O504" s="27"/>
      <c r="P504" s="27"/>
      <c r="Q504" s="29"/>
      <c r="R504" s="29"/>
      <c r="S504" s="29"/>
      <c r="T504" s="29"/>
      <c r="U504" s="27"/>
      <c r="V504" s="29"/>
      <c r="W504" s="29"/>
      <c r="X504" s="29"/>
      <c r="Y504" s="31"/>
      <c r="Z504" s="29"/>
      <c r="AA504" s="30"/>
      <c r="AB504" s="32"/>
      <c r="AC504" s="30"/>
      <c r="AD504" s="33"/>
      <c r="AE504" s="29"/>
      <c r="AF504" s="29"/>
      <c r="AG504" s="29"/>
    </row>
    <row r="505" spans="1:33" ht="15" customHeight="1" x14ac:dyDescent="0.25">
      <c r="A505" s="5">
        <v>38</v>
      </c>
      <c r="B505" s="38">
        <v>44091</v>
      </c>
      <c r="C505" s="38">
        <v>44070</v>
      </c>
      <c r="D505" s="38">
        <v>44063</v>
      </c>
      <c r="E505" s="34">
        <v>44091</v>
      </c>
      <c r="F505" s="5">
        <v>3069</v>
      </c>
      <c r="G505" s="5" t="s">
        <v>91</v>
      </c>
      <c r="H505" s="5" t="s">
        <v>43</v>
      </c>
      <c r="I505" s="5" t="s">
        <v>92</v>
      </c>
      <c r="J505" s="21" t="s">
        <v>93</v>
      </c>
      <c r="K505" s="21" t="s">
        <v>513</v>
      </c>
      <c r="L505" s="6" t="s">
        <v>514</v>
      </c>
      <c r="M505" s="5">
        <v>20</v>
      </c>
      <c r="N505" s="5" t="s">
        <v>91</v>
      </c>
      <c r="O505" s="5" t="s">
        <v>91</v>
      </c>
      <c r="P505" s="5" t="s">
        <v>91</v>
      </c>
      <c r="Q505" s="6" t="s">
        <v>105</v>
      </c>
      <c r="R505" s="6" t="s">
        <v>515</v>
      </c>
      <c r="S505" s="6" t="s">
        <v>516</v>
      </c>
      <c r="T505" s="6"/>
      <c r="U505" s="5"/>
      <c r="V505" s="6" t="s">
        <v>272</v>
      </c>
      <c r="W505" s="6" t="s">
        <v>517</v>
      </c>
      <c r="X505" s="6" t="s">
        <v>518</v>
      </c>
      <c r="Y505" s="22"/>
      <c r="Z505" s="6"/>
      <c r="AA505" s="21">
        <v>10122</v>
      </c>
      <c r="AB505" s="23">
        <v>44070</v>
      </c>
      <c r="AC505" s="21" t="s">
        <v>30</v>
      </c>
      <c r="AD505" s="24" t="s">
        <v>519</v>
      </c>
      <c r="AE505" s="6" t="s">
        <v>36</v>
      </c>
      <c r="AF505" s="6"/>
      <c r="AG505" s="6" t="s">
        <v>3042</v>
      </c>
    </row>
    <row r="506" spans="1:33" ht="7.5" customHeight="1" x14ac:dyDescent="0.25">
      <c r="A506" s="27"/>
      <c r="B506" s="39"/>
      <c r="C506" s="39"/>
      <c r="D506" s="39"/>
      <c r="E506" s="28"/>
      <c r="F506" s="27"/>
      <c r="G506" s="27"/>
      <c r="H506" s="27"/>
      <c r="I506" s="27"/>
      <c r="J506" s="30"/>
      <c r="K506" s="30"/>
      <c r="L506" s="29"/>
      <c r="M506" s="27"/>
      <c r="N506" s="27"/>
      <c r="O506" s="27"/>
      <c r="P506" s="27"/>
      <c r="Q506" s="29"/>
      <c r="R506" s="29"/>
      <c r="S506" s="29"/>
      <c r="T506" s="29"/>
      <c r="U506" s="27"/>
      <c r="V506" s="29"/>
      <c r="W506" s="29"/>
      <c r="X506" s="29"/>
      <c r="Y506" s="31"/>
      <c r="Z506" s="29"/>
      <c r="AA506" s="30"/>
      <c r="AB506" s="32"/>
      <c r="AC506" s="30"/>
      <c r="AD506" s="33"/>
      <c r="AE506" s="29"/>
      <c r="AF506" s="29"/>
      <c r="AG506" s="29"/>
    </row>
    <row r="507" spans="1:33" ht="15" customHeight="1" x14ac:dyDescent="0.25">
      <c r="A507" s="5">
        <v>37</v>
      </c>
      <c r="B507" s="38">
        <v>44081</v>
      </c>
      <c r="C507" s="38">
        <v>44070</v>
      </c>
      <c r="D507" s="38">
        <v>44056</v>
      </c>
      <c r="E507" s="37">
        <v>44081</v>
      </c>
      <c r="F507" s="5">
        <v>4820</v>
      </c>
      <c r="G507" s="5" t="s">
        <v>91</v>
      </c>
      <c r="H507" s="5" t="s">
        <v>43</v>
      </c>
      <c r="I507" s="5" t="s">
        <v>92</v>
      </c>
      <c r="J507" s="21" t="s">
        <v>109</v>
      </c>
      <c r="K507" s="21" t="s">
        <v>1532</v>
      </c>
      <c r="L507" s="6" t="s">
        <v>122</v>
      </c>
      <c r="M507" s="5">
        <v>13</v>
      </c>
      <c r="N507" s="5" t="s">
        <v>91</v>
      </c>
      <c r="O507" s="5" t="s">
        <v>91</v>
      </c>
      <c r="P507" s="5" t="s">
        <v>91</v>
      </c>
      <c r="Q507" s="6"/>
      <c r="R507" s="6" t="s">
        <v>112</v>
      </c>
      <c r="S507" s="6"/>
      <c r="T507" s="6"/>
      <c r="U507" s="5"/>
      <c r="V507" s="6"/>
      <c r="W507" s="6" t="s">
        <v>496</v>
      </c>
      <c r="X507" s="6"/>
      <c r="Y507" s="22"/>
      <c r="Z507" s="6">
        <v>4.3</v>
      </c>
      <c r="AA507" s="21">
        <v>15435</v>
      </c>
      <c r="AB507" s="23">
        <v>44063</v>
      </c>
      <c r="AC507" s="21" t="s">
        <v>32</v>
      </c>
      <c r="AD507" s="24" t="s">
        <v>1533</v>
      </c>
      <c r="AE507" s="6" t="s">
        <v>36</v>
      </c>
      <c r="AF507" s="6"/>
      <c r="AG507" s="6" t="s">
        <v>3041</v>
      </c>
    </row>
    <row r="508" spans="1:33" ht="7.5" customHeight="1" x14ac:dyDescent="0.25">
      <c r="A508" s="27"/>
      <c r="B508" s="39"/>
      <c r="C508" s="39"/>
      <c r="D508" s="39"/>
      <c r="E508" s="28"/>
      <c r="F508" s="27"/>
      <c r="G508" s="27"/>
      <c r="H508" s="27"/>
      <c r="I508" s="27"/>
      <c r="J508" s="30"/>
      <c r="K508" s="30"/>
      <c r="L508" s="29"/>
      <c r="M508" s="27"/>
      <c r="N508" s="27"/>
      <c r="O508" s="27"/>
      <c r="P508" s="27"/>
      <c r="Q508" s="29"/>
      <c r="R508" s="29"/>
      <c r="S508" s="29"/>
      <c r="T508" s="29"/>
      <c r="U508" s="27"/>
      <c r="V508" s="29"/>
      <c r="W508" s="29"/>
      <c r="X508" s="29"/>
      <c r="Y508" s="31"/>
      <c r="Z508" s="29"/>
      <c r="AA508" s="30"/>
      <c r="AB508" s="32"/>
      <c r="AC508" s="30"/>
      <c r="AD508" s="33"/>
      <c r="AE508" s="29"/>
      <c r="AF508" s="29"/>
      <c r="AG508" s="29"/>
    </row>
    <row r="509" spans="1:33" ht="15" customHeight="1" x14ac:dyDescent="0.25">
      <c r="A509" s="5">
        <v>37</v>
      </c>
      <c r="B509" s="38">
        <v>44084</v>
      </c>
      <c r="C509" s="38">
        <v>44070</v>
      </c>
      <c r="D509" s="38">
        <v>44063</v>
      </c>
      <c r="E509" s="37">
        <v>44084</v>
      </c>
      <c r="F509" s="5">
        <v>4814</v>
      </c>
      <c r="G509" s="5" t="s">
        <v>91</v>
      </c>
      <c r="H509" s="5" t="s">
        <v>40</v>
      </c>
      <c r="I509" s="5" t="s">
        <v>92</v>
      </c>
      <c r="J509" s="21" t="s">
        <v>109</v>
      </c>
      <c r="K509" s="21" t="s">
        <v>324</v>
      </c>
      <c r="L509" s="6" t="s">
        <v>1646</v>
      </c>
      <c r="M509" s="5">
        <v>5</v>
      </c>
      <c r="N509" s="5" t="s">
        <v>91</v>
      </c>
      <c r="O509" s="5" t="s">
        <v>91</v>
      </c>
      <c r="P509" s="5" t="s">
        <v>91</v>
      </c>
      <c r="Q509" s="6" t="s">
        <v>105</v>
      </c>
      <c r="R509" s="6" t="s">
        <v>112</v>
      </c>
      <c r="S509" s="6"/>
      <c r="T509" s="6"/>
      <c r="U509" s="5"/>
      <c r="V509" s="6"/>
      <c r="W509" s="6" t="s">
        <v>1647</v>
      </c>
      <c r="X509" s="6"/>
      <c r="Y509" s="22"/>
      <c r="Z509" s="6">
        <v>2.4</v>
      </c>
      <c r="AA509" s="21">
        <v>15309</v>
      </c>
      <c r="AB509" s="23">
        <v>44061</v>
      </c>
      <c r="AC509" s="21" t="s">
        <v>30</v>
      </c>
      <c r="AD509" s="24" t="s">
        <v>1648</v>
      </c>
      <c r="AE509" s="6" t="s">
        <v>37</v>
      </c>
      <c r="AF509" s="6"/>
      <c r="AG509" s="6" t="s">
        <v>3041</v>
      </c>
    </row>
    <row r="510" spans="1:33" ht="15" customHeight="1" x14ac:dyDescent="0.25">
      <c r="A510" s="5">
        <v>37</v>
      </c>
      <c r="B510" s="38">
        <v>44084</v>
      </c>
      <c r="C510" s="38">
        <v>44070</v>
      </c>
      <c r="D510" s="38">
        <v>44063</v>
      </c>
      <c r="E510" s="37">
        <v>44084</v>
      </c>
      <c r="F510" s="5">
        <v>4830</v>
      </c>
      <c r="G510" s="5" t="s">
        <v>91</v>
      </c>
      <c r="H510" s="5" t="s">
        <v>41</v>
      </c>
      <c r="I510" s="5" t="s">
        <v>92</v>
      </c>
      <c r="J510" s="21" t="s">
        <v>109</v>
      </c>
      <c r="K510" s="21" t="s">
        <v>1649</v>
      </c>
      <c r="L510" s="6" t="s">
        <v>1650</v>
      </c>
      <c r="M510" s="5">
        <v>0</v>
      </c>
      <c r="N510" s="5" t="s">
        <v>91</v>
      </c>
      <c r="O510" s="5" t="s">
        <v>91</v>
      </c>
      <c r="P510" s="5" t="s">
        <v>91</v>
      </c>
      <c r="Q510" s="6"/>
      <c r="R510" s="6" t="s">
        <v>112</v>
      </c>
      <c r="S510" s="6"/>
      <c r="T510" s="6"/>
      <c r="U510" s="5"/>
      <c r="V510" s="6" t="s">
        <v>301</v>
      </c>
      <c r="W510" s="6" t="s">
        <v>124</v>
      </c>
      <c r="X510" s="6"/>
      <c r="Y510" s="22"/>
      <c r="Z510" s="6"/>
      <c r="AA510" s="21" t="s">
        <v>1651</v>
      </c>
      <c r="AB510" s="23">
        <v>44078</v>
      </c>
      <c r="AC510" s="21" t="s">
        <v>32</v>
      </c>
      <c r="AD510" s="24" t="s">
        <v>1652</v>
      </c>
      <c r="AE510" s="6" t="s">
        <v>34</v>
      </c>
      <c r="AF510" s="6"/>
      <c r="AG510" s="6" t="s">
        <v>3042</v>
      </c>
    </row>
    <row r="511" spans="1:33" ht="7.5" customHeight="1" x14ac:dyDescent="0.25">
      <c r="A511" s="27"/>
      <c r="B511" s="39"/>
      <c r="C511" s="39"/>
      <c r="D511" s="39"/>
      <c r="E511" s="28"/>
      <c r="F511" s="27"/>
      <c r="G511" s="27"/>
      <c r="H511" s="27"/>
      <c r="I511" s="27"/>
      <c r="J511" s="30"/>
      <c r="K511" s="30"/>
      <c r="L511" s="29"/>
      <c r="M511" s="27"/>
      <c r="N511" s="27"/>
      <c r="O511" s="27"/>
      <c r="P511" s="27"/>
      <c r="Q511" s="29"/>
      <c r="R511" s="29"/>
      <c r="S511" s="29"/>
      <c r="T511" s="29"/>
      <c r="U511" s="27"/>
      <c r="V511" s="29"/>
      <c r="W511" s="29"/>
      <c r="X511" s="29"/>
      <c r="Y511" s="31"/>
      <c r="Z511" s="29"/>
      <c r="AA511" s="30"/>
      <c r="AB511" s="32"/>
      <c r="AC511" s="30"/>
      <c r="AD511" s="33"/>
      <c r="AE511" s="29"/>
      <c r="AF511" s="29"/>
      <c r="AG511" s="29"/>
    </row>
    <row r="512" spans="1:33" ht="15" customHeight="1" x14ac:dyDescent="0.25">
      <c r="A512" s="5">
        <v>37</v>
      </c>
      <c r="B512" s="38">
        <v>44081</v>
      </c>
      <c r="C512" s="38">
        <v>44070</v>
      </c>
      <c r="D512" s="38">
        <v>44029</v>
      </c>
      <c r="E512" s="37">
        <v>44081</v>
      </c>
      <c r="F512" s="5">
        <v>5637</v>
      </c>
      <c r="G512" s="5" t="s">
        <v>91</v>
      </c>
      <c r="H512" s="5" t="s">
        <v>41</v>
      </c>
      <c r="I512" s="5" t="s">
        <v>92</v>
      </c>
      <c r="J512" s="21" t="s">
        <v>131</v>
      </c>
      <c r="K512" s="21" t="s">
        <v>1534</v>
      </c>
      <c r="L512" s="6" t="s">
        <v>216</v>
      </c>
      <c r="M512" s="5">
        <v>19</v>
      </c>
      <c r="N512" s="5" t="s">
        <v>91</v>
      </c>
      <c r="O512" s="5" t="s">
        <v>91</v>
      </c>
      <c r="P512" s="5" t="s">
        <v>91</v>
      </c>
      <c r="Q512" s="6"/>
      <c r="R512" s="6" t="s">
        <v>112</v>
      </c>
      <c r="S512" s="6"/>
      <c r="T512" s="6"/>
      <c r="U512" s="5"/>
      <c r="V512" s="6"/>
      <c r="W512" s="6" t="s">
        <v>1535</v>
      </c>
      <c r="X512" s="6"/>
      <c r="Y512" s="22"/>
      <c r="Z512" s="6">
        <v>7.5</v>
      </c>
      <c r="AA512" s="21"/>
      <c r="AB512" s="23">
        <v>44061</v>
      </c>
      <c r="AC512" s="21" t="s">
        <v>30</v>
      </c>
      <c r="AD512" s="24" t="s">
        <v>1536</v>
      </c>
      <c r="AE512" s="6" t="s">
        <v>31</v>
      </c>
      <c r="AF512" s="6"/>
      <c r="AG512" s="6" t="s">
        <v>3042</v>
      </c>
    </row>
    <row r="513" spans="1:33" ht="7.5" customHeight="1" x14ac:dyDescent="0.25">
      <c r="A513" s="27"/>
      <c r="B513" s="39"/>
      <c r="C513" s="39"/>
      <c r="D513" s="39"/>
      <c r="E513" s="28"/>
      <c r="F513" s="27"/>
      <c r="G513" s="27"/>
      <c r="H513" s="27"/>
      <c r="I513" s="27"/>
      <c r="J513" s="30"/>
      <c r="K513" s="30"/>
      <c r="L513" s="29"/>
      <c r="M513" s="27"/>
      <c r="N513" s="27"/>
      <c r="O513" s="27"/>
      <c r="P513" s="27"/>
      <c r="Q513" s="29"/>
      <c r="R513" s="29"/>
      <c r="S513" s="29"/>
      <c r="T513" s="29"/>
      <c r="U513" s="27"/>
      <c r="V513" s="29"/>
      <c r="W513" s="29"/>
      <c r="X513" s="29"/>
      <c r="Y513" s="31"/>
      <c r="Z513" s="29"/>
      <c r="AA513" s="30"/>
      <c r="AB513" s="32"/>
      <c r="AC513" s="30"/>
      <c r="AD513" s="33"/>
      <c r="AE513" s="29"/>
      <c r="AF513" s="29"/>
      <c r="AG513" s="29"/>
    </row>
    <row r="514" spans="1:33" ht="15" customHeight="1" x14ac:dyDescent="0.25">
      <c r="A514" s="5">
        <v>38</v>
      </c>
      <c r="B514" s="38">
        <v>44088</v>
      </c>
      <c r="C514" s="38">
        <v>44070</v>
      </c>
      <c r="D514" s="38">
        <v>44034</v>
      </c>
      <c r="E514" s="34">
        <v>44088</v>
      </c>
      <c r="F514" s="5">
        <v>5621</v>
      </c>
      <c r="G514" s="5" t="s">
        <v>91</v>
      </c>
      <c r="H514" s="5" t="s">
        <v>41</v>
      </c>
      <c r="I514" s="5" t="s">
        <v>92</v>
      </c>
      <c r="J514" s="21" t="s">
        <v>131</v>
      </c>
      <c r="K514" s="21" t="s">
        <v>1699</v>
      </c>
      <c r="L514" s="6" t="s">
        <v>95</v>
      </c>
      <c r="M514" s="5">
        <v>0</v>
      </c>
      <c r="N514" s="5" t="s">
        <v>91</v>
      </c>
      <c r="O514" s="5" t="s">
        <v>91</v>
      </c>
      <c r="P514" s="5" t="s">
        <v>91</v>
      </c>
      <c r="Q514" s="6" t="s">
        <v>105</v>
      </c>
      <c r="R514" s="6" t="s">
        <v>112</v>
      </c>
      <c r="S514" s="6"/>
      <c r="T514" s="6"/>
      <c r="U514" s="5"/>
      <c r="V514" s="6"/>
      <c r="W514" s="6" t="s">
        <v>429</v>
      </c>
      <c r="X514" s="6"/>
      <c r="Y514" s="22"/>
      <c r="Z514" s="6">
        <v>0</v>
      </c>
      <c r="AA514" s="21"/>
      <c r="AB514" s="23">
        <v>44043</v>
      </c>
      <c r="AC514" s="21" t="s">
        <v>30</v>
      </c>
      <c r="AD514" s="24" t="s">
        <v>115</v>
      </c>
      <c r="AE514" s="6" t="s">
        <v>31</v>
      </c>
      <c r="AF514" s="6"/>
      <c r="AG514" s="6" t="s">
        <v>3039</v>
      </c>
    </row>
    <row r="515" spans="1:33" ht="7.5" customHeight="1" x14ac:dyDescent="0.25">
      <c r="A515" s="27"/>
      <c r="B515" s="39"/>
      <c r="C515" s="39"/>
      <c r="D515" s="39"/>
      <c r="E515" s="28"/>
      <c r="F515" s="27"/>
      <c r="G515" s="27"/>
      <c r="H515" s="27"/>
      <c r="I515" s="27"/>
      <c r="J515" s="30"/>
      <c r="K515" s="30"/>
      <c r="L515" s="29"/>
      <c r="M515" s="27"/>
      <c r="N515" s="27"/>
      <c r="O515" s="27"/>
      <c r="P515" s="27"/>
      <c r="Q515" s="29"/>
      <c r="R515" s="29"/>
      <c r="S515" s="29"/>
      <c r="T515" s="29"/>
      <c r="U515" s="27"/>
      <c r="V515" s="29"/>
      <c r="W515" s="29"/>
      <c r="X515" s="29"/>
      <c r="Y515" s="31"/>
      <c r="Z515" s="29"/>
      <c r="AA515" s="30"/>
      <c r="AB515" s="32"/>
      <c r="AC515" s="30"/>
      <c r="AD515" s="33"/>
      <c r="AE515" s="29"/>
      <c r="AF515" s="29"/>
      <c r="AG515" s="29"/>
    </row>
    <row r="516" spans="1:33" ht="15" customHeight="1" x14ac:dyDescent="0.25">
      <c r="A516" s="5">
        <v>39</v>
      </c>
      <c r="B516" s="38">
        <v>44095</v>
      </c>
      <c r="C516" s="38">
        <v>44070</v>
      </c>
      <c r="D516" s="38">
        <v>44055</v>
      </c>
      <c r="E516" s="35">
        <v>44095</v>
      </c>
      <c r="F516" s="5">
        <v>5639</v>
      </c>
      <c r="G516" s="5" t="s">
        <v>91</v>
      </c>
      <c r="H516" s="5" t="s">
        <v>41</v>
      </c>
      <c r="I516" s="5" t="s">
        <v>92</v>
      </c>
      <c r="J516" s="21" t="s">
        <v>131</v>
      </c>
      <c r="K516" s="21" t="s">
        <v>327</v>
      </c>
      <c r="L516" s="6" t="s">
        <v>328</v>
      </c>
      <c r="M516" s="5">
        <v>0</v>
      </c>
      <c r="N516" s="5" t="s">
        <v>91</v>
      </c>
      <c r="O516" s="5" t="s">
        <v>91</v>
      </c>
      <c r="P516" s="5" t="s">
        <v>91</v>
      </c>
      <c r="Q516" s="6" t="s">
        <v>105</v>
      </c>
      <c r="R516" s="6" t="s">
        <v>112</v>
      </c>
      <c r="S516" s="6"/>
      <c r="T516" s="6"/>
      <c r="U516" s="5"/>
      <c r="V516" s="6"/>
      <c r="W516" s="6" t="s">
        <v>329</v>
      </c>
      <c r="X516" s="6"/>
      <c r="Y516" s="22"/>
      <c r="Z516" s="6"/>
      <c r="AA516" s="21"/>
      <c r="AB516" s="23">
        <v>44061</v>
      </c>
      <c r="AC516" s="21" t="s">
        <v>32</v>
      </c>
      <c r="AD516" s="24" t="s">
        <v>330</v>
      </c>
      <c r="AE516" s="6" t="s">
        <v>31</v>
      </c>
      <c r="AF516" s="6"/>
      <c r="AG516" s="6" t="s">
        <v>3039</v>
      </c>
    </row>
    <row r="517" spans="1:33" ht="7.5" customHeight="1" x14ac:dyDescent="0.25">
      <c r="A517" s="27"/>
      <c r="B517" s="39"/>
      <c r="C517" s="39"/>
      <c r="D517" s="39"/>
      <c r="E517" s="28"/>
      <c r="F517" s="27"/>
      <c r="G517" s="27"/>
      <c r="H517" s="27"/>
      <c r="I517" s="27"/>
      <c r="J517" s="30"/>
      <c r="K517" s="30"/>
      <c r="L517" s="29"/>
      <c r="M517" s="27"/>
      <c r="N517" s="27"/>
      <c r="O517" s="27"/>
      <c r="P517" s="27"/>
      <c r="Q517" s="29"/>
      <c r="R517" s="29"/>
      <c r="S517" s="29"/>
      <c r="T517" s="29"/>
      <c r="U517" s="27"/>
      <c r="V517" s="29"/>
      <c r="W517" s="29"/>
      <c r="X517" s="29"/>
      <c r="Y517" s="31"/>
      <c r="Z517" s="29"/>
      <c r="AA517" s="30"/>
      <c r="AB517" s="32"/>
      <c r="AC517" s="30"/>
      <c r="AD517" s="33"/>
      <c r="AE517" s="29"/>
      <c r="AF517" s="29"/>
      <c r="AG517" s="29"/>
    </row>
    <row r="518" spans="1:33" ht="15" customHeight="1" x14ac:dyDescent="0.25">
      <c r="A518" s="5">
        <v>39</v>
      </c>
      <c r="B518" s="38">
        <v>44097</v>
      </c>
      <c r="C518" s="38">
        <v>44070</v>
      </c>
      <c r="D518" s="38">
        <v>44057</v>
      </c>
      <c r="E518" s="35">
        <v>44097</v>
      </c>
      <c r="F518" s="5">
        <v>5640</v>
      </c>
      <c r="G518" s="5" t="s">
        <v>91</v>
      </c>
      <c r="H518" s="5" t="s">
        <v>40</v>
      </c>
      <c r="I518" s="5" t="s">
        <v>92</v>
      </c>
      <c r="J518" s="21" t="s">
        <v>131</v>
      </c>
      <c r="K518" s="21" t="s">
        <v>418</v>
      </c>
      <c r="L518" s="6" t="s">
        <v>419</v>
      </c>
      <c r="M518" s="5">
        <v>0</v>
      </c>
      <c r="N518" s="5" t="s">
        <v>91</v>
      </c>
      <c r="O518" s="5" t="s">
        <v>91</v>
      </c>
      <c r="P518" s="5" t="s">
        <v>91</v>
      </c>
      <c r="Q518" s="6" t="s">
        <v>105</v>
      </c>
      <c r="R518" s="6" t="s">
        <v>112</v>
      </c>
      <c r="S518" s="6"/>
      <c r="T518" s="6"/>
      <c r="U518" s="5"/>
      <c r="V518" s="6"/>
      <c r="W518" s="6" t="s">
        <v>183</v>
      </c>
      <c r="X518" s="6"/>
      <c r="Y518" s="22"/>
      <c r="Z518" s="6"/>
      <c r="AA518" s="21"/>
      <c r="AB518" s="23">
        <v>44063</v>
      </c>
      <c r="AC518" s="21" t="s">
        <v>30</v>
      </c>
      <c r="AD518" s="24" t="s">
        <v>420</v>
      </c>
      <c r="AE518" s="6" t="s">
        <v>35</v>
      </c>
      <c r="AF518" s="6"/>
      <c r="AG518" s="6" t="s">
        <v>3040</v>
      </c>
    </row>
    <row r="519" spans="1:33" ht="7.5" customHeight="1" x14ac:dyDescent="0.25">
      <c r="A519" s="27"/>
      <c r="B519" s="39"/>
      <c r="C519" s="39"/>
      <c r="D519" s="39"/>
      <c r="E519" s="28"/>
      <c r="F519" s="27"/>
      <c r="G519" s="27"/>
      <c r="H519" s="27"/>
      <c r="I519" s="27"/>
      <c r="J519" s="30"/>
      <c r="K519" s="30"/>
      <c r="L519" s="29"/>
      <c r="M519" s="27"/>
      <c r="N519" s="27"/>
      <c r="O519" s="27"/>
      <c r="P519" s="27"/>
      <c r="Q519" s="29"/>
      <c r="R519" s="29"/>
      <c r="S519" s="29"/>
      <c r="T519" s="29"/>
      <c r="U519" s="27"/>
      <c r="V519" s="29"/>
      <c r="W519" s="29"/>
      <c r="X519" s="29"/>
      <c r="Y519" s="31"/>
      <c r="Z519" s="29"/>
      <c r="AA519" s="30"/>
      <c r="AB519" s="32"/>
      <c r="AC519" s="30"/>
      <c r="AD519" s="33"/>
      <c r="AE519" s="29"/>
      <c r="AF519" s="29"/>
      <c r="AG519" s="29"/>
    </row>
    <row r="520" spans="1:33" ht="15" customHeight="1" x14ac:dyDescent="0.25">
      <c r="A520" s="5">
        <v>40</v>
      </c>
      <c r="B520" s="38">
        <v>44102</v>
      </c>
      <c r="C520" s="38">
        <v>44070</v>
      </c>
      <c r="D520" s="38">
        <v>44063</v>
      </c>
      <c r="E520" s="36">
        <v>44102</v>
      </c>
      <c r="F520" s="5">
        <v>5644</v>
      </c>
      <c r="G520" s="5" t="s">
        <v>91</v>
      </c>
      <c r="H520" s="5" t="s">
        <v>41</v>
      </c>
      <c r="I520" s="5" t="s">
        <v>92</v>
      </c>
      <c r="J520" s="21" t="s">
        <v>131</v>
      </c>
      <c r="K520" s="21" t="s">
        <v>181</v>
      </c>
      <c r="L520" s="6" t="s">
        <v>182</v>
      </c>
      <c r="M520" s="5">
        <v>14</v>
      </c>
      <c r="N520" s="5" t="s">
        <v>91</v>
      </c>
      <c r="O520" s="5" t="s">
        <v>91</v>
      </c>
      <c r="P520" s="5" t="s">
        <v>91</v>
      </c>
      <c r="Q520" s="6" t="s">
        <v>105</v>
      </c>
      <c r="R520" s="6" t="s">
        <v>112</v>
      </c>
      <c r="S520" s="6"/>
      <c r="T520" s="6"/>
      <c r="U520" s="5"/>
      <c r="V520" s="6"/>
      <c r="W520" s="6" t="s">
        <v>183</v>
      </c>
      <c r="X520" s="6"/>
      <c r="Y520" s="22"/>
      <c r="Z520" s="6">
        <v>5.5</v>
      </c>
      <c r="AA520" s="21"/>
      <c r="AB520" s="23">
        <v>44068</v>
      </c>
      <c r="AC520" s="21" t="s">
        <v>30</v>
      </c>
      <c r="AD520" s="24" t="s">
        <v>184</v>
      </c>
      <c r="AE520" s="6" t="s">
        <v>38</v>
      </c>
      <c r="AF520" s="6"/>
      <c r="AG520" s="6" t="s">
        <v>3042</v>
      </c>
    </row>
    <row r="521" spans="1:33" ht="7.5" customHeight="1" x14ac:dyDescent="0.25">
      <c r="A521" s="27"/>
      <c r="B521" s="39"/>
      <c r="C521" s="39"/>
      <c r="D521" s="39"/>
      <c r="E521" s="28"/>
      <c r="F521" s="27"/>
      <c r="G521" s="27"/>
      <c r="H521" s="27"/>
      <c r="I521" s="27"/>
      <c r="J521" s="30"/>
      <c r="K521" s="30"/>
      <c r="L521" s="29"/>
      <c r="M521" s="27"/>
      <c r="N521" s="27"/>
      <c r="O521" s="27"/>
      <c r="P521" s="27"/>
      <c r="Q521" s="29"/>
      <c r="R521" s="29"/>
      <c r="S521" s="29"/>
      <c r="T521" s="29"/>
      <c r="U521" s="27"/>
      <c r="V521" s="29"/>
      <c r="W521" s="29"/>
      <c r="X521" s="29"/>
      <c r="Y521" s="31"/>
      <c r="Z521" s="29"/>
      <c r="AA521" s="30"/>
      <c r="AB521" s="32"/>
      <c r="AC521" s="30"/>
      <c r="AD521" s="33"/>
      <c r="AE521" s="29"/>
      <c r="AF521" s="29"/>
      <c r="AG521" s="29"/>
    </row>
    <row r="522" spans="1:33" ht="15" customHeight="1" x14ac:dyDescent="0.25">
      <c r="A522" s="5">
        <v>38</v>
      </c>
      <c r="B522" s="38">
        <v>44091</v>
      </c>
      <c r="C522" s="38">
        <v>44070</v>
      </c>
      <c r="D522" s="38">
        <v>44063</v>
      </c>
      <c r="E522" s="34">
        <v>44091</v>
      </c>
      <c r="F522" s="5">
        <v>8746</v>
      </c>
      <c r="G522" s="5" t="s">
        <v>91</v>
      </c>
      <c r="H522" s="5" t="s">
        <v>43</v>
      </c>
      <c r="I522" s="5" t="s">
        <v>92</v>
      </c>
      <c r="J522" s="21" t="s">
        <v>147</v>
      </c>
      <c r="K522" s="21" t="s">
        <v>527</v>
      </c>
      <c r="L522" s="6" t="s">
        <v>528</v>
      </c>
      <c r="M522" s="5">
        <v>17</v>
      </c>
      <c r="N522" s="5" t="s">
        <v>91</v>
      </c>
      <c r="O522" s="5" t="s">
        <v>91</v>
      </c>
      <c r="P522" s="5" t="s">
        <v>91</v>
      </c>
      <c r="Q522" s="6" t="s">
        <v>153</v>
      </c>
      <c r="R522" s="6" t="s">
        <v>529</v>
      </c>
      <c r="S522" s="6" t="s">
        <v>265</v>
      </c>
      <c r="T522" s="6" t="s">
        <v>530</v>
      </c>
      <c r="U522" s="5"/>
      <c r="V522" s="6"/>
      <c r="W522" s="6" t="s">
        <v>531</v>
      </c>
      <c r="X522" s="6" t="s">
        <v>532</v>
      </c>
      <c r="Y522" s="22"/>
      <c r="Z522" s="6"/>
      <c r="AA522" s="21"/>
      <c r="AB522" s="23">
        <v>44056</v>
      </c>
      <c r="AC522" s="21" t="s">
        <v>32</v>
      </c>
      <c r="AD522" s="24" t="s">
        <v>533</v>
      </c>
      <c r="AE522" s="6" t="s">
        <v>38</v>
      </c>
      <c r="AF522" s="6"/>
      <c r="AG522" s="6" t="s">
        <v>3042</v>
      </c>
    </row>
    <row r="523" spans="1:33" ht="7.5" customHeight="1" x14ac:dyDescent="0.25">
      <c r="A523" s="27"/>
      <c r="B523" s="39"/>
      <c r="C523" s="39"/>
      <c r="D523" s="39"/>
      <c r="E523" s="28"/>
      <c r="F523" s="27"/>
      <c r="G523" s="27"/>
      <c r="H523" s="27"/>
      <c r="I523" s="27"/>
      <c r="J523" s="30"/>
      <c r="K523" s="30"/>
      <c r="L523" s="29"/>
      <c r="M523" s="27"/>
      <c r="N523" s="27"/>
      <c r="O523" s="27"/>
      <c r="P523" s="27"/>
      <c r="Q523" s="29"/>
      <c r="R523" s="29"/>
      <c r="S523" s="29"/>
      <c r="T523" s="29"/>
      <c r="U523" s="27"/>
      <c r="V523" s="29"/>
      <c r="W523" s="29"/>
      <c r="X523" s="29"/>
      <c r="Y523" s="31"/>
      <c r="Z523" s="29"/>
      <c r="AA523" s="30"/>
      <c r="AB523" s="32"/>
      <c r="AC523" s="30"/>
      <c r="AD523" s="33"/>
      <c r="AE523" s="29"/>
      <c r="AF523" s="29"/>
      <c r="AG523" s="29"/>
    </row>
    <row r="524" spans="1:33" ht="15" customHeight="1" x14ac:dyDescent="0.25">
      <c r="A524" s="5">
        <v>38</v>
      </c>
      <c r="B524" s="38">
        <v>44088</v>
      </c>
      <c r="C524" s="38">
        <v>44070</v>
      </c>
      <c r="D524" s="38">
        <v>44060</v>
      </c>
      <c r="E524" s="34">
        <v>44088</v>
      </c>
      <c r="F524" s="5">
        <v>9678</v>
      </c>
      <c r="G524" s="5" t="s">
        <v>91</v>
      </c>
      <c r="H524" s="5" t="s">
        <v>40</v>
      </c>
      <c r="I524" s="5" t="s">
        <v>92</v>
      </c>
      <c r="J524" s="21" t="s">
        <v>159</v>
      </c>
      <c r="K524" s="21">
        <v>257564</v>
      </c>
      <c r="L524" s="6" t="s">
        <v>152</v>
      </c>
      <c r="M524" s="5">
        <v>1</v>
      </c>
      <c r="N524" s="5" t="s">
        <v>91</v>
      </c>
      <c r="O524" s="5" t="s">
        <v>91</v>
      </c>
      <c r="P524" s="5" t="s">
        <v>91</v>
      </c>
      <c r="Q524" s="6" t="s">
        <v>105</v>
      </c>
      <c r="R524" s="6" t="s">
        <v>163</v>
      </c>
      <c r="S524" s="6"/>
      <c r="T524" s="6"/>
      <c r="U524" s="5"/>
      <c r="V524" s="6"/>
      <c r="W524" s="6" t="s">
        <v>1732</v>
      </c>
      <c r="X524" s="6"/>
      <c r="Y524" s="22"/>
      <c r="Z524" s="6"/>
      <c r="AA524" s="21">
        <v>257564</v>
      </c>
      <c r="AB524" s="23">
        <v>44064</v>
      </c>
      <c r="AC524" s="21" t="s">
        <v>30</v>
      </c>
      <c r="AD524" s="24" t="s">
        <v>1733</v>
      </c>
      <c r="AE524" s="6" t="s">
        <v>35</v>
      </c>
      <c r="AF524" s="6"/>
      <c r="AG524" s="6" t="s">
        <v>3040</v>
      </c>
    </row>
    <row r="525" spans="1:33" ht="7.5" customHeight="1" x14ac:dyDescent="0.25">
      <c r="A525" s="27"/>
      <c r="B525" s="39"/>
      <c r="C525" s="39"/>
      <c r="D525" s="39"/>
      <c r="E525" s="28"/>
      <c r="F525" s="27"/>
      <c r="G525" s="27"/>
      <c r="H525" s="27"/>
      <c r="I525" s="27"/>
      <c r="J525" s="30"/>
      <c r="K525" s="30"/>
      <c r="L525" s="29"/>
      <c r="M525" s="27"/>
      <c r="N525" s="27"/>
      <c r="O525" s="27"/>
      <c r="P525" s="27"/>
      <c r="Q525" s="29"/>
      <c r="R525" s="29"/>
      <c r="S525" s="29"/>
      <c r="T525" s="29"/>
      <c r="U525" s="27"/>
      <c r="V525" s="29"/>
      <c r="W525" s="29"/>
      <c r="X525" s="29"/>
      <c r="Y525" s="31"/>
      <c r="Z525" s="29"/>
      <c r="AA525" s="30"/>
      <c r="AB525" s="32"/>
      <c r="AC525" s="30"/>
      <c r="AD525" s="33"/>
      <c r="AE525" s="29"/>
      <c r="AF525" s="29"/>
      <c r="AG525" s="29"/>
    </row>
    <row r="526" spans="1:33" ht="15" customHeight="1" x14ac:dyDescent="0.25">
      <c r="A526" s="5">
        <v>37</v>
      </c>
      <c r="B526" s="38">
        <v>44082</v>
      </c>
      <c r="C526" s="38">
        <v>44071</v>
      </c>
      <c r="D526" s="38">
        <v>44057</v>
      </c>
      <c r="E526" s="37">
        <v>44082</v>
      </c>
      <c r="F526" s="5">
        <v>8762</v>
      </c>
      <c r="G526" s="5" t="s">
        <v>91</v>
      </c>
      <c r="H526" s="5" t="s">
        <v>43</v>
      </c>
      <c r="I526" s="5" t="s">
        <v>92</v>
      </c>
      <c r="J526" s="21" t="s">
        <v>147</v>
      </c>
      <c r="K526" s="21" t="s">
        <v>1573</v>
      </c>
      <c r="L526" s="6" t="s">
        <v>1574</v>
      </c>
      <c r="M526" s="5">
        <v>0</v>
      </c>
      <c r="N526" s="5" t="s">
        <v>91</v>
      </c>
      <c r="O526" s="5" t="s">
        <v>91</v>
      </c>
      <c r="P526" s="5" t="s">
        <v>91</v>
      </c>
      <c r="Q526" s="6"/>
      <c r="R526" s="6" t="s">
        <v>440</v>
      </c>
      <c r="S526" s="6"/>
      <c r="T526" s="6"/>
      <c r="U526" s="5"/>
      <c r="V526" s="6"/>
      <c r="W526" s="6" t="s">
        <v>440</v>
      </c>
      <c r="X526" s="6"/>
      <c r="Y526" s="22"/>
      <c r="Z526" s="6"/>
      <c r="AA526" s="21"/>
      <c r="AB526" s="23">
        <v>44076</v>
      </c>
      <c r="AC526" s="21" t="s">
        <v>33</v>
      </c>
      <c r="AD526" s="24" t="s">
        <v>1575</v>
      </c>
      <c r="AE526" s="6" t="s">
        <v>31</v>
      </c>
      <c r="AF526" s="6"/>
      <c r="AG526" s="6" t="s">
        <v>3041</v>
      </c>
    </row>
    <row r="527" spans="1:33" ht="7.5" customHeight="1" x14ac:dyDescent="0.25">
      <c r="A527" s="27"/>
      <c r="B527" s="39"/>
      <c r="C527" s="39"/>
      <c r="D527" s="39"/>
      <c r="E527" s="28"/>
      <c r="F527" s="27"/>
      <c r="G527" s="27"/>
      <c r="H527" s="27"/>
      <c r="I527" s="27"/>
      <c r="J527" s="30"/>
      <c r="K527" s="30"/>
      <c r="L527" s="29"/>
      <c r="M527" s="27"/>
      <c r="N527" s="27"/>
      <c r="O527" s="27"/>
      <c r="P527" s="27"/>
      <c r="Q527" s="29"/>
      <c r="R527" s="29"/>
      <c r="S527" s="29"/>
      <c r="T527" s="29"/>
      <c r="U527" s="27"/>
      <c r="V527" s="29"/>
      <c r="W527" s="29"/>
      <c r="X527" s="29"/>
      <c r="Y527" s="31"/>
      <c r="Z527" s="29"/>
      <c r="AA527" s="30"/>
      <c r="AB527" s="32"/>
      <c r="AC527" s="30"/>
      <c r="AD527" s="33"/>
      <c r="AE527" s="29"/>
      <c r="AF527" s="29"/>
      <c r="AG527" s="29"/>
    </row>
    <row r="528" spans="1:33" ht="15" customHeight="1" x14ac:dyDescent="0.25">
      <c r="A528" s="5">
        <v>37</v>
      </c>
      <c r="B528" s="38">
        <v>44085</v>
      </c>
      <c r="C528" s="38">
        <v>44071</v>
      </c>
      <c r="D528" s="38">
        <v>44064</v>
      </c>
      <c r="E528" s="37">
        <v>44085</v>
      </c>
      <c r="F528" s="5">
        <v>8755</v>
      </c>
      <c r="G528" s="5" t="s">
        <v>91</v>
      </c>
      <c r="H528" s="5" t="s">
        <v>43</v>
      </c>
      <c r="I528" s="5" t="s">
        <v>92</v>
      </c>
      <c r="J528" s="21" t="s">
        <v>147</v>
      </c>
      <c r="K528" s="21" t="s">
        <v>1665</v>
      </c>
      <c r="L528" s="6" t="s">
        <v>296</v>
      </c>
      <c r="M528" s="5">
        <v>20</v>
      </c>
      <c r="N528" s="5" t="s">
        <v>91</v>
      </c>
      <c r="O528" s="5" t="s">
        <v>91</v>
      </c>
      <c r="P528" s="5" t="s">
        <v>91</v>
      </c>
      <c r="Q528" s="6" t="s">
        <v>105</v>
      </c>
      <c r="R528" s="6" t="s">
        <v>97</v>
      </c>
      <c r="S528" s="6" t="s">
        <v>289</v>
      </c>
      <c r="T528" s="6"/>
      <c r="U528" s="5"/>
      <c r="V528" s="6"/>
      <c r="W528" s="6" t="s">
        <v>1666</v>
      </c>
      <c r="X528" s="6" t="s">
        <v>459</v>
      </c>
      <c r="Y528" s="22"/>
      <c r="Z528" s="6"/>
      <c r="AA528" s="21"/>
      <c r="AB528" s="23">
        <v>44062</v>
      </c>
      <c r="AC528" s="21" t="s">
        <v>33</v>
      </c>
      <c r="AD528" s="24" t="s">
        <v>1667</v>
      </c>
      <c r="AE528" s="6" t="s">
        <v>36</v>
      </c>
      <c r="AF528" s="6"/>
      <c r="AG528" s="6" t="s">
        <v>3039</v>
      </c>
    </row>
    <row r="529" spans="1:33" ht="15" customHeight="1" x14ac:dyDescent="0.25">
      <c r="A529" s="5">
        <v>37</v>
      </c>
      <c r="B529" s="38">
        <v>44085</v>
      </c>
      <c r="C529" s="38">
        <v>44071</v>
      </c>
      <c r="D529" s="38">
        <v>44064</v>
      </c>
      <c r="E529" s="37">
        <v>44085</v>
      </c>
      <c r="F529" s="5">
        <v>9680</v>
      </c>
      <c r="G529" s="5" t="s">
        <v>91</v>
      </c>
      <c r="H529" s="5" t="s">
        <v>43</v>
      </c>
      <c r="I529" s="5" t="s">
        <v>92</v>
      </c>
      <c r="J529" s="21" t="s">
        <v>159</v>
      </c>
      <c r="K529" s="21">
        <v>257625</v>
      </c>
      <c r="L529" s="6" t="s">
        <v>152</v>
      </c>
      <c r="M529" s="5">
        <v>6</v>
      </c>
      <c r="N529" s="5" t="s">
        <v>91</v>
      </c>
      <c r="O529" s="5" t="s">
        <v>91</v>
      </c>
      <c r="P529" s="5" t="s">
        <v>91</v>
      </c>
      <c r="Q529" s="6"/>
      <c r="R529" s="6" t="s">
        <v>163</v>
      </c>
      <c r="S529" s="6"/>
      <c r="T529" s="6"/>
      <c r="U529" s="5"/>
      <c r="V529" s="6" t="s">
        <v>164</v>
      </c>
      <c r="W529" s="6" t="s">
        <v>1670</v>
      </c>
      <c r="X529" s="6"/>
      <c r="Y529" s="22"/>
      <c r="Z529" s="6"/>
      <c r="AA529" s="21">
        <v>257625</v>
      </c>
      <c r="AB529" s="23">
        <v>44070</v>
      </c>
      <c r="AC529" s="21" t="s">
        <v>39</v>
      </c>
      <c r="AD529" s="24" t="s">
        <v>1671</v>
      </c>
      <c r="AE529" s="6" t="s">
        <v>31</v>
      </c>
      <c r="AF529" s="6"/>
      <c r="AG529" s="6" t="s">
        <v>3041</v>
      </c>
    </row>
    <row r="530" spans="1:33" ht="15" customHeight="1" x14ac:dyDescent="0.25">
      <c r="A530" s="5">
        <v>37</v>
      </c>
      <c r="B530" s="38">
        <v>44085</v>
      </c>
      <c r="C530" s="38">
        <v>44071</v>
      </c>
      <c r="D530" s="38">
        <v>44064</v>
      </c>
      <c r="E530" s="37">
        <v>44085</v>
      </c>
      <c r="F530" s="5">
        <v>9681</v>
      </c>
      <c r="G530" s="5" t="s">
        <v>91</v>
      </c>
      <c r="H530" s="5" t="s">
        <v>43</v>
      </c>
      <c r="I530" s="5" t="s">
        <v>92</v>
      </c>
      <c r="J530" s="21" t="s">
        <v>159</v>
      </c>
      <c r="K530" s="21">
        <v>257627</v>
      </c>
      <c r="L530" s="6" t="s">
        <v>152</v>
      </c>
      <c r="M530" s="5">
        <v>10</v>
      </c>
      <c r="N530" s="5" t="s">
        <v>91</v>
      </c>
      <c r="O530" s="5" t="s">
        <v>91</v>
      </c>
      <c r="P530" s="5" t="s">
        <v>91</v>
      </c>
      <c r="Q530" s="6"/>
      <c r="R530" s="6" t="s">
        <v>163</v>
      </c>
      <c r="S530" s="6"/>
      <c r="T530" s="6"/>
      <c r="U530" s="5"/>
      <c r="V530" s="6" t="s">
        <v>164</v>
      </c>
      <c r="W530" s="6" t="s">
        <v>1672</v>
      </c>
      <c r="X530" s="6"/>
      <c r="Y530" s="22"/>
      <c r="Z530" s="6"/>
      <c r="AA530" s="21">
        <v>257627</v>
      </c>
      <c r="AB530" s="23">
        <v>44070</v>
      </c>
      <c r="AC530" s="21" t="s">
        <v>30</v>
      </c>
      <c r="AD530" s="24" t="s">
        <v>1673</v>
      </c>
      <c r="AE530" s="6" t="s">
        <v>37</v>
      </c>
      <c r="AF530" s="6"/>
      <c r="AG530" s="6" t="s">
        <v>3042</v>
      </c>
    </row>
    <row r="531" spans="1:33" ht="7.5" customHeight="1" x14ac:dyDescent="0.25">
      <c r="A531" s="27"/>
      <c r="B531" s="39"/>
      <c r="C531" s="39"/>
      <c r="D531" s="39"/>
      <c r="E531" s="28"/>
      <c r="F531" s="27"/>
      <c r="G531" s="27"/>
      <c r="H531" s="27"/>
      <c r="I531" s="27"/>
      <c r="J531" s="30"/>
      <c r="K531" s="30"/>
      <c r="L531" s="29"/>
      <c r="M531" s="27"/>
      <c r="N531" s="27"/>
      <c r="O531" s="27"/>
      <c r="P531" s="27"/>
      <c r="Q531" s="29"/>
      <c r="R531" s="29"/>
      <c r="S531" s="29"/>
      <c r="T531" s="29"/>
      <c r="U531" s="27"/>
      <c r="V531" s="29"/>
      <c r="W531" s="29"/>
      <c r="X531" s="29"/>
      <c r="Y531" s="31"/>
      <c r="Z531" s="29"/>
      <c r="AA531" s="30"/>
      <c r="AB531" s="32"/>
      <c r="AC531" s="30"/>
      <c r="AD531" s="33"/>
      <c r="AE531" s="29"/>
      <c r="AF531" s="29"/>
      <c r="AG531" s="29"/>
    </row>
    <row r="532" spans="1:33" ht="15" customHeight="1" x14ac:dyDescent="0.25">
      <c r="A532" s="5">
        <v>37</v>
      </c>
      <c r="B532" s="38">
        <v>44083</v>
      </c>
      <c r="C532" s="38">
        <v>44074</v>
      </c>
      <c r="D532" s="38">
        <v>44055</v>
      </c>
      <c r="E532" s="37">
        <v>44083</v>
      </c>
      <c r="F532" s="5">
        <v>10678</v>
      </c>
      <c r="G532" s="5" t="s">
        <v>91</v>
      </c>
      <c r="H532" s="5" t="s">
        <v>43</v>
      </c>
      <c r="I532" s="5" t="s">
        <v>92</v>
      </c>
      <c r="J532" s="21" t="s">
        <v>170</v>
      </c>
      <c r="K532" s="21" t="s">
        <v>468</v>
      </c>
      <c r="L532" s="6" t="s">
        <v>469</v>
      </c>
      <c r="M532" s="5">
        <v>0</v>
      </c>
      <c r="N532" s="5" t="s">
        <v>91</v>
      </c>
      <c r="O532" s="5" t="s">
        <v>91</v>
      </c>
      <c r="P532" s="5" t="s">
        <v>91</v>
      </c>
      <c r="Q532" s="6"/>
      <c r="R532" s="6" t="s">
        <v>112</v>
      </c>
      <c r="S532" s="6"/>
      <c r="T532" s="6"/>
      <c r="U532" s="5"/>
      <c r="V532" s="6"/>
      <c r="W532" s="6" t="s">
        <v>471</v>
      </c>
      <c r="X532" s="6"/>
      <c r="Y532" s="22"/>
      <c r="Z532" s="6">
        <v>0</v>
      </c>
      <c r="AA532" s="21" t="s">
        <v>472</v>
      </c>
      <c r="AB532" s="23">
        <v>44054</v>
      </c>
      <c r="AC532" s="21" t="s">
        <v>30</v>
      </c>
      <c r="AD532" s="24" t="s">
        <v>115</v>
      </c>
      <c r="AE532" s="6" t="s">
        <v>38</v>
      </c>
      <c r="AF532" s="6"/>
      <c r="AG532" s="6" t="s">
        <v>3042</v>
      </c>
    </row>
    <row r="533" spans="1:33" ht="7.5" customHeight="1" x14ac:dyDescent="0.25">
      <c r="A533" s="27"/>
      <c r="B533" s="39"/>
      <c r="C533" s="39"/>
      <c r="D533" s="39"/>
      <c r="E533" s="28"/>
      <c r="F533" s="27"/>
      <c r="G533" s="27"/>
      <c r="H533" s="27"/>
      <c r="I533" s="27"/>
      <c r="J533" s="30"/>
      <c r="K533" s="30"/>
      <c r="L533" s="29"/>
      <c r="M533" s="27"/>
      <c r="N533" s="27"/>
      <c r="O533" s="27"/>
      <c r="P533" s="27"/>
      <c r="Q533" s="29"/>
      <c r="R533" s="29"/>
      <c r="S533" s="29"/>
      <c r="T533" s="29"/>
      <c r="U533" s="27"/>
      <c r="V533" s="29"/>
      <c r="W533" s="29"/>
      <c r="X533" s="29"/>
      <c r="Y533" s="31"/>
      <c r="Z533" s="29"/>
      <c r="AA533" s="30"/>
      <c r="AB533" s="32"/>
      <c r="AC533" s="30"/>
      <c r="AD533" s="33"/>
      <c r="AE533" s="29"/>
      <c r="AF533" s="29"/>
      <c r="AG533" s="29"/>
    </row>
    <row r="534" spans="1:33" ht="15" customHeight="1" x14ac:dyDescent="0.25">
      <c r="A534" s="5">
        <v>38</v>
      </c>
      <c r="B534" s="38">
        <v>44088</v>
      </c>
      <c r="C534" s="38">
        <v>44074</v>
      </c>
      <c r="D534" s="38">
        <v>44067</v>
      </c>
      <c r="E534" s="34">
        <v>44088</v>
      </c>
      <c r="F534" s="5">
        <v>10681</v>
      </c>
      <c r="G534" s="5" t="s">
        <v>91</v>
      </c>
      <c r="H534" s="5" t="s">
        <v>41</v>
      </c>
      <c r="I534" s="5" t="s">
        <v>92</v>
      </c>
      <c r="J534" s="21" t="s">
        <v>170</v>
      </c>
      <c r="K534" s="21" t="s">
        <v>1675</v>
      </c>
      <c r="L534" s="6" t="s">
        <v>216</v>
      </c>
      <c r="M534" s="5">
        <v>19</v>
      </c>
      <c r="N534" s="5" t="s">
        <v>91</v>
      </c>
      <c r="O534" s="5" t="s">
        <v>91</v>
      </c>
      <c r="P534" s="5" t="s">
        <v>91</v>
      </c>
      <c r="Q534" s="6" t="s">
        <v>96</v>
      </c>
      <c r="R534" s="6" t="s">
        <v>123</v>
      </c>
      <c r="S534" s="6"/>
      <c r="T534" s="6"/>
      <c r="U534" s="5"/>
      <c r="V534" s="6"/>
      <c r="W534" s="6" t="s">
        <v>1676</v>
      </c>
      <c r="X534" s="6" t="s">
        <v>251</v>
      </c>
      <c r="Y534" s="22"/>
      <c r="Z534" s="6">
        <v>6.29</v>
      </c>
      <c r="AA534" s="21" t="s">
        <v>1677</v>
      </c>
      <c r="AB534" s="23">
        <v>44062</v>
      </c>
      <c r="AC534" s="21" t="s">
        <v>30</v>
      </c>
      <c r="AD534" s="24" t="s">
        <v>1584</v>
      </c>
      <c r="AE534" s="6" t="s">
        <v>31</v>
      </c>
      <c r="AF534" s="6"/>
      <c r="AG534" s="6" t="s">
        <v>3040</v>
      </c>
    </row>
    <row r="535" spans="1:33" ht="7.5" customHeight="1" x14ac:dyDescent="0.25">
      <c r="A535" s="27"/>
      <c r="B535" s="39"/>
      <c r="C535" s="39"/>
      <c r="D535" s="39"/>
      <c r="E535" s="28"/>
      <c r="F535" s="27"/>
      <c r="G535" s="27"/>
      <c r="H535" s="27"/>
      <c r="I535" s="27"/>
      <c r="J535" s="30"/>
      <c r="K535" s="30"/>
      <c r="L535" s="29"/>
      <c r="M535" s="27"/>
      <c r="N535" s="27"/>
      <c r="O535" s="27"/>
      <c r="P535" s="27"/>
      <c r="Q535" s="29"/>
      <c r="R535" s="29"/>
      <c r="S535" s="29"/>
      <c r="T535" s="29"/>
      <c r="U535" s="27"/>
      <c r="V535" s="29"/>
      <c r="W535" s="29"/>
      <c r="X535" s="29"/>
      <c r="Y535" s="31"/>
      <c r="Z535" s="29"/>
      <c r="AA535" s="30"/>
      <c r="AB535" s="32"/>
      <c r="AC535" s="30"/>
      <c r="AD535" s="33"/>
      <c r="AE535" s="29"/>
      <c r="AF535" s="29"/>
      <c r="AG535" s="29"/>
    </row>
    <row r="536" spans="1:33" ht="15" customHeight="1" x14ac:dyDescent="0.25">
      <c r="A536" s="5">
        <v>38</v>
      </c>
      <c r="B536" s="38">
        <v>44090</v>
      </c>
      <c r="C536" s="38">
        <v>44074</v>
      </c>
      <c r="D536" s="38">
        <v>44062</v>
      </c>
      <c r="E536" s="34">
        <v>44090</v>
      </c>
      <c r="F536" s="5">
        <v>10682</v>
      </c>
      <c r="G536" s="5" t="s">
        <v>91</v>
      </c>
      <c r="H536" s="5" t="s">
        <v>41</v>
      </c>
      <c r="I536" s="5" t="s">
        <v>92</v>
      </c>
      <c r="J536" s="21" t="s">
        <v>170</v>
      </c>
      <c r="K536" s="21" t="s">
        <v>465</v>
      </c>
      <c r="L536" s="6" t="s">
        <v>172</v>
      </c>
      <c r="M536" s="5">
        <v>12</v>
      </c>
      <c r="N536" s="5" t="s">
        <v>91</v>
      </c>
      <c r="O536" s="5" t="s">
        <v>91</v>
      </c>
      <c r="P536" s="5" t="s">
        <v>91</v>
      </c>
      <c r="Q536" s="6"/>
      <c r="R536" s="6" t="s">
        <v>112</v>
      </c>
      <c r="S536" s="6"/>
      <c r="T536" s="6"/>
      <c r="U536" s="5"/>
      <c r="V536" s="6"/>
      <c r="W536" s="6" t="s">
        <v>173</v>
      </c>
      <c r="X536" s="6" t="s">
        <v>251</v>
      </c>
      <c r="Y536" s="22"/>
      <c r="Z536" s="6">
        <v>4.5</v>
      </c>
      <c r="AA536" s="21" t="s">
        <v>466</v>
      </c>
      <c r="AB536" s="23">
        <v>44063</v>
      </c>
      <c r="AC536" s="21" t="s">
        <v>33</v>
      </c>
      <c r="AD536" s="24" t="s">
        <v>467</v>
      </c>
      <c r="AE536" s="6" t="s">
        <v>31</v>
      </c>
      <c r="AF536" s="6"/>
      <c r="AG536" s="6" t="s">
        <v>3039</v>
      </c>
    </row>
    <row r="537" spans="1:33" ht="7.5" customHeight="1" x14ac:dyDescent="0.25">
      <c r="A537" s="27"/>
      <c r="B537" s="39"/>
      <c r="C537" s="39"/>
      <c r="D537" s="39"/>
      <c r="E537" s="28"/>
      <c r="F537" s="27"/>
      <c r="G537" s="27"/>
      <c r="H537" s="27"/>
      <c r="I537" s="27"/>
      <c r="J537" s="30"/>
      <c r="K537" s="30"/>
      <c r="L537" s="29"/>
      <c r="M537" s="27"/>
      <c r="N537" s="27"/>
      <c r="O537" s="27"/>
      <c r="P537" s="27"/>
      <c r="Q537" s="29"/>
      <c r="R537" s="29"/>
      <c r="S537" s="29"/>
      <c r="T537" s="29"/>
      <c r="U537" s="27"/>
      <c r="V537" s="29"/>
      <c r="W537" s="29"/>
      <c r="X537" s="29"/>
      <c r="Y537" s="31"/>
      <c r="Z537" s="29"/>
      <c r="AA537" s="30"/>
      <c r="AB537" s="32"/>
      <c r="AC537" s="30"/>
      <c r="AD537" s="33"/>
      <c r="AE537" s="29"/>
      <c r="AF537" s="29"/>
      <c r="AG537" s="29"/>
    </row>
    <row r="538" spans="1:33" ht="15" customHeight="1" x14ac:dyDescent="0.25">
      <c r="A538" s="5">
        <v>38</v>
      </c>
      <c r="B538" s="38">
        <v>44088</v>
      </c>
      <c r="C538" s="38">
        <v>44074</v>
      </c>
      <c r="D538" s="38">
        <v>44067</v>
      </c>
      <c r="E538" s="34">
        <v>44088</v>
      </c>
      <c r="F538" s="5">
        <v>12080</v>
      </c>
      <c r="G538" s="5" t="s">
        <v>91</v>
      </c>
      <c r="H538" s="5" t="s">
        <v>43</v>
      </c>
      <c r="I538" s="5" t="s">
        <v>92</v>
      </c>
      <c r="J538" s="21" t="s">
        <v>275</v>
      </c>
      <c r="K538" s="21" t="s">
        <v>1694</v>
      </c>
      <c r="L538" s="6" t="s">
        <v>1695</v>
      </c>
      <c r="M538" s="5">
        <v>2</v>
      </c>
      <c r="N538" s="5" t="s">
        <v>91</v>
      </c>
      <c r="O538" s="5" t="s">
        <v>91</v>
      </c>
      <c r="P538" s="5" t="s">
        <v>91</v>
      </c>
      <c r="Q538" s="6" t="s">
        <v>105</v>
      </c>
      <c r="R538" s="6" t="s">
        <v>112</v>
      </c>
      <c r="S538" s="6"/>
      <c r="T538" s="6"/>
      <c r="U538" s="5"/>
      <c r="V538" s="6"/>
      <c r="W538" s="6" t="s">
        <v>1689</v>
      </c>
      <c r="X538" s="6"/>
      <c r="Y538" s="22"/>
      <c r="Z538" s="6">
        <v>0.5</v>
      </c>
      <c r="AA538" s="21"/>
      <c r="AB538" s="23">
        <v>44070</v>
      </c>
      <c r="AC538" s="21" t="s">
        <v>32</v>
      </c>
      <c r="AD538" s="24" t="s">
        <v>1696</v>
      </c>
      <c r="AE538" s="6" t="s">
        <v>31</v>
      </c>
      <c r="AF538" s="6"/>
      <c r="AG538" s="6" t="s">
        <v>3041</v>
      </c>
    </row>
    <row r="539" spans="1:33" ht="15" customHeight="1" x14ac:dyDescent="0.25">
      <c r="A539" s="5">
        <v>38</v>
      </c>
      <c r="B539" s="38">
        <v>44088</v>
      </c>
      <c r="C539" s="38">
        <v>44074</v>
      </c>
      <c r="D539" s="38">
        <v>44067</v>
      </c>
      <c r="E539" s="34">
        <v>44088</v>
      </c>
      <c r="F539" s="5">
        <v>12081</v>
      </c>
      <c r="G539" s="5" t="s">
        <v>91</v>
      </c>
      <c r="H539" s="5" t="s">
        <v>43</v>
      </c>
      <c r="I539" s="5" t="s">
        <v>92</v>
      </c>
      <c r="J539" s="21" t="s">
        <v>275</v>
      </c>
      <c r="K539" s="21" t="s">
        <v>1697</v>
      </c>
      <c r="L539" s="6" t="s">
        <v>1692</v>
      </c>
      <c r="M539" s="5">
        <v>3</v>
      </c>
      <c r="N539" s="5" t="s">
        <v>91</v>
      </c>
      <c r="O539" s="5" t="s">
        <v>91</v>
      </c>
      <c r="P539" s="5" t="s">
        <v>91</v>
      </c>
      <c r="Q539" s="6"/>
      <c r="R539" s="6" t="s">
        <v>112</v>
      </c>
      <c r="S539" s="6"/>
      <c r="T539" s="6"/>
      <c r="U539" s="5"/>
      <c r="V539" s="6"/>
      <c r="W539" s="6" t="s">
        <v>1689</v>
      </c>
      <c r="X539" s="6"/>
      <c r="Y539" s="22"/>
      <c r="Z539" s="6"/>
      <c r="AA539" s="21"/>
      <c r="AB539" s="23">
        <v>44070</v>
      </c>
      <c r="AC539" s="21" t="s">
        <v>30</v>
      </c>
      <c r="AD539" s="24" t="s">
        <v>1698</v>
      </c>
      <c r="AE539" s="6" t="s">
        <v>36</v>
      </c>
      <c r="AF539" s="6"/>
      <c r="AG539" s="6" t="s">
        <v>3042</v>
      </c>
    </row>
    <row r="540" spans="1:33" ht="7.5" customHeight="1" x14ac:dyDescent="0.25">
      <c r="A540" s="27"/>
      <c r="B540" s="39"/>
      <c r="C540" s="39"/>
      <c r="D540" s="39"/>
      <c r="E540" s="28"/>
      <c r="F540" s="27"/>
      <c r="G540" s="27"/>
      <c r="H540" s="27"/>
      <c r="I540" s="27"/>
      <c r="J540" s="30"/>
      <c r="K540" s="30"/>
      <c r="L540" s="29"/>
      <c r="M540" s="27"/>
      <c r="N540" s="27"/>
      <c r="O540" s="27"/>
      <c r="P540" s="27"/>
      <c r="Q540" s="29"/>
      <c r="R540" s="29"/>
      <c r="S540" s="29"/>
      <c r="T540" s="29"/>
      <c r="U540" s="27"/>
      <c r="V540" s="29"/>
      <c r="W540" s="29"/>
      <c r="X540" s="29"/>
      <c r="Y540" s="31"/>
      <c r="Z540" s="29"/>
      <c r="AA540" s="30"/>
      <c r="AB540" s="32"/>
      <c r="AC540" s="30"/>
      <c r="AD540" s="33"/>
      <c r="AE540" s="29"/>
      <c r="AF540" s="29"/>
      <c r="AG540" s="29"/>
    </row>
    <row r="541" spans="1:33" ht="15" customHeight="1" x14ac:dyDescent="0.25">
      <c r="A541" s="5">
        <v>39</v>
      </c>
      <c r="B541" s="38">
        <v>44097</v>
      </c>
      <c r="C541" s="38">
        <v>44074</v>
      </c>
      <c r="D541" s="38">
        <v>44068</v>
      </c>
      <c r="E541" s="35">
        <v>44097</v>
      </c>
      <c r="F541" s="5">
        <v>12084</v>
      </c>
      <c r="G541" s="5" t="s">
        <v>91</v>
      </c>
      <c r="H541" s="5" t="s">
        <v>43</v>
      </c>
      <c r="I541" s="5" t="s">
        <v>92</v>
      </c>
      <c r="J541" s="21" t="s">
        <v>275</v>
      </c>
      <c r="K541" s="21" t="s">
        <v>411</v>
      </c>
      <c r="L541" s="6" t="s">
        <v>412</v>
      </c>
      <c r="M541" s="5">
        <v>0</v>
      </c>
      <c r="N541" s="5" t="s">
        <v>91</v>
      </c>
      <c r="O541" s="5" t="s">
        <v>91</v>
      </c>
      <c r="P541" s="5" t="s">
        <v>91</v>
      </c>
      <c r="Q541" s="6" t="s">
        <v>105</v>
      </c>
      <c r="R541" s="6" t="s">
        <v>112</v>
      </c>
      <c r="S541" s="6"/>
      <c r="T541" s="6"/>
      <c r="U541" s="5"/>
      <c r="V541" s="6"/>
      <c r="W541" s="6" t="s">
        <v>413</v>
      </c>
      <c r="X541" s="6"/>
      <c r="Y541" s="22"/>
      <c r="Z541" s="6"/>
      <c r="AA541" s="21"/>
      <c r="AB541" s="23">
        <v>44074</v>
      </c>
      <c r="AC541" s="21" t="s">
        <v>32</v>
      </c>
      <c r="AD541" s="24" t="s">
        <v>414</v>
      </c>
      <c r="AE541" s="6" t="s">
        <v>38</v>
      </c>
      <c r="AF541" s="6"/>
      <c r="AG541" s="6" t="s">
        <v>3042</v>
      </c>
    </row>
    <row r="542" spans="1:33" ht="7.5" customHeight="1" x14ac:dyDescent="0.25">
      <c r="A542" s="27"/>
      <c r="B542" s="39"/>
      <c r="C542" s="39"/>
      <c r="D542" s="39"/>
      <c r="E542" s="28"/>
      <c r="F542" s="27"/>
      <c r="G542" s="27"/>
      <c r="H542" s="27"/>
      <c r="I542" s="27"/>
      <c r="J542" s="30"/>
      <c r="K542" s="30"/>
      <c r="L542" s="29"/>
      <c r="M542" s="27"/>
      <c r="N542" s="27"/>
      <c r="O542" s="27"/>
      <c r="P542" s="27"/>
      <c r="Q542" s="29"/>
      <c r="R542" s="29"/>
      <c r="S542" s="29"/>
      <c r="T542" s="29"/>
      <c r="U542" s="27"/>
      <c r="V542" s="29"/>
      <c r="W542" s="29"/>
      <c r="X542" s="29"/>
      <c r="Y542" s="31"/>
      <c r="Z542" s="29"/>
      <c r="AA542" s="30"/>
      <c r="AB542" s="32"/>
      <c r="AC542" s="30"/>
      <c r="AD542" s="33"/>
      <c r="AE542" s="29"/>
      <c r="AF542" s="29"/>
      <c r="AG542" s="29"/>
    </row>
    <row r="543" spans="1:33" ht="15" customHeight="1" x14ac:dyDescent="0.25">
      <c r="A543" s="5">
        <v>37</v>
      </c>
      <c r="B543" s="38">
        <v>44083</v>
      </c>
      <c r="C543" s="38">
        <v>44074</v>
      </c>
      <c r="D543" s="38">
        <v>44064</v>
      </c>
      <c r="E543" s="37">
        <v>44083</v>
      </c>
      <c r="F543" s="5">
        <v>5645</v>
      </c>
      <c r="G543" s="5" t="s">
        <v>91</v>
      </c>
      <c r="H543" s="5" t="s">
        <v>43</v>
      </c>
      <c r="I543" s="5" t="s">
        <v>92</v>
      </c>
      <c r="J543" s="21" t="s">
        <v>131</v>
      </c>
      <c r="K543" s="21" t="s">
        <v>1617</v>
      </c>
      <c r="L543" s="6" t="s">
        <v>1618</v>
      </c>
      <c r="M543" s="5">
        <v>0</v>
      </c>
      <c r="N543" s="5" t="s">
        <v>91</v>
      </c>
      <c r="O543" s="5" t="s">
        <v>91</v>
      </c>
      <c r="P543" s="5" t="s">
        <v>91</v>
      </c>
      <c r="Q543" s="6" t="s">
        <v>96</v>
      </c>
      <c r="R543" s="6" t="s">
        <v>112</v>
      </c>
      <c r="S543" s="6"/>
      <c r="T543" s="6"/>
      <c r="U543" s="5"/>
      <c r="V543" s="6"/>
      <c r="W543" s="6" t="s">
        <v>183</v>
      </c>
      <c r="X543" s="6"/>
      <c r="Y543" s="22"/>
      <c r="Z543" s="6"/>
      <c r="AA543" s="21" t="s">
        <v>428</v>
      </c>
      <c r="AB543" s="23">
        <v>44070</v>
      </c>
      <c r="AC543" s="21" t="s">
        <v>30</v>
      </c>
      <c r="AD543" s="24" t="s">
        <v>1619</v>
      </c>
      <c r="AE543" s="6" t="s">
        <v>31</v>
      </c>
      <c r="AF543" s="6"/>
      <c r="AG543" s="6" t="s">
        <v>3042</v>
      </c>
    </row>
    <row r="544" spans="1:33" ht="15" customHeight="1" x14ac:dyDescent="0.25">
      <c r="A544" s="5">
        <v>37</v>
      </c>
      <c r="B544" s="38">
        <v>44083</v>
      </c>
      <c r="C544" s="38">
        <v>44074</v>
      </c>
      <c r="D544" s="38">
        <v>44071</v>
      </c>
      <c r="E544" s="37">
        <v>44083</v>
      </c>
      <c r="F544" s="5">
        <v>5656</v>
      </c>
      <c r="G544" s="5" t="s">
        <v>91</v>
      </c>
      <c r="H544" s="5" t="s">
        <v>43</v>
      </c>
      <c r="I544" s="5" t="s">
        <v>92</v>
      </c>
      <c r="J544" s="21" t="s">
        <v>131</v>
      </c>
      <c r="K544" s="21" t="s">
        <v>1620</v>
      </c>
      <c r="L544" s="6" t="s">
        <v>1621</v>
      </c>
      <c r="M544" s="5">
        <v>0</v>
      </c>
      <c r="N544" s="5" t="s">
        <v>91</v>
      </c>
      <c r="O544" s="5" t="s">
        <v>91</v>
      </c>
      <c r="P544" s="5" t="s">
        <v>91</v>
      </c>
      <c r="Q544" s="6"/>
      <c r="R544" s="6" t="s">
        <v>112</v>
      </c>
      <c r="S544" s="6"/>
      <c r="T544" s="6"/>
      <c r="U544" s="5"/>
      <c r="V544" s="6" t="s">
        <v>1622</v>
      </c>
      <c r="W544" s="6" t="s">
        <v>183</v>
      </c>
      <c r="X544" s="6"/>
      <c r="Y544" s="22"/>
      <c r="Z544" s="6"/>
      <c r="AA544" s="21"/>
      <c r="AB544" s="23">
        <v>44077</v>
      </c>
      <c r="AC544" s="21" t="s">
        <v>32</v>
      </c>
      <c r="AD544" s="24" t="s">
        <v>1623</v>
      </c>
      <c r="AE544" s="6" t="s">
        <v>31</v>
      </c>
      <c r="AF544" s="6"/>
      <c r="AG544" s="6" t="s">
        <v>3039</v>
      </c>
    </row>
    <row r="545" spans="1:33" ht="15" customHeight="1" x14ac:dyDescent="0.25">
      <c r="A545" s="5">
        <v>37</v>
      </c>
      <c r="B545" s="38">
        <v>44083</v>
      </c>
      <c r="C545" s="38">
        <v>44074</v>
      </c>
      <c r="D545" s="38">
        <v>44055</v>
      </c>
      <c r="E545" s="37">
        <v>44083</v>
      </c>
      <c r="F545" s="5">
        <v>5638</v>
      </c>
      <c r="G545" s="5" t="s">
        <v>91</v>
      </c>
      <c r="H545" s="5" t="s">
        <v>41</v>
      </c>
      <c r="I545" s="5" t="s">
        <v>92</v>
      </c>
      <c r="J545" s="21" t="s">
        <v>131</v>
      </c>
      <c r="K545" s="21" t="s">
        <v>1624</v>
      </c>
      <c r="L545" s="6" t="s">
        <v>1463</v>
      </c>
      <c r="M545" s="5"/>
      <c r="N545" s="5" t="s">
        <v>91</v>
      </c>
      <c r="O545" s="5" t="s">
        <v>91</v>
      </c>
      <c r="P545" s="5" t="s">
        <v>91</v>
      </c>
      <c r="Q545" s="6"/>
      <c r="R545" s="6" t="s">
        <v>112</v>
      </c>
      <c r="S545" s="6"/>
      <c r="T545" s="6"/>
      <c r="U545" s="5"/>
      <c r="V545" s="6"/>
      <c r="W545" s="6" t="s">
        <v>183</v>
      </c>
      <c r="X545" s="6"/>
      <c r="Y545" s="22"/>
      <c r="Z545" s="6"/>
      <c r="AA545" s="21"/>
      <c r="AB545" s="23">
        <v>44061</v>
      </c>
      <c r="AC545" s="21" t="s">
        <v>30</v>
      </c>
      <c r="AD545" s="24" t="s">
        <v>115</v>
      </c>
      <c r="AE545" s="6" t="s">
        <v>36</v>
      </c>
      <c r="AF545" s="6"/>
      <c r="AG545" s="6" t="s">
        <v>3040</v>
      </c>
    </row>
    <row r="546" spans="1:33" ht="15" customHeight="1" x14ac:dyDescent="0.25">
      <c r="A546" s="5">
        <v>37</v>
      </c>
      <c r="B546" s="38">
        <v>44083</v>
      </c>
      <c r="C546" s="38">
        <v>44074</v>
      </c>
      <c r="D546" s="38">
        <v>44055</v>
      </c>
      <c r="E546" s="37">
        <v>44083</v>
      </c>
      <c r="F546" s="5">
        <v>5628</v>
      </c>
      <c r="G546" s="5" t="s">
        <v>91</v>
      </c>
      <c r="H546" s="5" t="s">
        <v>41</v>
      </c>
      <c r="I546" s="5" t="s">
        <v>1066</v>
      </c>
      <c r="J546" s="21" t="s">
        <v>131</v>
      </c>
      <c r="K546" s="21" t="s">
        <v>1625</v>
      </c>
      <c r="L546" s="6" t="s">
        <v>95</v>
      </c>
      <c r="M546" s="5">
        <v>0</v>
      </c>
      <c r="N546" s="5" t="s">
        <v>91</v>
      </c>
      <c r="O546" s="5" t="s">
        <v>91</v>
      </c>
      <c r="P546" s="5" t="s">
        <v>91</v>
      </c>
      <c r="Q546" s="6" t="s">
        <v>105</v>
      </c>
      <c r="R546" s="6" t="s">
        <v>123</v>
      </c>
      <c r="S546" s="6"/>
      <c r="T546" s="6"/>
      <c r="U546" s="5"/>
      <c r="V546" s="6"/>
      <c r="W546" s="6" t="s">
        <v>1456</v>
      </c>
      <c r="X546" s="6"/>
      <c r="Y546" s="22"/>
      <c r="Z546" s="6"/>
      <c r="AA546" s="21"/>
      <c r="AB546" s="23">
        <v>44050</v>
      </c>
      <c r="AC546" s="21" t="s">
        <v>32</v>
      </c>
      <c r="AD546" s="24" t="s">
        <v>115</v>
      </c>
      <c r="AE546" s="6" t="s">
        <v>31</v>
      </c>
      <c r="AF546" s="6"/>
      <c r="AG546" s="6" t="s">
        <v>3041</v>
      </c>
    </row>
    <row r="547" spans="1:33" ht="7.5" customHeight="1" x14ac:dyDescent="0.25">
      <c r="A547" s="27"/>
      <c r="B547" s="39"/>
      <c r="C547" s="39"/>
      <c r="D547" s="39"/>
      <c r="E547" s="28"/>
      <c r="F547" s="27"/>
      <c r="G547" s="27"/>
      <c r="H547" s="27"/>
      <c r="I547" s="27"/>
      <c r="J547" s="30"/>
      <c r="K547" s="30"/>
      <c r="L547" s="29"/>
      <c r="M547" s="27"/>
      <c r="N547" s="27"/>
      <c r="O547" s="27"/>
      <c r="P547" s="27"/>
      <c r="Q547" s="29"/>
      <c r="R547" s="29"/>
      <c r="S547" s="29"/>
      <c r="T547" s="29"/>
      <c r="U547" s="27"/>
      <c r="V547" s="29"/>
      <c r="W547" s="29"/>
      <c r="X547" s="29"/>
      <c r="Y547" s="31"/>
      <c r="Z547" s="29"/>
      <c r="AA547" s="30"/>
      <c r="AB547" s="32"/>
      <c r="AC547" s="30"/>
      <c r="AD547" s="33"/>
      <c r="AE547" s="29"/>
      <c r="AF547" s="29"/>
      <c r="AG547" s="29"/>
    </row>
    <row r="548" spans="1:33" ht="15" customHeight="1" x14ac:dyDescent="0.25">
      <c r="A548" s="5">
        <v>38</v>
      </c>
      <c r="B548" s="38">
        <v>44088</v>
      </c>
      <c r="C548" s="38">
        <v>44074</v>
      </c>
      <c r="D548" s="38">
        <v>44067</v>
      </c>
      <c r="E548" s="34">
        <v>44088</v>
      </c>
      <c r="F548" s="5">
        <v>6714</v>
      </c>
      <c r="G548" s="5" t="s">
        <v>91</v>
      </c>
      <c r="H548" s="5" t="s">
        <v>43</v>
      </c>
      <c r="I548" s="5" t="s">
        <v>92</v>
      </c>
      <c r="J548" s="21" t="s">
        <v>191</v>
      </c>
      <c r="K548" s="21" t="s">
        <v>1703</v>
      </c>
      <c r="L548" s="6" t="s">
        <v>1704</v>
      </c>
      <c r="M548" s="5">
        <v>3</v>
      </c>
      <c r="N548" s="5" t="s">
        <v>91</v>
      </c>
      <c r="O548" s="5" t="s">
        <v>91</v>
      </c>
      <c r="P548" s="5" t="s">
        <v>91</v>
      </c>
      <c r="Q548" s="6"/>
      <c r="R548" s="6" t="s">
        <v>1189</v>
      </c>
      <c r="S548" s="6"/>
      <c r="T548" s="6"/>
      <c r="U548" s="5"/>
      <c r="V548" s="6"/>
      <c r="W548" s="6" t="s">
        <v>1705</v>
      </c>
      <c r="X548" s="6"/>
      <c r="Y548" s="22"/>
      <c r="Z548" s="6">
        <v>1</v>
      </c>
      <c r="AA548" s="21"/>
      <c r="AB548" s="23">
        <v>44056</v>
      </c>
      <c r="AC548" s="21" t="s">
        <v>33</v>
      </c>
      <c r="AD548" s="24" t="s">
        <v>1706</v>
      </c>
      <c r="AE548" s="6" t="s">
        <v>38</v>
      </c>
      <c r="AF548" s="6"/>
      <c r="AG548" s="6" t="s">
        <v>3041</v>
      </c>
    </row>
    <row r="549" spans="1:33" ht="15" customHeight="1" x14ac:dyDescent="0.25">
      <c r="A549" s="5">
        <v>38</v>
      </c>
      <c r="B549" s="38">
        <v>44088</v>
      </c>
      <c r="C549" s="38">
        <v>44074</v>
      </c>
      <c r="D549" s="38">
        <v>44067</v>
      </c>
      <c r="E549" s="34">
        <v>44088</v>
      </c>
      <c r="F549" s="5">
        <v>6717</v>
      </c>
      <c r="G549" s="5" t="s">
        <v>91</v>
      </c>
      <c r="H549" s="5" t="s">
        <v>43</v>
      </c>
      <c r="I549" s="5" t="s">
        <v>92</v>
      </c>
      <c r="J549" s="21" t="s">
        <v>191</v>
      </c>
      <c r="K549" s="21" t="s">
        <v>1707</v>
      </c>
      <c r="L549" s="6" t="s">
        <v>198</v>
      </c>
      <c r="M549" s="5">
        <v>12</v>
      </c>
      <c r="N549" s="5" t="s">
        <v>91</v>
      </c>
      <c r="O549" s="5" t="s">
        <v>91</v>
      </c>
      <c r="P549" s="5" t="s">
        <v>91</v>
      </c>
      <c r="Q549" s="6" t="s">
        <v>105</v>
      </c>
      <c r="R549" s="6" t="s">
        <v>194</v>
      </c>
      <c r="S549" s="6"/>
      <c r="T549" s="6"/>
      <c r="U549" s="5"/>
      <c r="V549" s="6"/>
      <c r="W549" s="6" t="s">
        <v>199</v>
      </c>
      <c r="X549" s="6"/>
      <c r="Y549" s="22"/>
      <c r="Z549" s="6">
        <v>3</v>
      </c>
      <c r="AA549" s="21"/>
      <c r="AB549" s="23">
        <v>44068</v>
      </c>
      <c r="AC549" s="21" t="s">
        <v>30</v>
      </c>
      <c r="AD549" s="24" t="s">
        <v>1708</v>
      </c>
      <c r="AE549" s="6" t="s">
        <v>31</v>
      </c>
      <c r="AF549" s="6"/>
      <c r="AG549" s="6" t="s">
        <v>3042</v>
      </c>
    </row>
    <row r="550" spans="1:33" ht="15" customHeight="1" x14ac:dyDescent="0.25">
      <c r="A550" s="5">
        <v>38</v>
      </c>
      <c r="B550" s="38">
        <v>44088</v>
      </c>
      <c r="C550" s="38">
        <v>44074</v>
      </c>
      <c r="D550" s="38">
        <v>44067</v>
      </c>
      <c r="E550" s="34">
        <v>44088</v>
      </c>
      <c r="F550" s="5">
        <v>6719</v>
      </c>
      <c r="G550" s="5" t="s">
        <v>91</v>
      </c>
      <c r="H550" s="5" t="s">
        <v>43</v>
      </c>
      <c r="I550" s="5" t="s">
        <v>92</v>
      </c>
      <c r="J550" s="21" t="s">
        <v>191</v>
      </c>
      <c r="K550" s="21" t="s">
        <v>1257</v>
      </c>
      <c r="L550" s="6" t="s">
        <v>1709</v>
      </c>
      <c r="M550" s="5">
        <v>3</v>
      </c>
      <c r="N550" s="5" t="s">
        <v>91</v>
      </c>
      <c r="O550" s="5" t="s">
        <v>91</v>
      </c>
      <c r="P550" s="5" t="s">
        <v>91</v>
      </c>
      <c r="Q550" s="6" t="s">
        <v>96</v>
      </c>
      <c r="R550" s="6" t="s">
        <v>194</v>
      </c>
      <c r="S550" s="6"/>
      <c r="T550" s="6"/>
      <c r="U550" s="5"/>
      <c r="V550" s="6"/>
      <c r="W550" s="6" t="s">
        <v>672</v>
      </c>
      <c r="X550" s="6"/>
      <c r="Y550" s="22"/>
      <c r="Z550" s="6"/>
      <c r="AA550" s="21"/>
      <c r="AB550" s="23">
        <v>44070</v>
      </c>
      <c r="AC550" s="21" t="s">
        <v>32</v>
      </c>
      <c r="AD550" s="24" t="s">
        <v>1710</v>
      </c>
      <c r="AE550" s="6" t="s">
        <v>36</v>
      </c>
      <c r="AF550" s="6"/>
      <c r="AG550" s="6" t="s">
        <v>3039</v>
      </c>
    </row>
    <row r="551" spans="1:33" ht="7.5" customHeight="1" x14ac:dyDescent="0.25">
      <c r="A551" s="27"/>
      <c r="B551" s="39"/>
      <c r="C551" s="39"/>
      <c r="D551" s="39"/>
      <c r="E551" s="28"/>
      <c r="F551" s="27"/>
      <c r="G551" s="27"/>
      <c r="H551" s="27"/>
      <c r="I551" s="27"/>
      <c r="J551" s="30"/>
      <c r="K551" s="30"/>
      <c r="L551" s="29"/>
      <c r="M551" s="27"/>
      <c r="N551" s="27"/>
      <c r="O551" s="27"/>
      <c r="P551" s="27"/>
      <c r="Q551" s="29"/>
      <c r="R551" s="29"/>
      <c r="S551" s="29"/>
      <c r="T551" s="29"/>
      <c r="U551" s="27"/>
      <c r="V551" s="29"/>
      <c r="W551" s="29"/>
      <c r="X551" s="29"/>
      <c r="Y551" s="31"/>
      <c r="Z551" s="29"/>
      <c r="AA551" s="30"/>
      <c r="AB551" s="32"/>
      <c r="AC551" s="30"/>
      <c r="AD551" s="33"/>
      <c r="AE551" s="29"/>
      <c r="AF551" s="29"/>
      <c r="AG551" s="29"/>
    </row>
    <row r="552" spans="1:33" ht="15" customHeight="1" x14ac:dyDescent="0.25">
      <c r="A552" s="5">
        <v>37</v>
      </c>
      <c r="B552" s="38">
        <v>44083</v>
      </c>
      <c r="C552" s="38">
        <v>44074</v>
      </c>
      <c r="D552" s="38">
        <v>44060</v>
      </c>
      <c r="E552" s="37">
        <v>44083</v>
      </c>
      <c r="F552" s="5">
        <v>7765</v>
      </c>
      <c r="G552" s="5" t="s">
        <v>91</v>
      </c>
      <c r="H552" s="5" t="s">
        <v>40</v>
      </c>
      <c r="I552" s="5" t="s">
        <v>92</v>
      </c>
      <c r="J552" s="21" t="s">
        <v>214</v>
      </c>
      <c r="K552" s="21" t="s">
        <v>1626</v>
      </c>
      <c r="L552" s="6" t="s">
        <v>1627</v>
      </c>
      <c r="M552" s="5">
        <v>17</v>
      </c>
      <c r="N552" s="5" t="s">
        <v>91</v>
      </c>
      <c r="O552" s="5" t="s">
        <v>91</v>
      </c>
      <c r="P552" s="5" t="s">
        <v>91</v>
      </c>
      <c r="Q552" s="6" t="s">
        <v>105</v>
      </c>
      <c r="R552" s="6" t="s">
        <v>223</v>
      </c>
      <c r="S552" s="6"/>
      <c r="T552" s="6"/>
      <c r="U552" s="5"/>
      <c r="V552" s="6"/>
      <c r="W552" s="6" t="s">
        <v>624</v>
      </c>
      <c r="X552" s="6"/>
      <c r="Y552" s="22"/>
      <c r="Z552" s="6">
        <v>4.82</v>
      </c>
      <c r="AA552" s="21" t="s">
        <v>1628</v>
      </c>
      <c r="AB552" s="23">
        <v>44061</v>
      </c>
      <c r="AC552" s="21" t="s">
        <v>32</v>
      </c>
      <c r="AD552" s="24" t="s">
        <v>1629</v>
      </c>
      <c r="AE552" s="6" t="s">
        <v>31</v>
      </c>
      <c r="AF552" s="6"/>
      <c r="AG552" s="6" t="s">
        <v>3042</v>
      </c>
    </row>
    <row r="553" spans="1:33" ht="15" customHeight="1" x14ac:dyDescent="0.25">
      <c r="A553" s="5">
        <v>37</v>
      </c>
      <c r="B553" s="38">
        <v>44083</v>
      </c>
      <c r="C553" s="38">
        <v>44074</v>
      </c>
      <c r="D553" s="38">
        <v>44060</v>
      </c>
      <c r="E553" s="37">
        <v>44083</v>
      </c>
      <c r="F553" s="5">
        <v>7769</v>
      </c>
      <c r="G553" s="5" t="s">
        <v>91</v>
      </c>
      <c r="H553" s="5" t="s">
        <v>41</v>
      </c>
      <c r="I553" s="5" t="s">
        <v>92</v>
      </c>
      <c r="J553" s="21" t="s">
        <v>214</v>
      </c>
      <c r="K553" s="21" t="s">
        <v>370</v>
      </c>
      <c r="L553" s="6" t="s">
        <v>1630</v>
      </c>
      <c r="M553" s="5">
        <v>9</v>
      </c>
      <c r="N553" s="5" t="s">
        <v>91</v>
      </c>
      <c r="O553" s="5" t="s">
        <v>91</v>
      </c>
      <c r="P553" s="5" t="s">
        <v>91</v>
      </c>
      <c r="Q553" s="6" t="s">
        <v>105</v>
      </c>
      <c r="R553" s="6" t="s">
        <v>223</v>
      </c>
      <c r="S553" s="6"/>
      <c r="T553" s="6"/>
      <c r="U553" s="5"/>
      <c r="V553" s="6"/>
      <c r="W553" s="6" t="s">
        <v>1631</v>
      </c>
      <c r="X553" s="6">
        <v>276815196</v>
      </c>
      <c r="Y553" s="22"/>
      <c r="Z553" s="6">
        <v>3.94</v>
      </c>
      <c r="AA553" s="21" t="s">
        <v>371</v>
      </c>
      <c r="AB553" s="23">
        <v>44067</v>
      </c>
      <c r="AC553" s="21" t="s">
        <v>32</v>
      </c>
      <c r="AD553" s="24" t="s">
        <v>1548</v>
      </c>
      <c r="AE553" s="6" t="s">
        <v>37</v>
      </c>
      <c r="AF553" s="6"/>
      <c r="AG553" s="6" t="s">
        <v>3039</v>
      </c>
    </row>
    <row r="554" spans="1:33" ht="7.5" customHeight="1" x14ac:dyDescent="0.25">
      <c r="A554" s="27"/>
      <c r="B554" s="39"/>
      <c r="C554" s="39"/>
      <c r="D554" s="39"/>
      <c r="E554" s="28"/>
      <c r="F554" s="27"/>
      <c r="G554" s="27"/>
      <c r="H554" s="27"/>
      <c r="I554" s="27"/>
      <c r="J554" s="30"/>
      <c r="K554" s="30"/>
      <c r="L554" s="29"/>
      <c r="M554" s="27"/>
      <c r="N554" s="27"/>
      <c r="O554" s="27"/>
      <c r="P554" s="27"/>
      <c r="Q554" s="29"/>
      <c r="R554" s="29"/>
      <c r="S554" s="29"/>
      <c r="T554" s="29"/>
      <c r="U554" s="27"/>
      <c r="V554" s="29"/>
      <c r="W554" s="29"/>
      <c r="X554" s="29"/>
      <c r="Y554" s="31"/>
      <c r="Z554" s="29"/>
      <c r="AA554" s="30"/>
      <c r="AB554" s="32"/>
      <c r="AC554" s="30"/>
      <c r="AD554" s="33"/>
      <c r="AE554" s="29"/>
      <c r="AF554" s="29"/>
      <c r="AG554" s="29"/>
    </row>
    <row r="555" spans="1:33" ht="15" customHeight="1" x14ac:dyDescent="0.25">
      <c r="A555" s="5">
        <v>38</v>
      </c>
      <c r="B555" s="38">
        <v>44088</v>
      </c>
      <c r="C555" s="38">
        <v>44074</v>
      </c>
      <c r="D555" s="38">
        <v>44067</v>
      </c>
      <c r="E555" s="34">
        <v>44088</v>
      </c>
      <c r="F555" s="5">
        <v>7771</v>
      </c>
      <c r="G555" s="5" t="s">
        <v>91</v>
      </c>
      <c r="H555" s="5" t="s">
        <v>43</v>
      </c>
      <c r="I555" s="5" t="s">
        <v>92</v>
      </c>
      <c r="J555" s="21" t="s">
        <v>214</v>
      </c>
      <c r="K555" s="21" t="s">
        <v>1715</v>
      </c>
      <c r="L555" s="6" t="s">
        <v>1716</v>
      </c>
      <c r="M555" s="5">
        <v>2</v>
      </c>
      <c r="N555" s="5" t="s">
        <v>91</v>
      </c>
      <c r="O555" s="5" t="s">
        <v>91</v>
      </c>
      <c r="P555" s="5" t="s">
        <v>91</v>
      </c>
      <c r="Q555" s="6" t="s">
        <v>105</v>
      </c>
      <c r="R555" s="6" t="s">
        <v>223</v>
      </c>
      <c r="S555" s="6"/>
      <c r="T555" s="6"/>
      <c r="U555" s="5"/>
      <c r="V555" s="6"/>
      <c r="W555" s="6" t="s">
        <v>1717</v>
      </c>
      <c r="X555" s="6">
        <v>211870159</v>
      </c>
      <c r="Y555" s="22"/>
      <c r="Z555" s="6"/>
      <c r="AA555" s="21" t="s">
        <v>1718</v>
      </c>
      <c r="AB555" s="23">
        <v>44070</v>
      </c>
      <c r="AC555" s="21" t="s">
        <v>32</v>
      </c>
      <c r="AD555" s="24" t="s">
        <v>1719</v>
      </c>
      <c r="AE555" s="6" t="s">
        <v>37</v>
      </c>
      <c r="AF555" s="6"/>
      <c r="AG555" s="6" t="s">
        <v>3041</v>
      </c>
    </row>
    <row r="556" spans="1:33" ht="15" customHeight="1" x14ac:dyDescent="0.25">
      <c r="A556" s="5">
        <v>38</v>
      </c>
      <c r="B556" s="38">
        <v>44088</v>
      </c>
      <c r="C556" s="38">
        <v>44074</v>
      </c>
      <c r="D556" s="38">
        <v>44067</v>
      </c>
      <c r="E556" s="34">
        <v>44088</v>
      </c>
      <c r="F556" s="5">
        <v>7773</v>
      </c>
      <c r="G556" s="5" t="s">
        <v>91</v>
      </c>
      <c r="H556" s="5" t="s">
        <v>43</v>
      </c>
      <c r="I556" s="5" t="s">
        <v>92</v>
      </c>
      <c r="J556" s="21" t="s">
        <v>214</v>
      </c>
      <c r="K556" s="21" t="s">
        <v>1720</v>
      </c>
      <c r="L556" s="6" t="s">
        <v>1721</v>
      </c>
      <c r="M556" s="5">
        <v>6</v>
      </c>
      <c r="N556" s="5" t="s">
        <v>91</v>
      </c>
      <c r="O556" s="5" t="s">
        <v>91</v>
      </c>
      <c r="P556" s="5" t="s">
        <v>91</v>
      </c>
      <c r="Q556" s="6" t="s">
        <v>105</v>
      </c>
      <c r="R556" s="6" t="s">
        <v>1722</v>
      </c>
      <c r="S556" s="6"/>
      <c r="T556" s="6"/>
      <c r="U556" s="5"/>
      <c r="V556" s="6"/>
      <c r="W556" s="6" t="s">
        <v>624</v>
      </c>
      <c r="X556" s="6"/>
      <c r="Y556" s="22"/>
      <c r="Z556" s="6">
        <v>3.42</v>
      </c>
      <c r="AA556" s="21" t="s">
        <v>1723</v>
      </c>
      <c r="AB556" s="23">
        <v>44070</v>
      </c>
      <c r="AC556" s="21" t="s">
        <v>30</v>
      </c>
      <c r="AD556" s="24" t="s">
        <v>1724</v>
      </c>
      <c r="AE556" s="6" t="s">
        <v>38</v>
      </c>
      <c r="AF556" s="6"/>
      <c r="AG556" s="6" t="s">
        <v>3042</v>
      </c>
    </row>
    <row r="557" spans="1:33" ht="15" customHeight="1" x14ac:dyDescent="0.25">
      <c r="A557" s="5">
        <v>38</v>
      </c>
      <c r="B557" s="38">
        <v>44088</v>
      </c>
      <c r="C557" s="38">
        <v>44074</v>
      </c>
      <c r="D557" s="38">
        <v>44067</v>
      </c>
      <c r="E557" s="34">
        <v>44088</v>
      </c>
      <c r="F557" s="5">
        <v>8721</v>
      </c>
      <c r="G557" s="5" t="s">
        <v>91</v>
      </c>
      <c r="H557" s="5" t="s">
        <v>43</v>
      </c>
      <c r="I557" s="5" t="s">
        <v>92</v>
      </c>
      <c r="J557" s="21" t="s">
        <v>147</v>
      </c>
      <c r="K557" s="21" t="s">
        <v>1725</v>
      </c>
      <c r="L557" s="6" t="s">
        <v>1726</v>
      </c>
      <c r="M557" s="5">
        <v>15</v>
      </c>
      <c r="N557" s="5" t="s">
        <v>91</v>
      </c>
      <c r="O557" s="5" t="s">
        <v>91</v>
      </c>
      <c r="P557" s="5" t="s">
        <v>91</v>
      </c>
      <c r="Q557" s="6" t="s">
        <v>153</v>
      </c>
      <c r="R557" s="6" t="s">
        <v>1727</v>
      </c>
      <c r="S557" s="6" t="s">
        <v>1728</v>
      </c>
      <c r="T557" s="6" t="s">
        <v>1729</v>
      </c>
      <c r="U557" s="5"/>
      <c r="V557" s="6"/>
      <c r="W557" s="6" t="s">
        <v>1730</v>
      </c>
      <c r="X557" s="6"/>
      <c r="Y557" s="22"/>
      <c r="Z557" s="6"/>
      <c r="AA557" s="21"/>
      <c r="AB557" s="23">
        <v>44022</v>
      </c>
      <c r="AC557" s="21" t="s">
        <v>33</v>
      </c>
      <c r="AD557" s="24" t="s">
        <v>1731</v>
      </c>
      <c r="AE557" s="6" t="s">
        <v>31</v>
      </c>
      <c r="AF557" s="6"/>
      <c r="AG557" s="6" t="s">
        <v>3039</v>
      </c>
    </row>
    <row r="558" spans="1:33" ht="7.5" customHeight="1" x14ac:dyDescent="0.25">
      <c r="A558" s="27"/>
      <c r="B558" s="39"/>
      <c r="C558" s="39"/>
      <c r="D558" s="39"/>
      <c r="E558" s="28"/>
      <c r="F558" s="27"/>
      <c r="G558" s="27"/>
      <c r="H558" s="27"/>
      <c r="I558" s="27"/>
      <c r="J558" s="30"/>
      <c r="K558" s="30"/>
      <c r="L558" s="29"/>
      <c r="M558" s="27"/>
      <c r="N558" s="27"/>
      <c r="O558" s="27"/>
      <c r="P558" s="27"/>
      <c r="Q558" s="29"/>
      <c r="R558" s="29"/>
      <c r="S558" s="29"/>
      <c r="T558" s="29"/>
      <c r="U558" s="27"/>
      <c r="V558" s="29"/>
      <c r="W558" s="29"/>
      <c r="X558" s="29"/>
      <c r="Y558" s="31"/>
      <c r="Z558" s="29"/>
      <c r="AA558" s="30"/>
      <c r="AB558" s="32"/>
      <c r="AC558" s="30"/>
      <c r="AD558" s="33"/>
      <c r="AE558" s="29"/>
      <c r="AF558" s="29"/>
      <c r="AG558" s="29"/>
    </row>
    <row r="559" spans="1:33" ht="15" customHeight="1" x14ac:dyDescent="0.25">
      <c r="A559" s="5">
        <v>38</v>
      </c>
      <c r="B559" s="38">
        <v>44089</v>
      </c>
      <c r="C559" s="38">
        <v>44075</v>
      </c>
      <c r="D559" s="38">
        <v>44068</v>
      </c>
      <c r="E559" s="34">
        <v>44089</v>
      </c>
      <c r="F559" s="5">
        <v>3070</v>
      </c>
      <c r="G559" s="5" t="s">
        <v>91</v>
      </c>
      <c r="H559" s="5" t="s">
        <v>40</v>
      </c>
      <c r="I559" s="5" t="s">
        <v>92</v>
      </c>
      <c r="J559" s="21" t="s">
        <v>93</v>
      </c>
      <c r="K559" s="21" t="s">
        <v>444</v>
      </c>
      <c r="L559" s="6" t="s">
        <v>445</v>
      </c>
      <c r="M559" s="5">
        <v>0</v>
      </c>
      <c r="N559" s="5" t="s">
        <v>91</v>
      </c>
      <c r="O559" s="5" t="s">
        <v>91</v>
      </c>
      <c r="P559" s="5" t="s">
        <v>91</v>
      </c>
      <c r="Q559" s="6" t="s">
        <v>105</v>
      </c>
      <c r="R559" s="6" t="s">
        <v>106</v>
      </c>
      <c r="S559" s="6"/>
      <c r="T559" s="6"/>
      <c r="U559" s="5"/>
      <c r="V559" s="6" t="s">
        <v>446</v>
      </c>
      <c r="W559" s="6" t="s">
        <v>106</v>
      </c>
      <c r="X559" s="6"/>
      <c r="Y559" s="22"/>
      <c r="Z559" s="6"/>
      <c r="AA559" s="21">
        <v>10183</v>
      </c>
      <c r="AB559" s="23">
        <v>44074</v>
      </c>
      <c r="AC559" s="21" t="s">
        <v>33</v>
      </c>
      <c r="AD559" s="24" t="s">
        <v>447</v>
      </c>
      <c r="AE559" s="6" t="s">
        <v>34</v>
      </c>
      <c r="AF559" s="6"/>
      <c r="AG559" s="6" t="s">
        <v>3041</v>
      </c>
    </row>
    <row r="560" spans="1:33" ht="7.5" customHeight="1" x14ac:dyDescent="0.25">
      <c r="A560" s="27"/>
      <c r="B560" s="39"/>
      <c r="C560" s="39"/>
      <c r="D560" s="39"/>
      <c r="E560" s="28"/>
      <c r="F560" s="27"/>
      <c r="G560" s="27"/>
      <c r="H560" s="27"/>
      <c r="I560" s="27"/>
      <c r="J560" s="30"/>
      <c r="K560" s="30"/>
      <c r="L560" s="29"/>
      <c r="M560" s="27"/>
      <c r="N560" s="27"/>
      <c r="O560" s="27"/>
      <c r="P560" s="27"/>
      <c r="Q560" s="29"/>
      <c r="R560" s="29"/>
      <c r="S560" s="29"/>
      <c r="T560" s="29"/>
      <c r="U560" s="27"/>
      <c r="V560" s="29"/>
      <c r="W560" s="29"/>
      <c r="X560" s="29"/>
      <c r="Y560" s="31"/>
      <c r="Z560" s="29"/>
      <c r="AA560" s="30"/>
      <c r="AB560" s="32"/>
      <c r="AC560" s="30"/>
      <c r="AD560" s="33"/>
      <c r="AE560" s="29"/>
      <c r="AF560" s="29"/>
      <c r="AG560" s="29"/>
    </row>
    <row r="561" spans="1:33" ht="15" customHeight="1" x14ac:dyDescent="0.25">
      <c r="A561" s="5">
        <v>37</v>
      </c>
      <c r="B561" s="38">
        <v>44084</v>
      </c>
      <c r="C561" s="38">
        <v>44075</v>
      </c>
      <c r="D561" s="38">
        <v>44067</v>
      </c>
      <c r="E561" s="37">
        <v>44084</v>
      </c>
      <c r="F561" s="5">
        <v>8761</v>
      </c>
      <c r="G561" s="5" t="s">
        <v>91</v>
      </c>
      <c r="H561" s="5" t="s">
        <v>41</v>
      </c>
      <c r="I561" s="5" t="s">
        <v>92</v>
      </c>
      <c r="J561" s="21" t="s">
        <v>147</v>
      </c>
      <c r="K561" s="21" t="s">
        <v>1653</v>
      </c>
      <c r="L561" s="6" t="s">
        <v>1654</v>
      </c>
      <c r="M561" s="5">
        <v>5</v>
      </c>
      <c r="N561" s="5" t="s">
        <v>91</v>
      </c>
      <c r="O561" s="5" t="s">
        <v>91</v>
      </c>
      <c r="P561" s="5" t="s">
        <v>91</v>
      </c>
      <c r="Q561" s="6"/>
      <c r="R561" s="6" t="s">
        <v>107</v>
      </c>
      <c r="S561" s="6" t="s">
        <v>1287</v>
      </c>
      <c r="T561" s="6"/>
      <c r="U561" s="5"/>
      <c r="V561" s="6"/>
      <c r="W561" s="6" t="s">
        <v>1653</v>
      </c>
      <c r="X561" s="6"/>
      <c r="Y561" s="22"/>
      <c r="Z561" s="6"/>
      <c r="AA561" s="21"/>
      <c r="AB561" s="23">
        <v>44074</v>
      </c>
      <c r="AC561" s="21" t="s">
        <v>32</v>
      </c>
      <c r="AD561" s="24" t="s">
        <v>1655</v>
      </c>
      <c r="AE561" s="6" t="s">
        <v>31</v>
      </c>
      <c r="AF561" s="6"/>
      <c r="AG561" s="6" t="s">
        <v>3039</v>
      </c>
    </row>
    <row r="562" spans="1:33" ht="7.5" customHeight="1" x14ac:dyDescent="0.25">
      <c r="A562" s="27"/>
      <c r="B562" s="39"/>
      <c r="C562" s="39"/>
      <c r="D562" s="39"/>
      <c r="E562" s="28"/>
      <c r="F562" s="27"/>
      <c r="G562" s="27"/>
      <c r="H562" s="27"/>
      <c r="I562" s="27"/>
      <c r="J562" s="30"/>
      <c r="K562" s="30"/>
      <c r="L562" s="29"/>
      <c r="M562" s="27"/>
      <c r="N562" s="27"/>
      <c r="O562" s="27"/>
      <c r="P562" s="27"/>
      <c r="Q562" s="29"/>
      <c r="R562" s="29"/>
      <c r="S562" s="29"/>
      <c r="T562" s="29"/>
      <c r="U562" s="27"/>
      <c r="V562" s="29"/>
      <c r="W562" s="29"/>
      <c r="X562" s="29"/>
      <c r="Y562" s="31"/>
      <c r="Z562" s="29"/>
      <c r="AA562" s="30"/>
      <c r="AB562" s="32"/>
      <c r="AC562" s="30"/>
      <c r="AD562" s="33"/>
      <c r="AE562" s="29"/>
      <c r="AF562" s="29"/>
      <c r="AG562" s="29"/>
    </row>
    <row r="563" spans="1:33" ht="15" customHeight="1" x14ac:dyDescent="0.25">
      <c r="A563" s="5">
        <v>38</v>
      </c>
      <c r="B563" s="38">
        <v>44089</v>
      </c>
      <c r="C563" s="38">
        <v>44075</v>
      </c>
      <c r="D563" s="38">
        <v>44068</v>
      </c>
      <c r="E563" s="34">
        <v>44089</v>
      </c>
      <c r="F563" s="5">
        <v>8756</v>
      </c>
      <c r="G563" s="5" t="s">
        <v>91</v>
      </c>
      <c r="H563" s="5" t="s">
        <v>43</v>
      </c>
      <c r="I563" s="5" t="s">
        <v>92</v>
      </c>
      <c r="J563" s="21" t="s">
        <v>147</v>
      </c>
      <c r="K563" s="21" t="s">
        <v>456</v>
      </c>
      <c r="L563" s="6" t="s">
        <v>457</v>
      </c>
      <c r="M563" s="5">
        <v>18</v>
      </c>
      <c r="N563" s="5" t="s">
        <v>91</v>
      </c>
      <c r="O563" s="5" t="s">
        <v>91</v>
      </c>
      <c r="P563" s="5" t="s">
        <v>91</v>
      </c>
      <c r="Q563" s="6" t="s">
        <v>105</v>
      </c>
      <c r="R563" s="6" t="s">
        <v>458</v>
      </c>
      <c r="S563" s="6"/>
      <c r="T563" s="6"/>
      <c r="U563" s="5"/>
      <c r="V563" s="6"/>
      <c r="W563" s="6" t="s">
        <v>296</v>
      </c>
      <c r="X563" s="6" t="s">
        <v>459</v>
      </c>
      <c r="Y563" s="22"/>
      <c r="Z563" s="6"/>
      <c r="AA563" s="21"/>
      <c r="AB563" s="23">
        <v>44062</v>
      </c>
      <c r="AC563" s="21" t="s">
        <v>30</v>
      </c>
      <c r="AD563" s="24" t="s">
        <v>460</v>
      </c>
      <c r="AE563" s="6" t="s">
        <v>38</v>
      </c>
      <c r="AF563" s="6"/>
      <c r="AG563" s="6" t="s">
        <v>3040</v>
      </c>
    </row>
    <row r="564" spans="1:33" ht="15" customHeight="1" x14ac:dyDescent="0.25">
      <c r="A564" s="5">
        <v>38</v>
      </c>
      <c r="B564" s="38">
        <v>44089</v>
      </c>
      <c r="C564" s="38">
        <v>44075</v>
      </c>
      <c r="D564" s="38">
        <v>44068</v>
      </c>
      <c r="E564" s="34">
        <v>44089</v>
      </c>
      <c r="F564" s="5">
        <v>9685</v>
      </c>
      <c r="G564" s="5" t="s">
        <v>91</v>
      </c>
      <c r="H564" s="5" t="s">
        <v>43</v>
      </c>
      <c r="I564" s="5" t="s">
        <v>92</v>
      </c>
      <c r="J564" s="21" t="s">
        <v>159</v>
      </c>
      <c r="K564" s="21">
        <v>257655</v>
      </c>
      <c r="L564" s="6" t="s">
        <v>152</v>
      </c>
      <c r="M564" s="5">
        <v>10</v>
      </c>
      <c r="N564" s="5" t="s">
        <v>91</v>
      </c>
      <c r="O564" s="5" t="s">
        <v>91</v>
      </c>
      <c r="P564" s="5" t="s">
        <v>91</v>
      </c>
      <c r="Q564" s="6"/>
      <c r="R564" s="6" t="s">
        <v>163</v>
      </c>
      <c r="S564" s="6"/>
      <c r="T564" s="6"/>
      <c r="U564" s="5"/>
      <c r="V564" s="6" t="s">
        <v>164</v>
      </c>
      <c r="W564" s="6" t="s">
        <v>461</v>
      </c>
      <c r="X564" s="6"/>
      <c r="Y564" s="22"/>
      <c r="Z564" s="6"/>
      <c r="AA564" s="21">
        <v>257655</v>
      </c>
      <c r="AB564" s="23">
        <v>44074</v>
      </c>
      <c r="AC564" s="21" t="s">
        <v>30</v>
      </c>
      <c r="AD564" s="24" t="s">
        <v>462</v>
      </c>
      <c r="AE564" s="6" t="s">
        <v>31</v>
      </c>
      <c r="AF564" s="6"/>
      <c r="AG564" s="6" t="s">
        <v>3041</v>
      </c>
    </row>
    <row r="565" spans="1:33" ht="7.5" customHeight="1" x14ac:dyDescent="0.25">
      <c r="A565" s="27"/>
      <c r="B565" s="39"/>
      <c r="C565" s="39"/>
      <c r="D565" s="39"/>
      <c r="E565" s="28"/>
      <c r="F565" s="27"/>
      <c r="G565" s="27"/>
      <c r="H565" s="27"/>
      <c r="I565" s="27"/>
      <c r="J565" s="30"/>
      <c r="K565" s="30"/>
      <c r="L565" s="29"/>
      <c r="M565" s="27"/>
      <c r="N565" s="27"/>
      <c r="O565" s="27"/>
      <c r="P565" s="27"/>
      <c r="Q565" s="29"/>
      <c r="R565" s="29"/>
      <c r="S565" s="29"/>
      <c r="T565" s="29"/>
      <c r="U565" s="27"/>
      <c r="V565" s="29"/>
      <c r="W565" s="29"/>
      <c r="X565" s="29"/>
      <c r="Y565" s="31"/>
      <c r="Z565" s="29"/>
      <c r="AA565" s="30"/>
      <c r="AB565" s="32"/>
      <c r="AC565" s="30"/>
      <c r="AD565" s="33"/>
      <c r="AE565" s="29"/>
      <c r="AF565" s="29"/>
      <c r="AG565" s="29"/>
    </row>
    <row r="566" spans="1:33" ht="15" customHeight="1" x14ac:dyDescent="0.25">
      <c r="A566" s="5">
        <v>38</v>
      </c>
      <c r="B566" s="38">
        <v>44090</v>
      </c>
      <c r="C566" s="38">
        <v>44076</v>
      </c>
      <c r="D566" s="38">
        <v>44069</v>
      </c>
      <c r="E566" s="34">
        <v>44090</v>
      </c>
      <c r="F566" s="5">
        <v>10694</v>
      </c>
      <c r="G566" s="5" t="s">
        <v>91</v>
      </c>
      <c r="H566" s="5" t="s">
        <v>41</v>
      </c>
      <c r="I566" s="5" t="s">
        <v>92</v>
      </c>
      <c r="J566" s="21" t="s">
        <v>170</v>
      </c>
      <c r="K566" s="21" t="s">
        <v>473</v>
      </c>
      <c r="L566" s="6" t="s">
        <v>474</v>
      </c>
      <c r="M566" s="5"/>
      <c r="N566" s="5" t="s">
        <v>91</v>
      </c>
      <c r="O566" s="5" t="s">
        <v>91</v>
      </c>
      <c r="P566" s="5" t="s">
        <v>91</v>
      </c>
      <c r="Q566" s="6"/>
      <c r="R566" s="6" t="s">
        <v>112</v>
      </c>
      <c r="S566" s="6"/>
      <c r="T566" s="6"/>
      <c r="U566" s="5"/>
      <c r="V566" s="6"/>
      <c r="W566" s="6" t="s">
        <v>475</v>
      </c>
      <c r="X566" s="6"/>
      <c r="Y566" s="22"/>
      <c r="Z566" s="6"/>
      <c r="AA566" s="21"/>
      <c r="AB566" s="23">
        <v>44090</v>
      </c>
      <c r="AC566" s="21" t="s">
        <v>33</v>
      </c>
      <c r="AD566" s="24" t="s">
        <v>476</v>
      </c>
      <c r="AE566" s="6" t="s">
        <v>37</v>
      </c>
      <c r="AF566" s="6"/>
      <c r="AG566" s="6" t="s">
        <v>3041</v>
      </c>
    </row>
    <row r="567" spans="1:33" ht="7.5" customHeight="1" x14ac:dyDescent="0.25">
      <c r="A567" s="27"/>
      <c r="B567" s="39"/>
      <c r="C567" s="39"/>
      <c r="D567" s="39"/>
      <c r="E567" s="28"/>
      <c r="F567" s="27"/>
      <c r="G567" s="27"/>
      <c r="H567" s="27"/>
      <c r="I567" s="27"/>
      <c r="J567" s="30"/>
      <c r="K567" s="30"/>
      <c r="L567" s="29"/>
      <c r="M567" s="27"/>
      <c r="N567" s="27"/>
      <c r="O567" s="27"/>
      <c r="P567" s="27"/>
      <c r="Q567" s="29"/>
      <c r="R567" s="29"/>
      <c r="S567" s="29"/>
      <c r="T567" s="29"/>
      <c r="U567" s="27"/>
      <c r="V567" s="29"/>
      <c r="W567" s="29"/>
      <c r="X567" s="29"/>
      <c r="Y567" s="31"/>
      <c r="Z567" s="29"/>
      <c r="AA567" s="30"/>
      <c r="AB567" s="32"/>
      <c r="AC567" s="30"/>
      <c r="AD567" s="33"/>
      <c r="AE567" s="29"/>
      <c r="AF567" s="29"/>
      <c r="AG567" s="29"/>
    </row>
    <row r="568" spans="1:33" ht="15" customHeight="1" x14ac:dyDescent="0.25">
      <c r="A568" s="5">
        <v>39</v>
      </c>
      <c r="B568" s="38">
        <v>44097</v>
      </c>
      <c r="C568" s="38">
        <v>44076</v>
      </c>
      <c r="D568" s="38">
        <v>44069</v>
      </c>
      <c r="E568" s="35">
        <v>44097</v>
      </c>
      <c r="F568" s="5">
        <v>10689</v>
      </c>
      <c r="G568" s="5" t="s">
        <v>91</v>
      </c>
      <c r="H568" s="5" t="s">
        <v>41</v>
      </c>
      <c r="I568" s="5" t="s">
        <v>92</v>
      </c>
      <c r="J568" s="21" t="s">
        <v>170</v>
      </c>
      <c r="K568" s="21" t="s">
        <v>391</v>
      </c>
      <c r="L568" s="6" t="s">
        <v>392</v>
      </c>
      <c r="M568" s="5">
        <v>4</v>
      </c>
      <c r="N568" s="5" t="s">
        <v>91</v>
      </c>
      <c r="O568" s="5" t="s">
        <v>91</v>
      </c>
      <c r="P568" s="5" t="s">
        <v>91</v>
      </c>
      <c r="Q568" s="6" t="s">
        <v>105</v>
      </c>
      <c r="R568" s="6" t="s">
        <v>112</v>
      </c>
      <c r="S568" s="6"/>
      <c r="T568" s="6"/>
      <c r="U568" s="5"/>
      <c r="V568" s="6"/>
      <c r="W568" s="6" t="s">
        <v>256</v>
      </c>
      <c r="X568" s="6" t="s">
        <v>251</v>
      </c>
      <c r="Y568" s="22"/>
      <c r="Z568" s="6">
        <v>3.2</v>
      </c>
      <c r="AA568" s="21" t="s">
        <v>393</v>
      </c>
      <c r="AB568" s="23">
        <v>44076</v>
      </c>
      <c r="AC568" s="21" t="s">
        <v>30</v>
      </c>
      <c r="AD568" s="24" t="s">
        <v>394</v>
      </c>
      <c r="AE568" s="6" t="s">
        <v>38</v>
      </c>
      <c r="AF568" s="6"/>
      <c r="AG568" s="6" t="s">
        <v>3041</v>
      </c>
    </row>
    <row r="569" spans="1:33" ht="15" customHeight="1" x14ac:dyDescent="0.25">
      <c r="A569" s="5">
        <v>39</v>
      </c>
      <c r="B569" s="38">
        <v>44097</v>
      </c>
      <c r="C569" s="38">
        <v>44076</v>
      </c>
      <c r="D569" s="38">
        <v>44069</v>
      </c>
      <c r="E569" s="35">
        <v>44097</v>
      </c>
      <c r="F569" s="5">
        <v>3073</v>
      </c>
      <c r="G569" s="5" t="s">
        <v>91</v>
      </c>
      <c r="H569" s="5" t="s">
        <v>43</v>
      </c>
      <c r="I569" s="5" t="s">
        <v>92</v>
      </c>
      <c r="J569" s="21" t="s">
        <v>93</v>
      </c>
      <c r="K569" s="21" t="s">
        <v>395</v>
      </c>
      <c r="L569" s="6" t="s">
        <v>396</v>
      </c>
      <c r="M569" s="5">
        <v>20</v>
      </c>
      <c r="N569" s="5" t="s">
        <v>91</v>
      </c>
      <c r="O569" s="5" t="s">
        <v>91</v>
      </c>
      <c r="P569" s="5" t="s">
        <v>91</v>
      </c>
      <c r="Q569" s="6" t="s">
        <v>105</v>
      </c>
      <c r="R569" s="6" t="s">
        <v>97</v>
      </c>
      <c r="S569" s="6" t="s">
        <v>397</v>
      </c>
      <c r="T569" s="6"/>
      <c r="U569" s="5"/>
      <c r="V569" s="6"/>
      <c r="W569" s="6" t="s">
        <v>398</v>
      </c>
      <c r="X569" s="6" t="s">
        <v>399</v>
      </c>
      <c r="Y569" s="22"/>
      <c r="Z569" s="6"/>
      <c r="AA569" s="21">
        <v>10162</v>
      </c>
      <c r="AB569" s="23">
        <v>44075</v>
      </c>
      <c r="AC569" s="21" t="s">
        <v>32</v>
      </c>
      <c r="AD569" s="24" t="s">
        <v>400</v>
      </c>
      <c r="AE569" s="6" t="s">
        <v>31</v>
      </c>
      <c r="AF569" s="6"/>
      <c r="AG569" s="6" t="s">
        <v>3042</v>
      </c>
    </row>
    <row r="570" spans="1:33" ht="7.5" customHeight="1" x14ac:dyDescent="0.25">
      <c r="A570" s="27"/>
      <c r="B570" s="39"/>
      <c r="C570" s="39"/>
      <c r="D570" s="39"/>
      <c r="E570" s="28"/>
      <c r="F570" s="27"/>
      <c r="G570" s="27"/>
      <c r="H570" s="27"/>
      <c r="I570" s="27"/>
      <c r="J570" s="30"/>
      <c r="K570" s="30"/>
      <c r="L570" s="29"/>
      <c r="M570" s="27"/>
      <c r="N570" s="27"/>
      <c r="O570" s="27"/>
      <c r="P570" s="27"/>
      <c r="Q570" s="29"/>
      <c r="R570" s="29"/>
      <c r="S570" s="29"/>
      <c r="T570" s="29"/>
      <c r="U570" s="27"/>
      <c r="V570" s="29"/>
      <c r="W570" s="29"/>
      <c r="X570" s="29"/>
      <c r="Y570" s="31"/>
      <c r="Z570" s="29"/>
      <c r="AA570" s="30"/>
      <c r="AB570" s="32"/>
      <c r="AC570" s="30"/>
      <c r="AD570" s="33"/>
      <c r="AE570" s="29"/>
      <c r="AF570" s="29"/>
      <c r="AG570" s="29"/>
    </row>
    <row r="571" spans="1:33" ht="15" customHeight="1" x14ac:dyDescent="0.25">
      <c r="A571" s="5">
        <v>38</v>
      </c>
      <c r="B571" s="38">
        <v>44090</v>
      </c>
      <c r="C571" s="38">
        <v>44076</v>
      </c>
      <c r="D571" s="38">
        <v>44069</v>
      </c>
      <c r="E571" s="34">
        <v>44090</v>
      </c>
      <c r="F571" s="5">
        <v>4827</v>
      </c>
      <c r="G571" s="5" t="s">
        <v>91</v>
      </c>
      <c r="H571" s="5" t="s">
        <v>43</v>
      </c>
      <c r="I571" s="5" t="s">
        <v>92</v>
      </c>
      <c r="J571" s="21" t="s">
        <v>109</v>
      </c>
      <c r="K571" s="21" t="s">
        <v>482</v>
      </c>
      <c r="L571" s="6" t="s">
        <v>483</v>
      </c>
      <c r="M571" s="5">
        <v>0</v>
      </c>
      <c r="N571" s="5" t="s">
        <v>91</v>
      </c>
      <c r="O571" s="5" t="s">
        <v>91</v>
      </c>
      <c r="P571" s="5" t="s">
        <v>91</v>
      </c>
      <c r="Q571" s="6"/>
      <c r="R571" s="6" t="s">
        <v>112</v>
      </c>
      <c r="S571" s="6"/>
      <c r="T571" s="6"/>
      <c r="U571" s="5"/>
      <c r="V571" s="6"/>
      <c r="W571" s="6" t="s">
        <v>484</v>
      </c>
      <c r="X571" s="6"/>
      <c r="Y571" s="22"/>
      <c r="Z571" s="6"/>
      <c r="AA571" s="21" t="s">
        <v>485</v>
      </c>
      <c r="AB571" s="23">
        <v>44074</v>
      </c>
      <c r="AC571" s="21" t="s">
        <v>30</v>
      </c>
      <c r="AD571" s="24" t="s">
        <v>486</v>
      </c>
      <c r="AE571" s="6" t="s">
        <v>38</v>
      </c>
      <c r="AF571" s="6"/>
      <c r="AG571" s="6" t="s">
        <v>3039</v>
      </c>
    </row>
    <row r="572" spans="1:33" ht="15" customHeight="1" x14ac:dyDescent="0.25">
      <c r="A572" s="5">
        <v>38</v>
      </c>
      <c r="B572" s="38">
        <v>44090</v>
      </c>
      <c r="C572" s="38">
        <v>44076</v>
      </c>
      <c r="D572" s="38">
        <v>44069</v>
      </c>
      <c r="E572" s="34">
        <v>44090</v>
      </c>
      <c r="F572" s="5">
        <v>4828</v>
      </c>
      <c r="G572" s="5" t="s">
        <v>91</v>
      </c>
      <c r="H572" s="5" t="s">
        <v>43</v>
      </c>
      <c r="I572" s="5" t="s">
        <v>92</v>
      </c>
      <c r="J572" s="21" t="s">
        <v>109</v>
      </c>
      <c r="K572" s="21" t="s">
        <v>487</v>
      </c>
      <c r="L572" s="6" t="s">
        <v>95</v>
      </c>
      <c r="M572" s="5">
        <v>2</v>
      </c>
      <c r="N572" s="5" t="s">
        <v>91</v>
      </c>
      <c r="O572" s="5" t="s">
        <v>91</v>
      </c>
      <c r="P572" s="5" t="s">
        <v>91</v>
      </c>
      <c r="Q572" s="6" t="s">
        <v>105</v>
      </c>
      <c r="R572" s="6" t="s">
        <v>112</v>
      </c>
      <c r="S572" s="6"/>
      <c r="T572" s="6"/>
      <c r="U572" s="5"/>
      <c r="V572" s="6"/>
      <c r="W572" s="6" t="s">
        <v>488</v>
      </c>
      <c r="X572" s="6"/>
      <c r="Y572" s="22"/>
      <c r="Z572" s="6">
        <v>1.2</v>
      </c>
      <c r="AA572" s="21">
        <v>15295</v>
      </c>
      <c r="AB572" s="23">
        <v>44075</v>
      </c>
      <c r="AC572" s="21" t="s">
        <v>30</v>
      </c>
      <c r="AD572" s="24" t="s">
        <v>489</v>
      </c>
      <c r="AE572" s="6" t="s">
        <v>31</v>
      </c>
      <c r="AF572" s="6"/>
      <c r="AG572" s="6" t="s">
        <v>3040</v>
      </c>
    </row>
    <row r="573" spans="1:33" ht="15" customHeight="1" x14ac:dyDescent="0.25">
      <c r="A573" s="5">
        <v>38</v>
      </c>
      <c r="B573" s="38">
        <v>44090</v>
      </c>
      <c r="C573" s="38">
        <v>44076</v>
      </c>
      <c r="D573" s="38">
        <v>44069</v>
      </c>
      <c r="E573" s="34">
        <v>44090</v>
      </c>
      <c r="F573" s="5">
        <v>5646</v>
      </c>
      <c r="G573" s="5" t="s">
        <v>91</v>
      </c>
      <c r="H573" s="5" t="s">
        <v>41</v>
      </c>
      <c r="I573" s="5" t="s">
        <v>92</v>
      </c>
      <c r="J573" s="21" t="s">
        <v>131</v>
      </c>
      <c r="K573" s="21" t="s">
        <v>497</v>
      </c>
      <c r="L573" s="6" t="s">
        <v>498</v>
      </c>
      <c r="M573" s="5">
        <v>16</v>
      </c>
      <c r="N573" s="5" t="s">
        <v>91</v>
      </c>
      <c r="O573" s="5" t="s">
        <v>91</v>
      </c>
      <c r="P573" s="5" t="s">
        <v>91</v>
      </c>
      <c r="Q573" s="6" t="s">
        <v>105</v>
      </c>
      <c r="R573" s="6" t="s">
        <v>112</v>
      </c>
      <c r="S573" s="6"/>
      <c r="T573" s="6"/>
      <c r="U573" s="5"/>
      <c r="V573" s="6"/>
      <c r="W573" s="6" t="s">
        <v>499</v>
      </c>
      <c r="X573" s="6"/>
      <c r="Y573" s="22"/>
      <c r="Z573" s="6"/>
      <c r="AA573" s="21"/>
      <c r="AB573" s="23">
        <v>44070</v>
      </c>
      <c r="AC573" s="21" t="s">
        <v>30</v>
      </c>
      <c r="AD573" s="24" t="s">
        <v>500</v>
      </c>
      <c r="AE573" s="6" t="s">
        <v>31</v>
      </c>
      <c r="AF573" s="6"/>
      <c r="AG573" s="6" t="s">
        <v>3040</v>
      </c>
    </row>
    <row r="574" spans="1:33" ht="15" customHeight="1" x14ac:dyDescent="0.25">
      <c r="A574" s="5">
        <v>38</v>
      </c>
      <c r="B574" s="38">
        <v>44090</v>
      </c>
      <c r="C574" s="38">
        <v>44076</v>
      </c>
      <c r="D574" s="38">
        <v>44069</v>
      </c>
      <c r="E574" s="34">
        <v>44090</v>
      </c>
      <c r="F574" s="5">
        <v>5655</v>
      </c>
      <c r="G574" s="5" t="s">
        <v>91</v>
      </c>
      <c r="H574" s="5" t="s">
        <v>41</v>
      </c>
      <c r="I574" s="5" t="s">
        <v>92</v>
      </c>
      <c r="J574" s="21" t="s">
        <v>131</v>
      </c>
      <c r="K574" s="21" t="s">
        <v>501</v>
      </c>
      <c r="L574" s="6" t="s">
        <v>95</v>
      </c>
      <c r="M574" s="5">
        <v>3</v>
      </c>
      <c r="N574" s="5" t="s">
        <v>91</v>
      </c>
      <c r="O574" s="5" t="s">
        <v>91</v>
      </c>
      <c r="P574" s="5" t="s">
        <v>91</v>
      </c>
      <c r="Q574" s="6" t="s">
        <v>105</v>
      </c>
      <c r="R574" s="6" t="s">
        <v>112</v>
      </c>
      <c r="S574" s="6"/>
      <c r="T574" s="6"/>
      <c r="U574" s="5"/>
      <c r="V574" s="6"/>
      <c r="W574" s="6" t="s">
        <v>502</v>
      </c>
      <c r="X574" s="6"/>
      <c r="Y574" s="22"/>
      <c r="Z574" s="6">
        <v>1.5</v>
      </c>
      <c r="AA574" s="21"/>
      <c r="AB574" s="23">
        <v>44074</v>
      </c>
      <c r="AC574" s="21" t="s">
        <v>30</v>
      </c>
      <c r="AD574" s="24" t="s">
        <v>503</v>
      </c>
      <c r="AE574" s="6" t="s">
        <v>31</v>
      </c>
      <c r="AF574" s="6"/>
      <c r="AG574" s="6" t="s">
        <v>3041</v>
      </c>
    </row>
    <row r="575" spans="1:33" ht="15" customHeight="1" x14ac:dyDescent="0.25">
      <c r="A575" s="5">
        <v>38</v>
      </c>
      <c r="B575" s="38">
        <v>44090</v>
      </c>
      <c r="C575" s="38">
        <v>44076</v>
      </c>
      <c r="D575" s="38">
        <v>44069</v>
      </c>
      <c r="E575" s="34">
        <v>44090</v>
      </c>
      <c r="F575" s="5">
        <v>5660</v>
      </c>
      <c r="G575" s="5" t="s">
        <v>91</v>
      </c>
      <c r="H575" s="5" t="s">
        <v>41</v>
      </c>
      <c r="I575" s="5" t="s">
        <v>92</v>
      </c>
      <c r="J575" s="21" t="s">
        <v>131</v>
      </c>
      <c r="K575" s="21" t="s">
        <v>506</v>
      </c>
      <c r="L575" s="6" t="s">
        <v>95</v>
      </c>
      <c r="M575" s="5">
        <v>0</v>
      </c>
      <c r="N575" s="5" t="s">
        <v>91</v>
      </c>
      <c r="O575" s="5" t="s">
        <v>91</v>
      </c>
      <c r="P575" s="5" t="s">
        <v>91</v>
      </c>
      <c r="Q575" s="6"/>
      <c r="R575" s="6" t="s">
        <v>123</v>
      </c>
      <c r="S575" s="6"/>
      <c r="T575" s="6"/>
      <c r="U575" s="5"/>
      <c r="V575" s="6"/>
      <c r="W575" s="6" t="s">
        <v>502</v>
      </c>
      <c r="X575" s="6"/>
      <c r="Y575" s="22"/>
      <c r="Z575" s="6"/>
      <c r="AA575" s="21"/>
      <c r="AB575" s="23">
        <v>44083</v>
      </c>
      <c r="AC575" s="21" t="s">
        <v>33</v>
      </c>
      <c r="AD575" s="24" t="s">
        <v>507</v>
      </c>
      <c r="AE575" s="6" t="s">
        <v>34</v>
      </c>
      <c r="AF575" s="6"/>
      <c r="AG575" s="6" t="s">
        <v>3039</v>
      </c>
    </row>
    <row r="576" spans="1:33" ht="7.5" customHeight="1" x14ac:dyDescent="0.25">
      <c r="A576" s="27"/>
      <c r="B576" s="39"/>
      <c r="C576" s="39"/>
      <c r="D576" s="39"/>
      <c r="E576" s="28"/>
      <c r="F576" s="27"/>
      <c r="G576" s="27"/>
      <c r="H576" s="27"/>
      <c r="I576" s="27"/>
      <c r="J576" s="30"/>
      <c r="K576" s="30"/>
      <c r="L576" s="29"/>
      <c r="M576" s="27"/>
      <c r="N576" s="27"/>
      <c r="O576" s="27"/>
      <c r="P576" s="27"/>
      <c r="Q576" s="29"/>
      <c r="R576" s="29"/>
      <c r="S576" s="29"/>
      <c r="T576" s="29"/>
      <c r="U576" s="27"/>
      <c r="V576" s="29"/>
      <c r="W576" s="29"/>
      <c r="X576" s="29"/>
      <c r="Y576" s="31"/>
      <c r="Z576" s="29"/>
      <c r="AA576" s="30"/>
      <c r="AB576" s="32"/>
      <c r="AC576" s="30"/>
      <c r="AD576" s="33"/>
      <c r="AE576" s="29"/>
      <c r="AF576" s="29"/>
      <c r="AG576" s="29"/>
    </row>
    <row r="577" spans="1:33" ht="15" customHeight="1" x14ac:dyDescent="0.25">
      <c r="A577" s="5">
        <v>40</v>
      </c>
      <c r="B577" s="38">
        <v>44103</v>
      </c>
      <c r="C577" s="38">
        <v>44076</v>
      </c>
      <c r="D577" s="38">
        <v>44050</v>
      </c>
      <c r="E577" s="36">
        <v>44103</v>
      </c>
      <c r="F577" s="5">
        <v>7762</v>
      </c>
      <c r="G577" s="5" t="s">
        <v>91</v>
      </c>
      <c r="H577" s="5" t="s">
        <v>43</v>
      </c>
      <c r="I577" s="5" t="s">
        <v>92</v>
      </c>
      <c r="J577" s="21" t="s">
        <v>214</v>
      </c>
      <c r="K577" s="21" t="s">
        <v>227</v>
      </c>
      <c r="L577" s="6" t="s">
        <v>228</v>
      </c>
      <c r="M577" s="5">
        <v>0</v>
      </c>
      <c r="N577" s="5" t="s">
        <v>91</v>
      </c>
      <c r="O577" s="5" t="s">
        <v>91</v>
      </c>
      <c r="P577" s="5" t="s">
        <v>91</v>
      </c>
      <c r="Q577" s="6"/>
      <c r="R577" s="6" t="s">
        <v>229</v>
      </c>
      <c r="S577" s="6"/>
      <c r="T577" s="6"/>
      <c r="U577" s="5"/>
      <c r="V577" s="6"/>
      <c r="W577" s="6" t="s">
        <v>224</v>
      </c>
      <c r="X577" s="6"/>
      <c r="Y577" s="22"/>
      <c r="Z577" s="6"/>
      <c r="AA577" s="21" t="s">
        <v>230</v>
      </c>
      <c r="AB577" s="23">
        <v>44056</v>
      </c>
      <c r="AC577" s="21" t="s">
        <v>32</v>
      </c>
      <c r="AD577" s="24" t="s">
        <v>115</v>
      </c>
      <c r="AE577" s="6" t="s">
        <v>36</v>
      </c>
      <c r="AF577" s="6"/>
      <c r="AG577" s="6" t="s">
        <v>3041</v>
      </c>
    </row>
    <row r="578" spans="1:33" ht="7.5" customHeight="1" x14ac:dyDescent="0.25">
      <c r="A578" s="27"/>
      <c r="B578" s="39"/>
      <c r="C578" s="39"/>
      <c r="D578" s="39"/>
      <c r="E578" s="28"/>
      <c r="F578" s="27"/>
      <c r="G578" s="27"/>
      <c r="H578" s="27"/>
      <c r="I578" s="27"/>
      <c r="J578" s="30"/>
      <c r="K578" s="30"/>
      <c r="L578" s="29"/>
      <c r="M578" s="27"/>
      <c r="N578" s="27"/>
      <c r="O578" s="27"/>
      <c r="P578" s="27"/>
      <c r="Q578" s="29"/>
      <c r="R578" s="29"/>
      <c r="S578" s="29"/>
      <c r="T578" s="29"/>
      <c r="U578" s="27"/>
      <c r="V578" s="29"/>
      <c r="W578" s="29"/>
      <c r="X578" s="29"/>
      <c r="Y578" s="31"/>
      <c r="Z578" s="29"/>
      <c r="AA578" s="30"/>
      <c r="AB578" s="32"/>
      <c r="AC578" s="30"/>
      <c r="AD578" s="33"/>
      <c r="AE578" s="29"/>
      <c r="AF578" s="29"/>
      <c r="AG578" s="29"/>
    </row>
    <row r="579" spans="1:33" ht="15" customHeight="1" x14ac:dyDescent="0.25">
      <c r="A579" s="5">
        <v>37</v>
      </c>
      <c r="B579" s="38">
        <v>44085</v>
      </c>
      <c r="C579" s="38">
        <v>44076</v>
      </c>
      <c r="D579" s="38">
        <v>44057</v>
      </c>
      <c r="E579" s="37">
        <v>44085</v>
      </c>
      <c r="F579" s="5">
        <v>8751</v>
      </c>
      <c r="G579" s="5" t="s">
        <v>91</v>
      </c>
      <c r="H579" s="5" t="s">
        <v>40</v>
      </c>
      <c r="I579" s="5" t="s">
        <v>92</v>
      </c>
      <c r="J579" s="21" t="s">
        <v>147</v>
      </c>
      <c r="K579" s="21" t="s">
        <v>1658</v>
      </c>
      <c r="L579" s="6" t="s">
        <v>1659</v>
      </c>
      <c r="M579" s="5">
        <v>5</v>
      </c>
      <c r="N579" s="5" t="s">
        <v>91</v>
      </c>
      <c r="O579" s="5" t="s">
        <v>91</v>
      </c>
      <c r="P579" s="5" t="s">
        <v>91</v>
      </c>
      <c r="Q579" s="6"/>
      <c r="R579" s="6"/>
      <c r="S579" s="6"/>
      <c r="T579" s="6"/>
      <c r="U579" s="5"/>
      <c r="V579" s="6"/>
      <c r="W579" s="6"/>
      <c r="X579" s="6"/>
      <c r="Y579" s="22"/>
      <c r="Z579" s="6"/>
      <c r="AA579" s="21"/>
      <c r="AB579" s="23">
        <v>44062</v>
      </c>
      <c r="AC579" s="21" t="s">
        <v>32</v>
      </c>
      <c r="AD579" s="24" t="s">
        <v>44</v>
      </c>
      <c r="AE579" s="6" t="s">
        <v>31</v>
      </c>
      <c r="AF579" s="6"/>
      <c r="AG579" s="6" t="s">
        <v>3041</v>
      </c>
    </row>
    <row r="580" spans="1:33" ht="7.5" customHeight="1" x14ac:dyDescent="0.25">
      <c r="A580" s="27"/>
      <c r="B580" s="39"/>
      <c r="C580" s="39"/>
      <c r="D580" s="39"/>
      <c r="E580" s="28"/>
      <c r="F580" s="27"/>
      <c r="G580" s="27"/>
      <c r="H580" s="27"/>
      <c r="I580" s="27"/>
      <c r="J580" s="30"/>
      <c r="K580" s="30"/>
      <c r="L580" s="29"/>
      <c r="M580" s="27"/>
      <c r="N580" s="27"/>
      <c r="O580" s="27"/>
      <c r="P580" s="27"/>
      <c r="Q580" s="29"/>
      <c r="R580" s="29"/>
      <c r="S580" s="29"/>
      <c r="T580" s="29"/>
      <c r="U580" s="27"/>
      <c r="V580" s="29"/>
      <c r="W580" s="29"/>
      <c r="X580" s="29"/>
      <c r="Y580" s="31"/>
      <c r="Z580" s="29"/>
      <c r="AA580" s="30"/>
      <c r="AB580" s="32"/>
      <c r="AC580" s="30"/>
      <c r="AD580" s="33"/>
      <c r="AE580" s="29"/>
      <c r="AF580" s="29"/>
      <c r="AG580" s="29"/>
    </row>
    <row r="581" spans="1:33" ht="15" customHeight="1" x14ac:dyDescent="0.25">
      <c r="A581" s="5">
        <v>38</v>
      </c>
      <c r="B581" s="38">
        <v>44090</v>
      </c>
      <c r="C581" s="38">
        <v>44076</v>
      </c>
      <c r="D581" s="38">
        <v>44069</v>
      </c>
      <c r="E581" s="34">
        <v>44090</v>
      </c>
      <c r="F581" s="5">
        <v>8769</v>
      </c>
      <c r="G581" s="5" t="s">
        <v>91</v>
      </c>
      <c r="H581" s="5" t="s">
        <v>41</v>
      </c>
      <c r="I581" s="5" t="s">
        <v>92</v>
      </c>
      <c r="J581" s="21" t="s">
        <v>147</v>
      </c>
      <c r="K581" s="21" t="s">
        <v>508</v>
      </c>
      <c r="L581" s="6" t="s">
        <v>509</v>
      </c>
      <c r="M581" s="5">
        <v>0</v>
      </c>
      <c r="N581" s="5" t="s">
        <v>91</v>
      </c>
      <c r="O581" s="5" t="s">
        <v>91</v>
      </c>
      <c r="P581" s="5" t="s">
        <v>91</v>
      </c>
      <c r="Q581" s="6"/>
      <c r="R581" s="6" t="s">
        <v>510</v>
      </c>
      <c r="S581" s="6"/>
      <c r="T581" s="6"/>
      <c r="U581" s="5"/>
      <c r="V581" s="6"/>
      <c r="W581" s="6" t="s">
        <v>440</v>
      </c>
      <c r="X581" s="6"/>
      <c r="Y581" s="22"/>
      <c r="Z581" s="6"/>
      <c r="AA581" s="21"/>
      <c r="AB581" s="23">
        <v>44089</v>
      </c>
      <c r="AC581" s="21" t="s">
        <v>30</v>
      </c>
      <c r="AD581" s="24" t="s">
        <v>44</v>
      </c>
      <c r="AE581" s="6" t="s">
        <v>31</v>
      </c>
      <c r="AF581" s="6"/>
      <c r="AG581" s="6" t="s">
        <v>3040</v>
      </c>
    </row>
    <row r="582" spans="1:33" ht="15" customHeight="1" x14ac:dyDescent="0.25">
      <c r="A582" s="5">
        <v>38</v>
      </c>
      <c r="B582" s="38">
        <v>44090</v>
      </c>
      <c r="C582" s="38">
        <v>44076</v>
      </c>
      <c r="D582" s="38">
        <v>44069</v>
      </c>
      <c r="E582" s="34">
        <v>44090</v>
      </c>
      <c r="F582" s="5">
        <v>9686</v>
      </c>
      <c r="G582" s="5" t="s">
        <v>91</v>
      </c>
      <c r="H582" s="5" t="s">
        <v>43</v>
      </c>
      <c r="I582" s="5" t="s">
        <v>92</v>
      </c>
      <c r="J582" s="21" t="s">
        <v>159</v>
      </c>
      <c r="K582" s="21">
        <v>257695</v>
      </c>
      <c r="L582" s="6" t="s">
        <v>152</v>
      </c>
      <c r="M582" s="5">
        <v>2</v>
      </c>
      <c r="N582" s="5" t="s">
        <v>91</v>
      </c>
      <c r="O582" s="5" t="s">
        <v>91</v>
      </c>
      <c r="P582" s="5" t="s">
        <v>91</v>
      </c>
      <c r="Q582" s="6"/>
      <c r="R582" s="6" t="s">
        <v>163</v>
      </c>
      <c r="S582" s="6"/>
      <c r="T582" s="6"/>
      <c r="U582" s="5"/>
      <c r="V582" s="6" t="s">
        <v>164</v>
      </c>
      <c r="W582" s="6" t="s">
        <v>511</v>
      </c>
      <c r="X582" s="6"/>
      <c r="Y582" s="22"/>
      <c r="Z582" s="6"/>
      <c r="AA582" s="21">
        <v>257695</v>
      </c>
      <c r="AB582" s="23">
        <v>44075</v>
      </c>
      <c r="AC582" s="21" t="s">
        <v>30</v>
      </c>
      <c r="AD582" s="24" t="s">
        <v>512</v>
      </c>
      <c r="AE582" s="6" t="s">
        <v>31</v>
      </c>
      <c r="AF582" s="6"/>
      <c r="AG582" s="6" t="s">
        <v>3041</v>
      </c>
    </row>
    <row r="583" spans="1:33" ht="7.5" customHeight="1" x14ac:dyDescent="0.25">
      <c r="A583" s="27"/>
      <c r="B583" s="39"/>
      <c r="C583" s="39"/>
      <c r="D583" s="39"/>
      <c r="E583" s="28"/>
      <c r="F583" s="27"/>
      <c r="G583" s="27"/>
      <c r="H583" s="27"/>
      <c r="I583" s="27"/>
      <c r="J583" s="30"/>
      <c r="K583" s="30"/>
      <c r="L583" s="29"/>
      <c r="M583" s="27"/>
      <c r="N583" s="27"/>
      <c r="O583" s="27"/>
      <c r="P583" s="27"/>
      <c r="Q583" s="29"/>
      <c r="R583" s="29"/>
      <c r="S583" s="29"/>
      <c r="T583" s="29"/>
      <c r="U583" s="27"/>
      <c r="V583" s="29"/>
      <c r="W583" s="29"/>
      <c r="X583" s="29"/>
      <c r="Y583" s="31"/>
      <c r="Z583" s="29"/>
      <c r="AA583" s="30"/>
      <c r="AB583" s="32"/>
      <c r="AC583" s="30"/>
      <c r="AD583" s="33"/>
      <c r="AE583" s="29"/>
      <c r="AF583" s="29"/>
      <c r="AG583" s="29"/>
    </row>
    <row r="584" spans="1:33" ht="15" customHeight="1" x14ac:dyDescent="0.25">
      <c r="A584" s="5">
        <v>38</v>
      </c>
      <c r="B584" s="38">
        <v>44088</v>
      </c>
      <c r="C584" s="38">
        <v>44077</v>
      </c>
      <c r="D584" s="38">
        <v>44048</v>
      </c>
      <c r="E584" s="34">
        <v>44088</v>
      </c>
      <c r="F584" s="5">
        <v>10679</v>
      </c>
      <c r="G584" s="5" t="s">
        <v>91</v>
      </c>
      <c r="H584" s="5" t="s">
        <v>43</v>
      </c>
      <c r="I584" s="5" t="s">
        <v>92</v>
      </c>
      <c r="J584" s="21" t="s">
        <v>170</v>
      </c>
      <c r="K584" s="21" t="s">
        <v>1674</v>
      </c>
      <c r="L584" s="6" t="s">
        <v>1409</v>
      </c>
      <c r="M584" s="5">
        <v>0</v>
      </c>
      <c r="N584" s="5" t="s">
        <v>91</v>
      </c>
      <c r="O584" s="5" t="s">
        <v>91</v>
      </c>
      <c r="P584" s="5" t="s">
        <v>91</v>
      </c>
      <c r="Q584" s="6"/>
      <c r="R584" s="6" t="s">
        <v>112</v>
      </c>
      <c r="S584" s="6"/>
      <c r="T584" s="6"/>
      <c r="U584" s="5"/>
      <c r="V584" s="6"/>
      <c r="W584" s="6" t="s">
        <v>471</v>
      </c>
      <c r="X584" s="6" t="s">
        <v>1410</v>
      </c>
      <c r="Y584" s="22"/>
      <c r="Z584" s="6">
        <v>0</v>
      </c>
      <c r="AA584" s="21" t="s">
        <v>1411</v>
      </c>
      <c r="AB584" s="23">
        <v>44054</v>
      </c>
      <c r="AC584" s="21" t="s">
        <v>30</v>
      </c>
      <c r="AD584" s="24" t="s">
        <v>115</v>
      </c>
      <c r="AE584" s="6" t="s">
        <v>38</v>
      </c>
      <c r="AF584" s="6"/>
      <c r="AG584" s="6" t="s">
        <v>3039</v>
      </c>
    </row>
    <row r="585" spans="1:33" ht="15" customHeight="1" x14ac:dyDescent="0.25">
      <c r="A585" s="5">
        <v>38</v>
      </c>
      <c r="B585" s="38">
        <v>44088</v>
      </c>
      <c r="C585" s="38">
        <v>44077</v>
      </c>
      <c r="D585" s="38">
        <v>44042</v>
      </c>
      <c r="E585" s="34">
        <v>44088</v>
      </c>
      <c r="F585" s="5">
        <v>3044</v>
      </c>
      <c r="G585" s="5" t="s">
        <v>91</v>
      </c>
      <c r="H585" s="5" t="s">
        <v>40</v>
      </c>
      <c r="I585" s="5" t="s">
        <v>92</v>
      </c>
      <c r="J585" s="21" t="s">
        <v>93</v>
      </c>
      <c r="K585" s="21" t="s">
        <v>1684</v>
      </c>
      <c r="L585" s="6" t="s">
        <v>95</v>
      </c>
      <c r="M585" s="5">
        <v>16</v>
      </c>
      <c r="N585" s="5" t="s">
        <v>91</v>
      </c>
      <c r="O585" s="5" t="s">
        <v>91</v>
      </c>
      <c r="P585" s="5" t="s">
        <v>91</v>
      </c>
      <c r="Q585" s="6" t="s">
        <v>105</v>
      </c>
      <c r="R585" s="6" t="s">
        <v>97</v>
      </c>
      <c r="S585" s="6" t="s">
        <v>265</v>
      </c>
      <c r="T585" s="6"/>
      <c r="U585" s="5"/>
      <c r="V585" s="6"/>
      <c r="W585" s="6" t="s">
        <v>1685</v>
      </c>
      <c r="X585" s="6" t="s">
        <v>1686</v>
      </c>
      <c r="Y585" s="22"/>
      <c r="Z585" s="6"/>
      <c r="AA585" s="21">
        <v>10159</v>
      </c>
      <c r="AB585" s="23">
        <v>44040</v>
      </c>
      <c r="AC585" s="21" t="s">
        <v>32</v>
      </c>
      <c r="AD585" s="24" t="s">
        <v>1687</v>
      </c>
      <c r="AE585" s="6" t="s">
        <v>31</v>
      </c>
      <c r="AF585" s="6"/>
      <c r="AG585" s="6" t="s">
        <v>3042</v>
      </c>
    </row>
    <row r="586" spans="1:33" ht="7.5" customHeight="1" x14ac:dyDescent="0.25">
      <c r="A586" s="27"/>
      <c r="B586" s="39"/>
      <c r="C586" s="39"/>
      <c r="D586" s="39"/>
      <c r="E586" s="28"/>
      <c r="F586" s="27"/>
      <c r="G586" s="27"/>
      <c r="H586" s="27"/>
      <c r="I586" s="27"/>
      <c r="J586" s="30"/>
      <c r="K586" s="30"/>
      <c r="L586" s="29"/>
      <c r="M586" s="27"/>
      <c r="N586" s="27"/>
      <c r="O586" s="27"/>
      <c r="P586" s="27"/>
      <c r="Q586" s="29"/>
      <c r="R586" s="29"/>
      <c r="S586" s="29"/>
      <c r="T586" s="29"/>
      <c r="U586" s="27"/>
      <c r="V586" s="29"/>
      <c r="W586" s="29"/>
      <c r="X586" s="29"/>
      <c r="Y586" s="31"/>
      <c r="Z586" s="29"/>
      <c r="AA586" s="30"/>
      <c r="AB586" s="32"/>
      <c r="AC586" s="30"/>
      <c r="AD586" s="33"/>
      <c r="AE586" s="29"/>
      <c r="AF586" s="29"/>
      <c r="AG586" s="29"/>
    </row>
    <row r="587" spans="1:33" ht="15" customHeight="1" x14ac:dyDescent="0.25">
      <c r="A587" s="5">
        <v>38</v>
      </c>
      <c r="B587" s="38">
        <v>44091</v>
      </c>
      <c r="C587" s="38">
        <v>44077</v>
      </c>
      <c r="D587" s="38">
        <v>44070</v>
      </c>
      <c r="E587" s="34">
        <v>44091</v>
      </c>
      <c r="F587" s="5">
        <v>3082</v>
      </c>
      <c r="G587" s="5" t="s">
        <v>91</v>
      </c>
      <c r="H587" s="5" t="s">
        <v>43</v>
      </c>
      <c r="I587" s="5" t="s">
        <v>92</v>
      </c>
      <c r="J587" s="21" t="s">
        <v>93</v>
      </c>
      <c r="K587" s="21" t="s">
        <v>407</v>
      </c>
      <c r="L587" s="6" t="s">
        <v>95</v>
      </c>
      <c r="M587" s="5">
        <v>0</v>
      </c>
      <c r="N587" s="5" t="s">
        <v>91</v>
      </c>
      <c r="O587" s="5" t="s">
        <v>91</v>
      </c>
      <c r="P587" s="5" t="s">
        <v>91</v>
      </c>
      <c r="Q587" s="6" t="s">
        <v>105</v>
      </c>
      <c r="R587" s="6" t="s">
        <v>106</v>
      </c>
      <c r="S587" s="6"/>
      <c r="T587" s="6"/>
      <c r="U587" s="5"/>
      <c r="V587" s="6"/>
      <c r="W587" s="6" t="s">
        <v>106</v>
      </c>
      <c r="X587" s="6"/>
      <c r="Y587" s="22"/>
      <c r="Z587" s="6"/>
      <c r="AA587" s="21">
        <v>10163</v>
      </c>
      <c r="AB587" s="23">
        <v>44088</v>
      </c>
      <c r="AC587" s="21" t="s">
        <v>32</v>
      </c>
      <c r="AD587" s="24" t="s">
        <v>410</v>
      </c>
      <c r="AE587" s="6" t="s">
        <v>31</v>
      </c>
      <c r="AF587" s="6"/>
      <c r="AG587" s="6" t="s">
        <v>3039</v>
      </c>
    </row>
    <row r="588" spans="1:33" ht="15" customHeight="1" x14ac:dyDescent="0.25">
      <c r="A588" s="5">
        <v>38</v>
      </c>
      <c r="B588" s="38">
        <v>44091</v>
      </c>
      <c r="C588" s="38">
        <v>44077</v>
      </c>
      <c r="D588" s="38">
        <v>44070</v>
      </c>
      <c r="E588" s="34">
        <v>44091</v>
      </c>
      <c r="F588" s="5">
        <v>3083</v>
      </c>
      <c r="G588" s="5" t="s">
        <v>91</v>
      </c>
      <c r="H588" s="5" t="s">
        <v>43</v>
      </c>
      <c r="I588" s="5" t="s">
        <v>92</v>
      </c>
      <c r="J588" s="21" t="s">
        <v>93</v>
      </c>
      <c r="K588" s="21" t="s">
        <v>520</v>
      </c>
      <c r="L588" s="6" t="s">
        <v>95</v>
      </c>
      <c r="M588" s="5">
        <v>0</v>
      </c>
      <c r="N588" s="5" t="s">
        <v>91</v>
      </c>
      <c r="O588" s="5" t="s">
        <v>91</v>
      </c>
      <c r="P588" s="5" t="s">
        <v>91</v>
      </c>
      <c r="Q588" s="6" t="s">
        <v>105</v>
      </c>
      <c r="R588" s="6" t="s">
        <v>107</v>
      </c>
      <c r="S588" s="6"/>
      <c r="T588" s="6"/>
      <c r="U588" s="5"/>
      <c r="V588" s="6"/>
      <c r="W588" s="6" t="s">
        <v>106</v>
      </c>
      <c r="X588" s="6"/>
      <c r="Y588" s="22"/>
      <c r="Z588" s="6"/>
      <c r="AA588" s="21" t="s">
        <v>521</v>
      </c>
      <c r="AB588" s="23">
        <v>44090</v>
      </c>
      <c r="AC588" s="21" t="s">
        <v>30</v>
      </c>
      <c r="AD588" s="24" t="s">
        <v>522</v>
      </c>
      <c r="AE588" s="6" t="s">
        <v>31</v>
      </c>
      <c r="AF588" s="6"/>
      <c r="AG588" s="6" t="s">
        <v>3040</v>
      </c>
    </row>
    <row r="589" spans="1:33" ht="7.5" customHeight="1" x14ac:dyDescent="0.25">
      <c r="A589" s="27"/>
      <c r="B589" s="39"/>
      <c r="C589" s="39"/>
      <c r="D589" s="39"/>
      <c r="E589" s="28"/>
      <c r="F589" s="27"/>
      <c r="G589" s="27"/>
      <c r="H589" s="27"/>
      <c r="I589" s="27"/>
      <c r="J589" s="30"/>
      <c r="K589" s="30"/>
      <c r="L589" s="29"/>
      <c r="M589" s="27"/>
      <c r="N589" s="27"/>
      <c r="O589" s="27"/>
      <c r="P589" s="27"/>
      <c r="Q589" s="29"/>
      <c r="R589" s="29"/>
      <c r="S589" s="29"/>
      <c r="T589" s="29"/>
      <c r="U589" s="27"/>
      <c r="V589" s="29"/>
      <c r="W589" s="29"/>
      <c r="X589" s="29"/>
      <c r="Y589" s="31"/>
      <c r="Z589" s="29"/>
      <c r="AA589" s="30"/>
      <c r="AB589" s="32"/>
      <c r="AC589" s="30"/>
      <c r="AD589" s="33"/>
      <c r="AE589" s="29"/>
      <c r="AF589" s="29"/>
      <c r="AG589" s="29"/>
    </row>
    <row r="590" spans="1:33" ht="15" customHeight="1" x14ac:dyDescent="0.25">
      <c r="A590" s="5">
        <v>39</v>
      </c>
      <c r="B590" s="38">
        <v>44095</v>
      </c>
      <c r="C590" s="38">
        <v>44077</v>
      </c>
      <c r="D590" s="38">
        <v>44053</v>
      </c>
      <c r="E590" s="35">
        <v>44095</v>
      </c>
      <c r="F590" s="5">
        <v>3055</v>
      </c>
      <c r="G590" s="5" t="s">
        <v>91</v>
      </c>
      <c r="H590" s="5" t="s">
        <v>41</v>
      </c>
      <c r="I590" s="5" t="s">
        <v>92</v>
      </c>
      <c r="J590" s="21" t="s">
        <v>93</v>
      </c>
      <c r="K590" s="21" t="s">
        <v>311</v>
      </c>
      <c r="L590" s="6" t="s">
        <v>312</v>
      </c>
      <c r="M590" s="5">
        <v>4</v>
      </c>
      <c r="N590" s="5" t="s">
        <v>91</v>
      </c>
      <c r="O590" s="5" t="s">
        <v>91</v>
      </c>
      <c r="P590" s="5" t="s">
        <v>91</v>
      </c>
      <c r="Q590" s="6" t="s">
        <v>105</v>
      </c>
      <c r="R590" s="6" t="s">
        <v>313</v>
      </c>
      <c r="S590" s="6" t="s">
        <v>265</v>
      </c>
      <c r="T590" s="6"/>
      <c r="U590" s="5"/>
      <c r="V590" s="6"/>
      <c r="W590" s="6" t="s">
        <v>314</v>
      </c>
      <c r="X590" s="6" t="s">
        <v>315</v>
      </c>
      <c r="Y590" s="22"/>
      <c r="Z590" s="6"/>
      <c r="AA590" s="21">
        <v>10169</v>
      </c>
      <c r="AB590" s="23">
        <v>44057</v>
      </c>
      <c r="AC590" s="21" t="s">
        <v>30</v>
      </c>
      <c r="AD590" s="24" t="s">
        <v>316</v>
      </c>
      <c r="AE590" s="6" t="s">
        <v>37</v>
      </c>
      <c r="AF590" s="6"/>
      <c r="AG590" s="6" t="s">
        <v>3039</v>
      </c>
    </row>
    <row r="591" spans="1:33" ht="7.5" customHeight="1" x14ac:dyDescent="0.25">
      <c r="A591" s="27"/>
      <c r="B591" s="39"/>
      <c r="C591" s="39"/>
      <c r="D591" s="39"/>
      <c r="E591" s="28"/>
      <c r="F591" s="27"/>
      <c r="G591" s="27"/>
      <c r="H591" s="27"/>
      <c r="I591" s="27"/>
      <c r="J591" s="30"/>
      <c r="K591" s="30"/>
      <c r="L591" s="29"/>
      <c r="M591" s="27"/>
      <c r="N591" s="27"/>
      <c r="O591" s="27"/>
      <c r="P591" s="27"/>
      <c r="Q591" s="29"/>
      <c r="R591" s="29"/>
      <c r="S591" s="29"/>
      <c r="T591" s="29"/>
      <c r="U591" s="27"/>
      <c r="V591" s="29"/>
      <c r="W591" s="29"/>
      <c r="X591" s="29"/>
      <c r="Y591" s="31"/>
      <c r="Z591" s="29"/>
      <c r="AA591" s="30"/>
      <c r="AB591" s="32"/>
      <c r="AC591" s="30"/>
      <c r="AD591" s="33"/>
      <c r="AE591" s="29"/>
      <c r="AF591" s="29"/>
      <c r="AG591" s="29"/>
    </row>
    <row r="592" spans="1:33" ht="15" customHeight="1" x14ac:dyDescent="0.25">
      <c r="A592" s="5">
        <v>41</v>
      </c>
      <c r="B592" s="38">
        <v>44109</v>
      </c>
      <c r="C592" s="38">
        <v>44077</v>
      </c>
      <c r="D592" s="38">
        <v>44070</v>
      </c>
      <c r="E592" s="28">
        <v>44109</v>
      </c>
      <c r="F592" s="5">
        <v>5657</v>
      </c>
      <c r="G592" s="5" t="s">
        <v>91</v>
      </c>
      <c r="H592" s="5" t="s">
        <v>43</v>
      </c>
      <c r="I592" s="5" t="s">
        <v>92</v>
      </c>
      <c r="J592" s="21" t="s">
        <v>131</v>
      </c>
      <c r="K592" s="21" t="s">
        <v>1775</v>
      </c>
      <c r="L592" s="6" t="s">
        <v>1776</v>
      </c>
      <c r="M592" s="5">
        <v>4</v>
      </c>
      <c r="N592" s="5" t="s">
        <v>91</v>
      </c>
      <c r="O592" s="5" t="s">
        <v>91</v>
      </c>
      <c r="P592" s="5" t="s">
        <v>91</v>
      </c>
      <c r="Q592" s="6"/>
      <c r="R592" s="6" t="s">
        <v>112</v>
      </c>
      <c r="S592" s="6"/>
      <c r="T592" s="6"/>
      <c r="U592" s="5"/>
      <c r="V592" s="6"/>
      <c r="W592" s="6" t="s">
        <v>183</v>
      </c>
      <c r="X592" s="6"/>
      <c r="Y592" s="22"/>
      <c r="Z592" s="6">
        <v>1.32</v>
      </c>
      <c r="AA592" s="21"/>
      <c r="AB592" s="23">
        <v>44078</v>
      </c>
      <c r="AC592" s="21" t="s">
        <v>32</v>
      </c>
      <c r="AD592" s="24" t="s">
        <v>1777</v>
      </c>
      <c r="AE592" s="6" t="s">
        <v>37</v>
      </c>
      <c r="AF592" s="6"/>
      <c r="AG592" s="6" t="s">
        <v>3040</v>
      </c>
    </row>
    <row r="593" spans="1:33" ht="7.5" customHeight="1" x14ac:dyDescent="0.25">
      <c r="A593" s="27"/>
      <c r="B593" s="39"/>
      <c r="C593" s="39"/>
      <c r="D593" s="39"/>
      <c r="E593" s="28"/>
      <c r="F593" s="27"/>
      <c r="G593" s="27"/>
      <c r="H593" s="27"/>
      <c r="I593" s="27"/>
      <c r="J593" s="30"/>
      <c r="K593" s="30"/>
      <c r="L593" s="29"/>
      <c r="M593" s="27"/>
      <c r="N593" s="27"/>
      <c r="O593" s="27"/>
      <c r="P593" s="27"/>
      <c r="Q593" s="29"/>
      <c r="R593" s="29"/>
      <c r="S593" s="29"/>
      <c r="T593" s="29"/>
      <c r="U593" s="27"/>
      <c r="V593" s="29"/>
      <c r="W593" s="29"/>
      <c r="X593" s="29"/>
      <c r="Y593" s="31"/>
      <c r="Z593" s="29"/>
      <c r="AA593" s="30"/>
      <c r="AB593" s="32"/>
      <c r="AC593" s="30"/>
      <c r="AD593" s="33"/>
      <c r="AE593" s="29"/>
      <c r="AF593" s="29"/>
      <c r="AG593" s="29"/>
    </row>
    <row r="594" spans="1:33" ht="15" customHeight="1" x14ac:dyDescent="0.25">
      <c r="A594" s="5">
        <v>38</v>
      </c>
      <c r="B594" s="38">
        <v>44092</v>
      </c>
      <c r="C594" s="38">
        <v>44078</v>
      </c>
      <c r="D594" s="38">
        <v>44071</v>
      </c>
      <c r="E594" s="34">
        <v>44092</v>
      </c>
      <c r="F594" s="5">
        <v>4821</v>
      </c>
      <c r="G594" s="5" t="s">
        <v>91</v>
      </c>
      <c r="H594" s="5" t="s">
        <v>43</v>
      </c>
      <c r="I594" s="5" t="s">
        <v>92</v>
      </c>
      <c r="J594" s="21" t="s">
        <v>109</v>
      </c>
      <c r="K594" s="21" t="s">
        <v>534</v>
      </c>
      <c r="L594" s="6" t="s">
        <v>535</v>
      </c>
      <c r="M594" s="5">
        <v>12</v>
      </c>
      <c r="N594" s="5" t="s">
        <v>91</v>
      </c>
      <c r="O594" s="5" t="s">
        <v>91</v>
      </c>
      <c r="P594" s="5" t="s">
        <v>91</v>
      </c>
      <c r="Q594" s="6" t="s">
        <v>105</v>
      </c>
      <c r="R594" s="6" t="s">
        <v>112</v>
      </c>
      <c r="S594" s="6"/>
      <c r="T594" s="6"/>
      <c r="U594" s="5"/>
      <c r="V594" s="6"/>
      <c r="W594" s="6" t="s">
        <v>536</v>
      </c>
      <c r="X594" s="6"/>
      <c r="Y594" s="22"/>
      <c r="Z594" s="6">
        <v>3.3</v>
      </c>
      <c r="AA594" s="21">
        <v>152.66999999999999</v>
      </c>
      <c r="AB594" s="23">
        <v>44077</v>
      </c>
      <c r="AC594" s="21" t="s">
        <v>32</v>
      </c>
      <c r="AD594" s="24" t="s">
        <v>537</v>
      </c>
      <c r="AE594" s="6" t="s">
        <v>31</v>
      </c>
      <c r="AF594" s="6"/>
      <c r="AG594" s="6" t="s">
        <v>3039</v>
      </c>
    </row>
    <row r="595" spans="1:33" ht="15" customHeight="1" x14ac:dyDescent="0.25">
      <c r="A595" s="5">
        <v>38</v>
      </c>
      <c r="B595" s="38">
        <v>44092</v>
      </c>
      <c r="C595" s="38">
        <v>44078</v>
      </c>
      <c r="D595" s="38">
        <v>44071</v>
      </c>
      <c r="E595" s="34">
        <v>44092</v>
      </c>
      <c r="F595" s="5">
        <v>9684</v>
      </c>
      <c r="G595" s="5" t="s">
        <v>91</v>
      </c>
      <c r="H595" s="5" t="s">
        <v>43</v>
      </c>
      <c r="I595" s="5" t="s">
        <v>92</v>
      </c>
      <c r="J595" s="21" t="s">
        <v>159</v>
      </c>
      <c r="K595" s="21">
        <v>257646</v>
      </c>
      <c r="L595" s="6" t="s">
        <v>152</v>
      </c>
      <c r="M595" s="5">
        <v>16</v>
      </c>
      <c r="N595" s="5" t="s">
        <v>91</v>
      </c>
      <c r="O595" s="5" t="s">
        <v>91</v>
      </c>
      <c r="P595" s="5" t="s">
        <v>91</v>
      </c>
      <c r="Q595" s="6"/>
      <c r="R595" s="6" t="s">
        <v>163</v>
      </c>
      <c r="S595" s="6"/>
      <c r="T595" s="6"/>
      <c r="U595" s="5"/>
      <c r="V595" s="6" t="s">
        <v>167</v>
      </c>
      <c r="W595" s="6" t="s">
        <v>164</v>
      </c>
      <c r="X595" s="6"/>
      <c r="Y595" s="22"/>
      <c r="Z595" s="6"/>
      <c r="AA595" s="21">
        <v>257646</v>
      </c>
      <c r="AB595" s="23">
        <v>44071</v>
      </c>
      <c r="AC595" s="21" t="s">
        <v>30</v>
      </c>
      <c r="AD595" s="24" t="s">
        <v>538</v>
      </c>
      <c r="AE595" s="6" t="s">
        <v>36</v>
      </c>
      <c r="AF595" s="6"/>
      <c r="AG595" s="6" t="s">
        <v>3040</v>
      </c>
    </row>
    <row r="596" spans="1:33" ht="7.5" customHeight="1" x14ac:dyDescent="0.25">
      <c r="A596" s="27"/>
      <c r="B596" s="39"/>
      <c r="C596" s="39"/>
      <c r="D596" s="39"/>
      <c r="E596" s="28"/>
      <c r="F596" s="27"/>
      <c r="G596" s="27"/>
      <c r="H596" s="27"/>
      <c r="I596" s="27"/>
      <c r="J596" s="30"/>
      <c r="K596" s="30"/>
      <c r="L596" s="29"/>
      <c r="M596" s="27"/>
      <c r="N596" s="27"/>
      <c r="O596" s="27"/>
      <c r="P596" s="27"/>
      <c r="Q596" s="29"/>
      <c r="R596" s="29"/>
      <c r="S596" s="29"/>
      <c r="T596" s="29"/>
      <c r="U596" s="27"/>
      <c r="V596" s="29"/>
      <c r="W596" s="29"/>
      <c r="X596" s="29"/>
      <c r="Y596" s="31"/>
      <c r="Z596" s="29"/>
      <c r="AA596" s="30"/>
      <c r="AB596" s="32"/>
      <c r="AC596" s="30"/>
      <c r="AD596" s="33"/>
      <c r="AE596" s="29"/>
      <c r="AF596" s="29"/>
      <c r="AG596" s="29"/>
    </row>
    <row r="597" spans="1:33" ht="15" customHeight="1" x14ac:dyDescent="0.25">
      <c r="A597" s="5">
        <v>38</v>
      </c>
      <c r="B597" s="38">
        <v>44090</v>
      </c>
      <c r="C597" s="38">
        <v>44081</v>
      </c>
      <c r="D597" s="38">
        <v>44055</v>
      </c>
      <c r="E597" s="34">
        <v>44090</v>
      </c>
      <c r="F597" s="5">
        <v>10678</v>
      </c>
      <c r="G597" s="5" t="s">
        <v>91</v>
      </c>
      <c r="H597" s="5" t="s">
        <v>41</v>
      </c>
      <c r="I597" s="5" t="s">
        <v>92</v>
      </c>
      <c r="J597" s="21" t="s">
        <v>170</v>
      </c>
      <c r="K597" s="21" t="s">
        <v>468</v>
      </c>
      <c r="L597" s="6" t="s">
        <v>469</v>
      </c>
      <c r="M597" s="5">
        <v>0</v>
      </c>
      <c r="N597" s="5" t="s">
        <v>91</v>
      </c>
      <c r="O597" s="5" t="s">
        <v>91</v>
      </c>
      <c r="P597" s="5" t="s">
        <v>91</v>
      </c>
      <c r="Q597" s="6"/>
      <c r="R597" s="6" t="s">
        <v>112</v>
      </c>
      <c r="S597" s="6"/>
      <c r="T597" s="6"/>
      <c r="U597" s="5"/>
      <c r="V597" s="6" t="s">
        <v>470</v>
      </c>
      <c r="W597" s="6" t="s">
        <v>471</v>
      </c>
      <c r="X597" s="6"/>
      <c r="Y597" s="22"/>
      <c r="Z597" s="6">
        <v>0</v>
      </c>
      <c r="AA597" s="21" t="s">
        <v>472</v>
      </c>
      <c r="AB597" s="23">
        <v>44054</v>
      </c>
      <c r="AC597" s="21" t="s">
        <v>33</v>
      </c>
      <c r="AD597" s="24" t="s">
        <v>115</v>
      </c>
      <c r="AE597" s="6" t="s">
        <v>31</v>
      </c>
      <c r="AF597" s="6"/>
      <c r="AG597" s="6" t="s">
        <v>3040</v>
      </c>
    </row>
    <row r="598" spans="1:33" ht="15" customHeight="1" x14ac:dyDescent="0.25">
      <c r="A598" s="5">
        <v>38</v>
      </c>
      <c r="B598" s="38">
        <v>44090</v>
      </c>
      <c r="C598" s="38">
        <v>44081</v>
      </c>
      <c r="D598" s="38">
        <v>44057</v>
      </c>
      <c r="E598" s="34">
        <v>44090</v>
      </c>
      <c r="F598" s="5">
        <v>4817</v>
      </c>
      <c r="G598" s="5" t="s">
        <v>91</v>
      </c>
      <c r="H598" s="5" t="s">
        <v>43</v>
      </c>
      <c r="I598" s="5" t="s">
        <v>92</v>
      </c>
      <c r="J598" s="21" t="s">
        <v>109</v>
      </c>
      <c r="K598" s="21" t="s">
        <v>490</v>
      </c>
      <c r="L598" s="6" t="s">
        <v>491</v>
      </c>
      <c r="M598" s="5">
        <v>16</v>
      </c>
      <c r="N598" s="5" t="s">
        <v>91</v>
      </c>
      <c r="O598" s="5" t="s">
        <v>91</v>
      </c>
      <c r="P598" s="5" t="s">
        <v>91</v>
      </c>
      <c r="Q598" s="6"/>
      <c r="R598" s="6" t="s">
        <v>112</v>
      </c>
      <c r="S598" s="6"/>
      <c r="T598" s="6"/>
      <c r="U598" s="5"/>
      <c r="V598" s="6"/>
      <c r="W598" s="6" t="s">
        <v>492</v>
      </c>
      <c r="X598" s="6"/>
      <c r="Y598" s="22"/>
      <c r="Z598" s="6">
        <v>6.5</v>
      </c>
      <c r="AA598" s="21">
        <v>13642</v>
      </c>
      <c r="AB598" s="23">
        <v>44062</v>
      </c>
      <c r="AC598" s="21" t="s">
        <v>30</v>
      </c>
      <c r="AD598" s="24" t="s">
        <v>493</v>
      </c>
      <c r="AE598" s="6" t="s">
        <v>35</v>
      </c>
      <c r="AF598" s="6"/>
      <c r="AG598" s="6" t="s">
        <v>3041</v>
      </c>
    </row>
    <row r="599" spans="1:33" ht="15" customHeight="1" x14ac:dyDescent="0.25">
      <c r="A599" s="5">
        <v>38</v>
      </c>
      <c r="B599" s="38">
        <v>44090</v>
      </c>
      <c r="C599" s="38">
        <v>44081</v>
      </c>
      <c r="D599" s="38">
        <v>44056</v>
      </c>
      <c r="E599" s="34">
        <v>44090</v>
      </c>
      <c r="F599" s="5">
        <v>4820</v>
      </c>
      <c r="G599" s="5" t="s">
        <v>91</v>
      </c>
      <c r="H599" s="5" t="s">
        <v>43</v>
      </c>
      <c r="I599" s="5" t="s">
        <v>92</v>
      </c>
      <c r="J599" s="21" t="s">
        <v>109</v>
      </c>
      <c r="K599" s="21" t="s">
        <v>494</v>
      </c>
      <c r="L599" s="6" t="s">
        <v>122</v>
      </c>
      <c r="M599" s="5">
        <v>0</v>
      </c>
      <c r="N599" s="5" t="s">
        <v>91</v>
      </c>
      <c r="O599" s="5" t="s">
        <v>91</v>
      </c>
      <c r="P599" s="5" t="s">
        <v>91</v>
      </c>
      <c r="Q599" s="6"/>
      <c r="R599" s="6" t="s">
        <v>112</v>
      </c>
      <c r="S599" s="6"/>
      <c r="T599" s="6"/>
      <c r="U599" s="5"/>
      <c r="V599" s="6" t="s">
        <v>495</v>
      </c>
      <c r="W599" s="6" t="s">
        <v>496</v>
      </c>
      <c r="X599" s="6"/>
      <c r="Y599" s="22"/>
      <c r="Z599" s="6">
        <v>0</v>
      </c>
      <c r="AA599" s="21">
        <v>15435</v>
      </c>
      <c r="AB599" s="23">
        <v>44063</v>
      </c>
      <c r="AC599" s="21" t="s">
        <v>30</v>
      </c>
      <c r="AD599" s="24" t="s">
        <v>115</v>
      </c>
      <c r="AE599" s="6" t="s">
        <v>31</v>
      </c>
      <c r="AF599" s="6"/>
      <c r="AG599" s="6" t="s">
        <v>3042</v>
      </c>
    </row>
    <row r="600" spans="1:33" ht="7.5" customHeight="1" x14ac:dyDescent="0.25">
      <c r="A600" s="27"/>
      <c r="B600" s="39"/>
      <c r="C600" s="39"/>
      <c r="D600" s="39"/>
      <c r="E600" s="28"/>
      <c r="F600" s="27"/>
      <c r="G600" s="27"/>
      <c r="H600" s="27"/>
      <c r="I600" s="27"/>
      <c r="J600" s="30"/>
      <c r="K600" s="30"/>
      <c r="L600" s="29"/>
      <c r="M600" s="27"/>
      <c r="N600" s="27"/>
      <c r="O600" s="27"/>
      <c r="P600" s="27"/>
      <c r="Q600" s="29"/>
      <c r="R600" s="29"/>
      <c r="S600" s="29"/>
      <c r="T600" s="29"/>
      <c r="U600" s="27"/>
      <c r="V600" s="29"/>
      <c r="W600" s="29"/>
      <c r="X600" s="29"/>
      <c r="Y600" s="31"/>
      <c r="Z600" s="29"/>
      <c r="AA600" s="30"/>
      <c r="AB600" s="32"/>
      <c r="AC600" s="30"/>
      <c r="AD600" s="33"/>
      <c r="AE600" s="29"/>
      <c r="AF600" s="29"/>
      <c r="AG600" s="29"/>
    </row>
    <row r="601" spans="1:33" ht="15" customHeight="1" x14ac:dyDescent="0.25">
      <c r="A601" s="5">
        <v>39</v>
      </c>
      <c r="B601" s="38">
        <v>44095</v>
      </c>
      <c r="C601" s="38">
        <v>44081</v>
      </c>
      <c r="D601" s="38">
        <v>44074</v>
      </c>
      <c r="E601" s="35">
        <v>44095</v>
      </c>
      <c r="F601" s="5">
        <v>5648</v>
      </c>
      <c r="G601" s="5" t="s">
        <v>91</v>
      </c>
      <c r="H601" s="5" t="s">
        <v>43</v>
      </c>
      <c r="I601" s="5" t="s">
        <v>92</v>
      </c>
      <c r="J601" s="21" t="s">
        <v>131</v>
      </c>
      <c r="K601" s="21" t="s">
        <v>331</v>
      </c>
      <c r="L601" s="6" t="s">
        <v>332</v>
      </c>
      <c r="M601" s="5">
        <v>2</v>
      </c>
      <c r="N601" s="5" t="s">
        <v>91</v>
      </c>
      <c r="O601" s="5" t="s">
        <v>91</v>
      </c>
      <c r="P601" s="5" t="s">
        <v>91</v>
      </c>
      <c r="Q601" s="6" t="s">
        <v>105</v>
      </c>
      <c r="R601" s="6" t="s">
        <v>112</v>
      </c>
      <c r="S601" s="6"/>
      <c r="T601" s="6"/>
      <c r="U601" s="5"/>
      <c r="V601" s="6"/>
      <c r="W601" s="6" t="s">
        <v>183</v>
      </c>
      <c r="X601" s="6"/>
      <c r="Y601" s="22"/>
      <c r="Z601" s="6">
        <v>0.31</v>
      </c>
      <c r="AA601" s="21"/>
      <c r="AB601" s="23">
        <v>44070</v>
      </c>
      <c r="AC601" s="21" t="s">
        <v>32</v>
      </c>
      <c r="AD601" s="24" t="s">
        <v>333</v>
      </c>
      <c r="AE601" s="6" t="s">
        <v>31</v>
      </c>
      <c r="AF601" s="6"/>
      <c r="AG601" s="6" t="s">
        <v>3040</v>
      </c>
    </row>
    <row r="602" spans="1:33" ht="15" customHeight="1" x14ac:dyDescent="0.25">
      <c r="A602" s="5">
        <v>39</v>
      </c>
      <c r="B602" s="38">
        <v>44095</v>
      </c>
      <c r="C602" s="38">
        <v>44081</v>
      </c>
      <c r="D602" s="38">
        <v>44074</v>
      </c>
      <c r="E602" s="35">
        <v>44095</v>
      </c>
      <c r="F602" s="5">
        <v>6720</v>
      </c>
      <c r="G602" s="5" t="s">
        <v>91</v>
      </c>
      <c r="H602" s="5" t="s">
        <v>43</v>
      </c>
      <c r="I602" s="5" t="s">
        <v>92</v>
      </c>
      <c r="J602" s="21" t="s">
        <v>191</v>
      </c>
      <c r="K602" s="21" t="s">
        <v>344</v>
      </c>
      <c r="L602" s="6" t="s">
        <v>345</v>
      </c>
      <c r="M602" s="5">
        <v>7</v>
      </c>
      <c r="N602" s="5" t="s">
        <v>91</v>
      </c>
      <c r="O602" s="5" t="s">
        <v>91</v>
      </c>
      <c r="P602" s="5" t="s">
        <v>91</v>
      </c>
      <c r="Q602" s="6"/>
      <c r="R602" s="6" t="s">
        <v>194</v>
      </c>
      <c r="S602" s="6"/>
      <c r="T602" s="6"/>
      <c r="U602" s="5"/>
      <c r="V602" s="6" t="s">
        <v>346</v>
      </c>
      <c r="W602" s="6" t="s">
        <v>347</v>
      </c>
      <c r="X602" s="6"/>
      <c r="Y602" s="22"/>
      <c r="Z602" s="6"/>
      <c r="AA602" s="21"/>
      <c r="AB602" s="23">
        <v>44071</v>
      </c>
      <c r="AC602" s="21" t="s">
        <v>30</v>
      </c>
      <c r="AD602" s="24" t="s">
        <v>348</v>
      </c>
      <c r="AE602" s="6" t="s">
        <v>37</v>
      </c>
      <c r="AF602" s="6"/>
      <c r="AG602" s="6" t="s">
        <v>3040</v>
      </c>
    </row>
    <row r="603" spans="1:33" ht="15" customHeight="1" x14ac:dyDescent="0.25">
      <c r="A603" s="5">
        <v>39</v>
      </c>
      <c r="B603" s="38">
        <v>44095</v>
      </c>
      <c r="C603" s="38">
        <v>44081</v>
      </c>
      <c r="D603" s="38">
        <v>44074</v>
      </c>
      <c r="E603" s="35">
        <v>44095</v>
      </c>
      <c r="F603" s="5">
        <v>7778</v>
      </c>
      <c r="G603" s="5" t="s">
        <v>91</v>
      </c>
      <c r="H603" s="5" t="s">
        <v>41</v>
      </c>
      <c r="I603" s="5" t="s">
        <v>92</v>
      </c>
      <c r="J603" s="21" t="s">
        <v>214</v>
      </c>
      <c r="K603" s="21" t="s">
        <v>349</v>
      </c>
      <c r="L603" s="6" t="s">
        <v>350</v>
      </c>
      <c r="M603" s="5">
        <v>3</v>
      </c>
      <c r="N603" s="5" t="s">
        <v>91</v>
      </c>
      <c r="O603" s="5" t="s">
        <v>91</v>
      </c>
      <c r="P603" s="5" t="s">
        <v>91</v>
      </c>
      <c r="Q603" s="6" t="s">
        <v>105</v>
      </c>
      <c r="R603" s="6" t="s">
        <v>223</v>
      </c>
      <c r="S603" s="6"/>
      <c r="T603" s="6"/>
      <c r="U603" s="5"/>
      <c r="V603" s="6"/>
      <c r="W603" s="6" t="s">
        <v>351</v>
      </c>
      <c r="X603" s="6" t="s">
        <v>352</v>
      </c>
      <c r="Y603" s="22"/>
      <c r="Z603" s="6">
        <v>1.0900000000000001</v>
      </c>
      <c r="AA603" s="21" t="s">
        <v>353</v>
      </c>
      <c r="AB603" s="23">
        <v>44078</v>
      </c>
      <c r="AC603" s="21" t="s">
        <v>39</v>
      </c>
      <c r="AD603" s="24" t="s">
        <v>354</v>
      </c>
      <c r="AE603" s="6" t="s">
        <v>38</v>
      </c>
      <c r="AF603" s="6"/>
      <c r="AG603" s="6" t="s">
        <v>3041</v>
      </c>
    </row>
    <row r="604" spans="1:33" ht="15" customHeight="1" x14ac:dyDescent="0.25">
      <c r="A604" s="5">
        <v>39</v>
      </c>
      <c r="B604" s="38">
        <v>44095</v>
      </c>
      <c r="C604" s="38">
        <v>44081</v>
      </c>
      <c r="D604" s="38">
        <v>44074</v>
      </c>
      <c r="E604" s="35">
        <v>44095</v>
      </c>
      <c r="F604" s="5">
        <v>7779</v>
      </c>
      <c r="G604" s="5" t="s">
        <v>91</v>
      </c>
      <c r="H604" s="5" t="s">
        <v>41</v>
      </c>
      <c r="I604" s="5" t="s">
        <v>92</v>
      </c>
      <c r="J604" s="21" t="s">
        <v>214</v>
      </c>
      <c r="K604" s="21" t="s">
        <v>355</v>
      </c>
      <c r="L604" s="6" t="s">
        <v>356</v>
      </c>
      <c r="M604" s="5">
        <v>10</v>
      </c>
      <c r="N604" s="5" t="s">
        <v>91</v>
      </c>
      <c r="O604" s="5" t="s">
        <v>91</v>
      </c>
      <c r="P604" s="5" t="s">
        <v>91</v>
      </c>
      <c r="Q604" s="6"/>
      <c r="R604" s="6" t="s">
        <v>223</v>
      </c>
      <c r="S604" s="6"/>
      <c r="T604" s="6"/>
      <c r="U604" s="5"/>
      <c r="V604" s="6"/>
      <c r="W604" s="6" t="s">
        <v>224</v>
      </c>
      <c r="X604" s="6"/>
      <c r="Y604" s="22"/>
      <c r="Z604" s="6">
        <v>5.5</v>
      </c>
      <c r="AA604" s="21" t="s">
        <v>357</v>
      </c>
      <c r="AB604" s="23">
        <v>44078</v>
      </c>
      <c r="AC604" s="21" t="s">
        <v>30</v>
      </c>
      <c r="AD604" s="24" t="s">
        <v>358</v>
      </c>
      <c r="AE604" s="6" t="s">
        <v>31</v>
      </c>
      <c r="AF604" s="6"/>
      <c r="AG604" s="6" t="s">
        <v>3042</v>
      </c>
    </row>
    <row r="605" spans="1:33" ht="15" customHeight="1" x14ac:dyDescent="0.25">
      <c r="A605" s="5">
        <v>39</v>
      </c>
      <c r="B605" s="38">
        <v>44095</v>
      </c>
      <c r="C605" s="38">
        <v>44081</v>
      </c>
      <c r="D605" s="38">
        <v>44074</v>
      </c>
      <c r="E605" s="35">
        <v>44095</v>
      </c>
      <c r="F605" s="5">
        <v>7781</v>
      </c>
      <c r="G605" s="5" t="s">
        <v>91</v>
      </c>
      <c r="H605" s="5" t="s">
        <v>41</v>
      </c>
      <c r="I605" s="5" t="s">
        <v>92</v>
      </c>
      <c r="J605" s="21" t="s">
        <v>214</v>
      </c>
      <c r="K605" s="21" t="s">
        <v>359</v>
      </c>
      <c r="L605" s="6" t="s">
        <v>95</v>
      </c>
      <c r="M605" s="5">
        <v>6</v>
      </c>
      <c r="N605" s="5" t="s">
        <v>91</v>
      </c>
      <c r="O605" s="5" t="s">
        <v>91</v>
      </c>
      <c r="P605" s="5" t="s">
        <v>91</v>
      </c>
      <c r="Q605" s="6"/>
      <c r="R605" s="6" t="s">
        <v>223</v>
      </c>
      <c r="S605" s="6"/>
      <c r="T605" s="6"/>
      <c r="U605" s="5"/>
      <c r="V605" s="6"/>
      <c r="W605" s="6" t="s">
        <v>360</v>
      </c>
      <c r="X605" s="6">
        <v>36844913</v>
      </c>
      <c r="Y605" s="22"/>
      <c r="Z605" s="6">
        <v>1.83</v>
      </c>
      <c r="AA605" s="21" t="s">
        <v>361</v>
      </c>
      <c r="AB605" s="23">
        <v>44082</v>
      </c>
      <c r="AC605" s="21" t="s">
        <v>30</v>
      </c>
      <c r="AD605" s="24" t="s">
        <v>362</v>
      </c>
      <c r="AE605" s="6" t="s">
        <v>34</v>
      </c>
      <c r="AF605" s="6"/>
      <c r="AG605" s="6" t="s">
        <v>3039</v>
      </c>
    </row>
    <row r="606" spans="1:33" ht="7.5" customHeight="1" x14ac:dyDescent="0.25">
      <c r="A606" s="27"/>
      <c r="B606" s="39"/>
      <c r="C606" s="39"/>
      <c r="D606" s="39"/>
      <c r="E606" s="28"/>
      <c r="F606" s="27"/>
      <c r="G606" s="27"/>
      <c r="H606" s="27"/>
      <c r="I606" s="27"/>
      <c r="J606" s="30"/>
      <c r="K606" s="30"/>
      <c r="L606" s="29"/>
      <c r="M606" s="27"/>
      <c r="N606" s="27"/>
      <c r="O606" s="27"/>
      <c r="P606" s="27"/>
      <c r="Q606" s="29"/>
      <c r="R606" s="29"/>
      <c r="S606" s="29"/>
      <c r="T606" s="29"/>
      <c r="U606" s="27"/>
      <c r="V606" s="29"/>
      <c r="W606" s="29"/>
      <c r="X606" s="29"/>
      <c r="Y606" s="31"/>
      <c r="Z606" s="29"/>
      <c r="AA606" s="30"/>
      <c r="AB606" s="32"/>
      <c r="AC606" s="30"/>
      <c r="AD606" s="33"/>
      <c r="AE606" s="29"/>
      <c r="AF606" s="29"/>
      <c r="AG606" s="29"/>
    </row>
    <row r="607" spans="1:33" ht="15" customHeight="1" x14ac:dyDescent="0.25">
      <c r="A607" s="5">
        <v>39</v>
      </c>
      <c r="B607" s="38">
        <v>44096</v>
      </c>
      <c r="C607" s="38">
        <v>44082</v>
      </c>
      <c r="D607" s="38">
        <v>44075</v>
      </c>
      <c r="E607" s="35">
        <v>44096</v>
      </c>
      <c r="F607" s="5">
        <v>1621</v>
      </c>
      <c r="G607" s="5" t="s">
        <v>91</v>
      </c>
      <c r="H607" s="5" t="s">
        <v>41</v>
      </c>
      <c r="I607" s="5" t="s">
        <v>92</v>
      </c>
      <c r="J607" s="21" t="s">
        <v>372</v>
      </c>
      <c r="K607" s="21" t="s">
        <v>373</v>
      </c>
      <c r="L607" s="6" t="s">
        <v>374</v>
      </c>
      <c r="M607" s="5">
        <v>5</v>
      </c>
      <c r="N607" s="5" t="s">
        <v>91</v>
      </c>
      <c r="O607" s="5" t="s">
        <v>91</v>
      </c>
      <c r="P607" s="5" t="s">
        <v>91</v>
      </c>
      <c r="Q607" s="6"/>
      <c r="R607" s="6" t="s">
        <v>112</v>
      </c>
      <c r="S607" s="6" t="s">
        <v>155</v>
      </c>
      <c r="T607" s="6"/>
      <c r="U607" s="5"/>
      <c r="V607" s="6"/>
      <c r="W607" s="6" t="s">
        <v>375</v>
      </c>
      <c r="X607" s="6"/>
      <c r="Y607" s="22"/>
      <c r="Z607" s="6"/>
      <c r="AA607" s="21" t="s">
        <v>376</v>
      </c>
      <c r="AB607" s="23">
        <v>44074</v>
      </c>
      <c r="AC607" s="21" t="s">
        <v>32</v>
      </c>
      <c r="AD607" s="24" t="s">
        <v>377</v>
      </c>
      <c r="AE607" s="6" t="s">
        <v>31</v>
      </c>
      <c r="AF607" s="6"/>
      <c r="AG607" s="6" t="s">
        <v>3041</v>
      </c>
    </row>
    <row r="608" spans="1:33" ht="7.5" customHeight="1" x14ac:dyDescent="0.25">
      <c r="A608" s="27"/>
      <c r="B608" s="39"/>
      <c r="C608" s="39"/>
      <c r="D608" s="39"/>
      <c r="E608" s="28"/>
      <c r="F608" s="27"/>
      <c r="G608" s="27"/>
      <c r="H608" s="27"/>
      <c r="I608" s="27"/>
      <c r="J608" s="30"/>
      <c r="K608" s="30"/>
      <c r="L608" s="29"/>
      <c r="M608" s="27"/>
      <c r="N608" s="27"/>
      <c r="O608" s="27"/>
      <c r="P608" s="27"/>
      <c r="Q608" s="29"/>
      <c r="R608" s="29"/>
      <c r="S608" s="29"/>
      <c r="T608" s="29"/>
      <c r="U608" s="27"/>
      <c r="V608" s="29"/>
      <c r="W608" s="29"/>
      <c r="X608" s="29"/>
      <c r="Y608" s="31"/>
      <c r="Z608" s="29"/>
      <c r="AA608" s="30"/>
      <c r="AB608" s="32"/>
      <c r="AC608" s="30"/>
      <c r="AD608" s="33"/>
      <c r="AE608" s="29"/>
      <c r="AF608" s="29"/>
      <c r="AG608" s="29"/>
    </row>
    <row r="609" spans="1:33" ht="15" customHeight="1" x14ac:dyDescent="0.25">
      <c r="A609" s="5">
        <v>38</v>
      </c>
      <c r="B609" s="38">
        <v>44091</v>
      </c>
      <c r="C609" s="38">
        <v>44082</v>
      </c>
      <c r="D609" s="38">
        <v>44071</v>
      </c>
      <c r="E609" s="34">
        <v>44091</v>
      </c>
      <c r="F609" s="5">
        <v>4824</v>
      </c>
      <c r="G609" s="5" t="s">
        <v>91</v>
      </c>
      <c r="H609" s="5" t="s">
        <v>41</v>
      </c>
      <c r="I609" s="5" t="s">
        <v>92</v>
      </c>
      <c r="J609" s="21" t="s">
        <v>109</v>
      </c>
      <c r="K609" s="21" t="s">
        <v>523</v>
      </c>
      <c r="L609" s="6" t="s">
        <v>524</v>
      </c>
      <c r="M609" s="5">
        <v>11</v>
      </c>
      <c r="N609" s="5" t="s">
        <v>91</v>
      </c>
      <c r="O609" s="5" t="s">
        <v>91</v>
      </c>
      <c r="P609" s="5" t="s">
        <v>91</v>
      </c>
      <c r="Q609" s="6" t="s">
        <v>105</v>
      </c>
      <c r="R609" s="6" t="s">
        <v>112</v>
      </c>
      <c r="S609" s="6"/>
      <c r="T609" s="6"/>
      <c r="U609" s="5"/>
      <c r="V609" s="6"/>
      <c r="W609" s="6" t="s">
        <v>525</v>
      </c>
      <c r="X609" s="6"/>
      <c r="Y609" s="22"/>
      <c r="Z609" s="6">
        <v>5.2</v>
      </c>
      <c r="AA609" s="21">
        <v>15398</v>
      </c>
      <c r="AB609" s="23">
        <v>44070</v>
      </c>
      <c r="AC609" s="21" t="s">
        <v>32</v>
      </c>
      <c r="AD609" s="24" t="s">
        <v>526</v>
      </c>
      <c r="AE609" s="6" t="s">
        <v>37</v>
      </c>
      <c r="AF609" s="6"/>
      <c r="AG609" s="6" t="s">
        <v>3041</v>
      </c>
    </row>
    <row r="610" spans="1:33" ht="7.5" customHeight="1" x14ac:dyDescent="0.25">
      <c r="A610" s="27"/>
      <c r="B610" s="39"/>
      <c r="C610" s="39"/>
      <c r="D610" s="39"/>
      <c r="E610" s="28"/>
      <c r="F610" s="27"/>
      <c r="G610" s="27"/>
      <c r="H610" s="27"/>
      <c r="I610" s="27"/>
      <c r="J610" s="30"/>
      <c r="K610" s="30"/>
      <c r="L610" s="29"/>
      <c r="M610" s="27"/>
      <c r="N610" s="27"/>
      <c r="O610" s="27"/>
      <c r="P610" s="27"/>
      <c r="Q610" s="29"/>
      <c r="R610" s="29"/>
      <c r="S610" s="29"/>
      <c r="T610" s="29"/>
      <c r="U610" s="27"/>
      <c r="V610" s="29"/>
      <c r="W610" s="29"/>
      <c r="X610" s="29"/>
      <c r="Y610" s="31"/>
      <c r="Z610" s="29"/>
      <c r="AA610" s="30"/>
      <c r="AB610" s="32"/>
      <c r="AC610" s="30"/>
      <c r="AD610" s="33"/>
      <c r="AE610" s="29"/>
      <c r="AF610" s="29"/>
      <c r="AG610" s="29"/>
    </row>
    <row r="611" spans="1:33" ht="15" customHeight="1" x14ac:dyDescent="0.25">
      <c r="A611" s="5">
        <v>41</v>
      </c>
      <c r="B611" s="38">
        <v>44109</v>
      </c>
      <c r="C611" s="38">
        <v>44082</v>
      </c>
      <c r="D611" s="38">
        <v>44063</v>
      </c>
      <c r="E611" s="28">
        <v>44109</v>
      </c>
      <c r="F611" s="5">
        <v>5644</v>
      </c>
      <c r="G611" s="5" t="s">
        <v>91</v>
      </c>
      <c r="H611" s="5" t="s">
        <v>43</v>
      </c>
      <c r="I611" s="5" t="s">
        <v>92</v>
      </c>
      <c r="J611" s="21" t="s">
        <v>131</v>
      </c>
      <c r="K611" s="21" t="s">
        <v>1773</v>
      </c>
      <c r="L611" s="6" t="s">
        <v>1774</v>
      </c>
      <c r="M611" s="5">
        <v>0</v>
      </c>
      <c r="N611" s="5" t="s">
        <v>91</v>
      </c>
      <c r="O611" s="5" t="s">
        <v>91</v>
      </c>
      <c r="P611" s="5" t="s">
        <v>91</v>
      </c>
      <c r="Q611" s="6"/>
      <c r="R611" s="6" t="s">
        <v>112</v>
      </c>
      <c r="S611" s="6"/>
      <c r="T611" s="6"/>
      <c r="U611" s="5"/>
      <c r="V611" s="6"/>
      <c r="W611" s="6" t="s">
        <v>183</v>
      </c>
      <c r="X611" s="6"/>
      <c r="Y611" s="22"/>
      <c r="Z611" s="6">
        <v>0</v>
      </c>
      <c r="AA611" s="21"/>
      <c r="AB611" s="23">
        <v>44068</v>
      </c>
      <c r="AC611" s="21" t="s">
        <v>33</v>
      </c>
      <c r="AD611" s="24" t="s">
        <v>115</v>
      </c>
      <c r="AE611" s="6" t="s">
        <v>31</v>
      </c>
      <c r="AF611" s="6"/>
      <c r="AG611" s="6" t="s">
        <v>3039</v>
      </c>
    </row>
    <row r="612" spans="1:33" ht="7.5" customHeight="1" x14ac:dyDescent="0.25">
      <c r="A612" s="27"/>
      <c r="B612" s="39"/>
      <c r="C612" s="39"/>
      <c r="D612" s="39"/>
      <c r="E612" s="28"/>
      <c r="F612" s="27"/>
      <c r="G612" s="27"/>
      <c r="H612" s="27"/>
      <c r="I612" s="27"/>
      <c r="J612" s="30"/>
      <c r="K612" s="30"/>
      <c r="L612" s="29"/>
      <c r="M612" s="27"/>
      <c r="N612" s="27"/>
      <c r="O612" s="27"/>
      <c r="P612" s="27"/>
      <c r="Q612" s="29"/>
      <c r="R612" s="29"/>
      <c r="S612" s="29"/>
      <c r="T612" s="29"/>
      <c r="U612" s="27"/>
      <c r="V612" s="29"/>
      <c r="W612" s="29"/>
      <c r="X612" s="29"/>
      <c r="Y612" s="31"/>
      <c r="Z612" s="29"/>
      <c r="AA612" s="30"/>
      <c r="AB612" s="32"/>
      <c r="AC612" s="30"/>
      <c r="AD612" s="33"/>
      <c r="AE612" s="29"/>
      <c r="AF612" s="29"/>
      <c r="AG612" s="29"/>
    </row>
    <row r="613" spans="1:33" ht="15" customHeight="1" x14ac:dyDescent="0.25">
      <c r="A613" s="5">
        <v>39</v>
      </c>
      <c r="B613" s="38">
        <v>44096</v>
      </c>
      <c r="C613" s="38">
        <v>44082</v>
      </c>
      <c r="D613" s="38">
        <v>44075</v>
      </c>
      <c r="E613" s="35">
        <v>44096</v>
      </c>
      <c r="F613" s="5">
        <v>6722</v>
      </c>
      <c r="G613" s="5" t="s">
        <v>91</v>
      </c>
      <c r="H613" s="5" t="s">
        <v>41</v>
      </c>
      <c r="I613" s="5" t="s">
        <v>92</v>
      </c>
      <c r="J613" s="21" t="s">
        <v>191</v>
      </c>
      <c r="K613" s="21" t="s">
        <v>384</v>
      </c>
      <c r="L613" s="6" t="s">
        <v>285</v>
      </c>
      <c r="M613" s="5">
        <v>11</v>
      </c>
      <c r="N613" s="5" t="s">
        <v>91</v>
      </c>
      <c r="O613" s="5" t="s">
        <v>91</v>
      </c>
      <c r="P613" s="5" t="s">
        <v>91</v>
      </c>
      <c r="Q613" s="6" t="s">
        <v>96</v>
      </c>
      <c r="R613" s="6" t="s">
        <v>194</v>
      </c>
      <c r="S613" s="6"/>
      <c r="T613" s="6"/>
      <c r="U613" s="5"/>
      <c r="V613" s="6"/>
      <c r="W613" s="6" t="s">
        <v>286</v>
      </c>
      <c r="X613" s="6"/>
      <c r="Y613" s="22"/>
      <c r="Z613" s="6">
        <v>3</v>
      </c>
      <c r="AA613" s="21"/>
      <c r="AB613" s="23">
        <v>44078</v>
      </c>
      <c r="AC613" s="21" t="s">
        <v>32</v>
      </c>
      <c r="AD613" s="24" t="s">
        <v>385</v>
      </c>
      <c r="AE613" s="6" t="s">
        <v>31</v>
      </c>
      <c r="AF613" s="6"/>
      <c r="AG613" s="6" t="s">
        <v>3039</v>
      </c>
    </row>
    <row r="614" spans="1:33" ht="7.5" customHeight="1" x14ac:dyDescent="0.25">
      <c r="A614" s="27"/>
      <c r="B614" s="39"/>
      <c r="C614" s="39"/>
      <c r="D614" s="39"/>
      <c r="E614" s="28"/>
      <c r="F614" s="27"/>
      <c r="G614" s="27"/>
      <c r="H614" s="27"/>
      <c r="I614" s="27"/>
      <c r="J614" s="30"/>
      <c r="K614" s="30"/>
      <c r="L614" s="29"/>
      <c r="M614" s="27"/>
      <c r="N614" s="27"/>
      <c r="O614" s="27"/>
      <c r="P614" s="27"/>
      <c r="Q614" s="29"/>
      <c r="R614" s="29"/>
      <c r="S614" s="29"/>
      <c r="T614" s="29"/>
      <c r="U614" s="27"/>
      <c r="V614" s="29"/>
      <c r="W614" s="29"/>
      <c r="X614" s="29"/>
      <c r="Y614" s="31"/>
      <c r="Z614" s="29"/>
      <c r="AA614" s="30"/>
      <c r="AB614" s="32"/>
      <c r="AC614" s="30"/>
      <c r="AD614" s="33"/>
      <c r="AE614" s="29"/>
      <c r="AF614" s="29"/>
      <c r="AG614" s="29"/>
    </row>
    <row r="615" spans="1:33" ht="15" customHeight="1" x14ac:dyDescent="0.25">
      <c r="A615" s="5">
        <v>41</v>
      </c>
      <c r="B615" s="38">
        <v>44109</v>
      </c>
      <c r="C615" s="38">
        <v>44082</v>
      </c>
      <c r="D615" s="38">
        <v>44071</v>
      </c>
      <c r="E615" s="28">
        <v>44109</v>
      </c>
      <c r="F615" s="5">
        <v>7777</v>
      </c>
      <c r="G615" s="5" t="s">
        <v>91</v>
      </c>
      <c r="H615" s="5" t="s">
        <v>41</v>
      </c>
      <c r="I615" s="5" t="s">
        <v>92</v>
      </c>
      <c r="J615" s="21" t="s">
        <v>214</v>
      </c>
      <c r="K615" s="21" t="s">
        <v>1809</v>
      </c>
      <c r="L615" s="6" t="s">
        <v>1810</v>
      </c>
      <c r="M615" s="5">
        <v>12</v>
      </c>
      <c r="N615" s="5" t="s">
        <v>91</v>
      </c>
      <c r="O615" s="5" t="s">
        <v>91</v>
      </c>
      <c r="P615" s="5" t="s">
        <v>91</v>
      </c>
      <c r="Q615" s="6"/>
      <c r="R615" s="6" t="s">
        <v>223</v>
      </c>
      <c r="S615" s="6"/>
      <c r="T615" s="6"/>
      <c r="U615" s="5"/>
      <c r="V615" s="6"/>
      <c r="W615" s="6" t="s">
        <v>1811</v>
      </c>
      <c r="X615" s="6">
        <v>2102948416</v>
      </c>
      <c r="Y615" s="22"/>
      <c r="Z615" s="6"/>
      <c r="AA615" s="21" t="s">
        <v>1812</v>
      </c>
      <c r="AB615" s="23">
        <v>44077</v>
      </c>
      <c r="AC615" s="21" t="s">
        <v>30</v>
      </c>
      <c r="AD615" s="24" t="s">
        <v>1813</v>
      </c>
      <c r="AE615" s="6" t="s">
        <v>36</v>
      </c>
      <c r="AF615" s="6"/>
      <c r="AG615" s="6" t="s">
        <v>3039</v>
      </c>
    </row>
    <row r="616" spans="1:33" ht="7.5" customHeight="1" x14ac:dyDescent="0.25">
      <c r="A616" s="27"/>
      <c r="B616" s="39"/>
      <c r="C616" s="39"/>
      <c r="D616" s="39"/>
      <c r="E616" s="28"/>
      <c r="F616" s="27"/>
      <c r="G616" s="27"/>
      <c r="H616" s="27"/>
      <c r="I616" s="27"/>
      <c r="J616" s="30"/>
      <c r="K616" s="30"/>
      <c r="L616" s="29"/>
      <c r="M616" s="27"/>
      <c r="N616" s="27"/>
      <c r="O616" s="27"/>
      <c r="P616" s="27"/>
      <c r="Q616" s="29"/>
      <c r="R616" s="29"/>
      <c r="S616" s="29"/>
      <c r="T616" s="29"/>
      <c r="U616" s="27"/>
      <c r="V616" s="29"/>
      <c r="W616" s="29"/>
      <c r="X616" s="29"/>
      <c r="Y616" s="31"/>
      <c r="Z616" s="29"/>
      <c r="AA616" s="30"/>
      <c r="AB616" s="32"/>
      <c r="AC616" s="30"/>
      <c r="AD616" s="33"/>
      <c r="AE616" s="29"/>
      <c r="AF616" s="29"/>
      <c r="AG616" s="29"/>
    </row>
    <row r="617" spans="1:33" ht="15" customHeight="1" x14ac:dyDescent="0.25">
      <c r="A617" s="5">
        <v>39</v>
      </c>
      <c r="B617" s="38">
        <v>44096</v>
      </c>
      <c r="C617" s="38">
        <v>44082</v>
      </c>
      <c r="D617" s="38">
        <v>44075</v>
      </c>
      <c r="E617" s="35">
        <v>44096</v>
      </c>
      <c r="F617" s="5">
        <v>8772</v>
      </c>
      <c r="G617" s="5" t="s">
        <v>91</v>
      </c>
      <c r="H617" s="5" t="s">
        <v>41</v>
      </c>
      <c r="I617" s="5" t="s">
        <v>92</v>
      </c>
      <c r="J617" s="21" t="s">
        <v>147</v>
      </c>
      <c r="K617" s="21" t="s">
        <v>386</v>
      </c>
      <c r="L617" s="6" t="s">
        <v>387</v>
      </c>
      <c r="M617" s="5">
        <v>0</v>
      </c>
      <c r="N617" s="5" t="s">
        <v>91</v>
      </c>
      <c r="O617" s="5" t="s">
        <v>91</v>
      </c>
      <c r="P617" s="5" t="s">
        <v>91</v>
      </c>
      <c r="Q617" s="6" t="s">
        <v>105</v>
      </c>
      <c r="R617" s="6" t="s">
        <v>107</v>
      </c>
      <c r="S617" s="6"/>
      <c r="T617" s="6"/>
      <c r="U617" s="5"/>
      <c r="V617" s="6" t="s">
        <v>388</v>
      </c>
      <c r="W617" s="6" t="s">
        <v>389</v>
      </c>
      <c r="X617" s="6"/>
      <c r="Y617" s="22"/>
      <c r="Z617" s="6"/>
      <c r="AA617" s="21"/>
      <c r="AB617" s="23">
        <v>44090</v>
      </c>
      <c r="AC617" s="21" t="s">
        <v>30</v>
      </c>
      <c r="AD617" s="24" t="s">
        <v>390</v>
      </c>
      <c r="AE617" s="6" t="s">
        <v>31</v>
      </c>
      <c r="AF617" s="6"/>
      <c r="AG617" s="6" t="s">
        <v>3040</v>
      </c>
    </row>
    <row r="618" spans="1:33" ht="7.5" customHeight="1" x14ac:dyDescent="0.25">
      <c r="A618" s="27"/>
      <c r="B618" s="39"/>
      <c r="C618" s="39"/>
      <c r="D618" s="39"/>
      <c r="E618" s="28"/>
      <c r="F618" s="27"/>
      <c r="G618" s="27"/>
      <c r="H618" s="27"/>
      <c r="I618" s="27"/>
      <c r="J618" s="30"/>
      <c r="K618" s="30"/>
      <c r="L618" s="29"/>
      <c r="M618" s="27"/>
      <c r="N618" s="27"/>
      <c r="O618" s="27"/>
      <c r="P618" s="27"/>
      <c r="Q618" s="29"/>
      <c r="R618" s="29"/>
      <c r="S618" s="29"/>
      <c r="T618" s="29"/>
      <c r="U618" s="27"/>
      <c r="V618" s="29"/>
      <c r="W618" s="29"/>
      <c r="X618" s="29"/>
      <c r="Y618" s="31"/>
      <c r="Z618" s="29"/>
      <c r="AA618" s="30"/>
      <c r="AB618" s="32"/>
      <c r="AC618" s="30"/>
      <c r="AD618" s="33"/>
      <c r="AE618" s="29"/>
      <c r="AF618" s="29"/>
      <c r="AG618" s="29"/>
    </row>
    <row r="619" spans="1:33" ht="15" customHeight="1" x14ac:dyDescent="0.25">
      <c r="A619" s="5">
        <v>40</v>
      </c>
      <c r="B619" s="38">
        <v>44104</v>
      </c>
      <c r="C619" s="38">
        <v>44083</v>
      </c>
      <c r="D619" s="38">
        <v>44076</v>
      </c>
      <c r="E619" s="36">
        <v>44104</v>
      </c>
      <c r="F619" s="5">
        <v>10688</v>
      </c>
      <c r="G619" s="5" t="s">
        <v>91</v>
      </c>
      <c r="H619" s="5" t="s">
        <v>43</v>
      </c>
      <c r="I619" s="5" t="s">
        <v>92</v>
      </c>
      <c r="J619" s="21" t="s">
        <v>170</v>
      </c>
      <c r="K619" s="21" t="s">
        <v>254</v>
      </c>
      <c r="L619" s="6" t="s">
        <v>255</v>
      </c>
      <c r="M619" s="5">
        <v>9</v>
      </c>
      <c r="N619" s="5" t="s">
        <v>91</v>
      </c>
      <c r="O619" s="5" t="s">
        <v>91</v>
      </c>
      <c r="P619" s="5" t="s">
        <v>91</v>
      </c>
      <c r="Q619" s="6" t="s">
        <v>105</v>
      </c>
      <c r="R619" s="6" t="s">
        <v>123</v>
      </c>
      <c r="S619" s="6"/>
      <c r="T619" s="6"/>
      <c r="U619" s="5"/>
      <c r="V619" s="6"/>
      <c r="W619" s="6" t="s">
        <v>256</v>
      </c>
      <c r="X619" s="6" t="s">
        <v>251</v>
      </c>
      <c r="Y619" s="22"/>
      <c r="Z619" s="6">
        <v>3.37</v>
      </c>
      <c r="AA619" s="21" t="s">
        <v>257</v>
      </c>
      <c r="AB619" s="23">
        <v>44076</v>
      </c>
      <c r="AC619" s="21" t="s">
        <v>30</v>
      </c>
      <c r="AD619" s="24" t="s">
        <v>257</v>
      </c>
      <c r="AE619" s="6" t="s">
        <v>31</v>
      </c>
      <c r="AF619" s="6"/>
      <c r="AG619" s="6" t="s">
        <v>3042</v>
      </c>
    </row>
    <row r="620" spans="1:33" ht="7.5" customHeight="1" x14ac:dyDescent="0.25">
      <c r="A620" s="27"/>
      <c r="B620" s="39"/>
      <c r="C620" s="39"/>
      <c r="D620" s="39"/>
      <c r="E620" s="28"/>
      <c r="F620" s="27"/>
      <c r="G620" s="27"/>
      <c r="H620" s="27"/>
      <c r="I620" s="27"/>
      <c r="J620" s="30"/>
      <c r="K620" s="30"/>
      <c r="L620" s="29"/>
      <c r="M620" s="27"/>
      <c r="N620" s="27"/>
      <c r="O620" s="27"/>
      <c r="P620" s="27"/>
      <c r="Q620" s="29"/>
      <c r="R620" s="29"/>
      <c r="S620" s="29"/>
      <c r="T620" s="29"/>
      <c r="U620" s="27"/>
      <c r="V620" s="29"/>
      <c r="W620" s="29"/>
      <c r="X620" s="29"/>
      <c r="Y620" s="31"/>
      <c r="Z620" s="29"/>
      <c r="AA620" s="30"/>
      <c r="AB620" s="32"/>
      <c r="AC620" s="30"/>
      <c r="AD620" s="33"/>
      <c r="AE620" s="29"/>
      <c r="AF620" s="29"/>
      <c r="AG620" s="29"/>
    </row>
    <row r="621" spans="1:33" ht="15" customHeight="1" x14ac:dyDescent="0.25">
      <c r="A621" s="5">
        <v>39</v>
      </c>
      <c r="B621" s="38">
        <v>44097</v>
      </c>
      <c r="C621" s="38">
        <v>44083</v>
      </c>
      <c r="D621" s="38">
        <v>44076</v>
      </c>
      <c r="E621" s="35">
        <v>44097</v>
      </c>
      <c r="F621" s="5">
        <v>3075</v>
      </c>
      <c r="G621" s="5" t="s">
        <v>91</v>
      </c>
      <c r="H621" s="5" t="s">
        <v>41</v>
      </c>
      <c r="I621" s="5" t="s">
        <v>92</v>
      </c>
      <c r="J621" s="21" t="s">
        <v>93</v>
      </c>
      <c r="K621" s="21" t="s">
        <v>401</v>
      </c>
      <c r="L621" s="6" t="s">
        <v>402</v>
      </c>
      <c r="M621" s="5">
        <v>1</v>
      </c>
      <c r="N621" s="5" t="s">
        <v>91</v>
      </c>
      <c r="O621" s="5" t="s">
        <v>91</v>
      </c>
      <c r="P621" s="5" t="s">
        <v>91</v>
      </c>
      <c r="Q621" s="6" t="s">
        <v>105</v>
      </c>
      <c r="R621" s="6" t="s">
        <v>107</v>
      </c>
      <c r="S621" s="6" t="s">
        <v>265</v>
      </c>
      <c r="T621" s="6"/>
      <c r="U621" s="5"/>
      <c r="V621" s="6"/>
      <c r="W621" s="6" t="s">
        <v>107</v>
      </c>
      <c r="X621" s="6" t="s">
        <v>403</v>
      </c>
      <c r="Y621" s="22"/>
      <c r="Z621" s="6"/>
      <c r="AA621" s="21">
        <v>10186</v>
      </c>
      <c r="AB621" s="23">
        <v>44077</v>
      </c>
      <c r="AC621" s="21" t="s">
        <v>33</v>
      </c>
      <c r="AD621" s="24" t="s">
        <v>404</v>
      </c>
      <c r="AE621" s="6" t="s">
        <v>36</v>
      </c>
      <c r="AF621" s="6"/>
      <c r="AG621" s="6" t="s">
        <v>3039</v>
      </c>
    </row>
    <row r="622" spans="1:33" ht="15" customHeight="1" x14ac:dyDescent="0.25">
      <c r="A622" s="5">
        <v>39</v>
      </c>
      <c r="B622" s="38">
        <v>44097</v>
      </c>
      <c r="C622" s="38">
        <v>44083</v>
      </c>
      <c r="D622" s="38">
        <v>44076</v>
      </c>
      <c r="E622" s="35">
        <v>44097</v>
      </c>
      <c r="F622" s="5">
        <v>3089</v>
      </c>
      <c r="G622" s="5" t="s">
        <v>91</v>
      </c>
      <c r="H622" s="5" t="s">
        <v>41</v>
      </c>
      <c r="I622" s="5" t="s">
        <v>92</v>
      </c>
      <c r="J622" s="21" t="s">
        <v>93</v>
      </c>
      <c r="K622" s="21" t="s">
        <v>405</v>
      </c>
      <c r="L622" s="6" t="s">
        <v>95</v>
      </c>
      <c r="M622" s="5">
        <v>0</v>
      </c>
      <c r="N622" s="5" t="s">
        <v>91</v>
      </c>
      <c r="O622" s="5" t="s">
        <v>91</v>
      </c>
      <c r="P622" s="5" t="s">
        <v>91</v>
      </c>
      <c r="Q622" s="6" t="s">
        <v>105</v>
      </c>
      <c r="R622" s="6" t="s">
        <v>107</v>
      </c>
      <c r="S622" s="6"/>
      <c r="T622" s="6"/>
      <c r="U622" s="5"/>
      <c r="V622" s="6"/>
      <c r="W622" s="6" t="s">
        <v>107</v>
      </c>
      <c r="X622" s="6"/>
      <c r="Y622" s="22"/>
      <c r="Z622" s="6"/>
      <c r="AA622" s="21">
        <v>10202</v>
      </c>
      <c r="AB622" s="23">
        <v>44092</v>
      </c>
      <c r="AC622" s="21" t="s">
        <v>30</v>
      </c>
      <c r="AD622" s="24" t="s">
        <v>406</v>
      </c>
      <c r="AE622" s="6" t="s">
        <v>31</v>
      </c>
      <c r="AF622" s="6"/>
      <c r="AG622" s="6" t="s">
        <v>3040</v>
      </c>
    </row>
    <row r="623" spans="1:33" ht="15" customHeight="1" x14ac:dyDescent="0.25">
      <c r="A623" s="5">
        <v>39</v>
      </c>
      <c r="B623" s="38">
        <v>44097</v>
      </c>
      <c r="C623" s="38">
        <v>44083</v>
      </c>
      <c r="D623" s="38">
        <v>44076</v>
      </c>
      <c r="E623" s="35">
        <v>44097</v>
      </c>
      <c r="F623" s="5">
        <v>3091</v>
      </c>
      <c r="G623" s="5" t="s">
        <v>91</v>
      </c>
      <c r="H623" s="5" t="s">
        <v>43</v>
      </c>
      <c r="I623" s="5" t="s">
        <v>92</v>
      </c>
      <c r="J623" s="21" t="s">
        <v>93</v>
      </c>
      <c r="K623" s="21" t="s">
        <v>407</v>
      </c>
      <c r="L623" s="6" t="s">
        <v>408</v>
      </c>
      <c r="M623" s="5">
        <v>1</v>
      </c>
      <c r="N623" s="5" t="s">
        <v>91</v>
      </c>
      <c r="O623" s="5" t="s">
        <v>91</v>
      </c>
      <c r="P623" s="5" t="s">
        <v>91</v>
      </c>
      <c r="Q623" s="6"/>
      <c r="R623" s="6" t="s">
        <v>380</v>
      </c>
      <c r="S623" s="6"/>
      <c r="T623" s="6"/>
      <c r="U623" s="5"/>
      <c r="V623" s="6" t="s">
        <v>409</v>
      </c>
      <c r="W623" s="6" t="s">
        <v>380</v>
      </c>
      <c r="X623" s="6"/>
      <c r="Y623" s="22"/>
      <c r="Z623" s="6"/>
      <c r="AA623" s="21"/>
      <c r="AB623" s="23">
        <v>44095</v>
      </c>
      <c r="AC623" s="21" t="s">
        <v>32</v>
      </c>
      <c r="AD623" s="24" t="s">
        <v>410</v>
      </c>
      <c r="AE623" s="6" t="s">
        <v>37</v>
      </c>
      <c r="AF623" s="6"/>
      <c r="AG623" s="6" t="s">
        <v>3041</v>
      </c>
    </row>
    <row r="624" spans="1:33" ht="15" customHeight="1" x14ac:dyDescent="0.25">
      <c r="A624" s="5">
        <v>39</v>
      </c>
      <c r="B624" s="38">
        <v>44097</v>
      </c>
      <c r="C624" s="38">
        <v>44083</v>
      </c>
      <c r="D624" s="38">
        <v>44076</v>
      </c>
      <c r="E624" s="35">
        <v>44097</v>
      </c>
      <c r="F624" s="5">
        <v>12087</v>
      </c>
      <c r="G624" s="5" t="s">
        <v>91</v>
      </c>
      <c r="H624" s="5" t="s">
        <v>43</v>
      </c>
      <c r="I624" s="5" t="s">
        <v>92</v>
      </c>
      <c r="J624" s="21" t="s">
        <v>275</v>
      </c>
      <c r="K624" s="21" t="s">
        <v>415</v>
      </c>
      <c r="L624" s="6" t="s">
        <v>95</v>
      </c>
      <c r="M624" s="5">
        <v>10</v>
      </c>
      <c r="N624" s="5" t="s">
        <v>91</v>
      </c>
      <c r="O624" s="5" t="s">
        <v>91</v>
      </c>
      <c r="P624" s="5" t="s">
        <v>91</v>
      </c>
      <c r="Q624" s="6"/>
      <c r="R624" s="6" t="s">
        <v>112</v>
      </c>
      <c r="S624" s="6"/>
      <c r="T624" s="6"/>
      <c r="U624" s="5"/>
      <c r="V624" s="6"/>
      <c r="W624" s="6" t="s">
        <v>416</v>
      </c>
      <c r="X624" s="6"/>
      <c r="Y624" s="22"/>
      <c r="Z624" s="6"/>
      <c r="AA624" s="21"/>
      <c r="AB624" s="23">
        <v>44076</v>
      </c>
      <c r="AC624" s="21" t="s">
        <v>32</v>
      </c>
      <c r="AD624" s="24" t="s">
        <v>417</v>
      </c>
      <c r="AE624" s="6" t="s">
        <v>31</v>
      </c>
      <c r="AF624" s="6"/>
      <c r="AG624" s="6" t="s">
        <v>3039</v>
      </c>
    </row>
    <row r="625" spans="1:33" ht="7.5" customHeight="1" x14ac:dyDescent="0.25">
      <c r="A625" s="27"/>
      <c r="B625" s="39"/>
      <c r="C625" s="39"/>
      <c r="D625" s="39"/>
      <c r="E625" s="28"/>
      <c r="F625" s="27"/>
      <c r="G625" s="27"/>
      <c r="H625" s="27"/>
      <c r="I625" s="27"/>
      <c r="J625" s="30"/>
      <c r="K625" s="30"/>
      <c r="L625" s="29"/>
      <c r="M625" s="27"/>
      <c r="N625" s="27"/>
      <c r="O625" s="27"/>
      <c r="P625" s="27"/>
      <c r="Q625" s="29"/>
      <c r="R625" s="29"/>
      <c r="S625" s="29"/>
      <c r="T625" s="29"/>
      <c r="U625" s="27"/>
      <c r="V625" s="29"/>
      <c r="W625" s="29"/>
      <c r="X625" s="29"/>
      <c r="Y625" s="31"/>
      <c r="Z625" s="29"/>
      <c r="AA625" s="30"/>
      <c r="AB625" s="32"/>
      <c r="AC625" s="30"/>
      <c r="AD625" s="33"/>
      <c r="AE625" s="29"/>
      <c r="AF625" s="29"/>
      <c r="AG625" s="29"/>
    </row>
    <row r="626" spans="1:33" ht="15" customHeight="1" x14ac:dyDescent="0.25">
      <c r="A626" s="5">
        <v>39</v>
      </c>
      <c r="B626" s="38">
        <v>44099</v>
      </c>
      <c r="C626" s="38">
        <v>44083</v>
      </c>
      <c r="D626" s="38">
        <v>44061</v>
      </c>
      <c r="E626" s="35">
        <v>44099</v>
      </c>
      <c r="F626" s="5">
        <v>4819</v>
      </c>
      <c r="G626" s="5" t="s">
        <v>91</v>
      </c>
      <c r="H626" s="5" t="s">
        <v>41</v>
      </c>
      <c r="I626" s="5" t="s">
        <v>92</v>
      </c>
      <c r="J626" s="21" t="s">
        <v>109</v>
      </c>
      <c r="K626" s="21" t="s">
        <v>127</v>
      </c>
      <c r="L626" s="6" t="s">
        <v>128</v>
      </c>
      <c r="M626" s="5">
        <v>0</v>
      </c>
      <c r="N626" s="5" t="s">
        <v>91</v>
      </c>
      <c r="O626" s="5" t="s">
        <v>91</v>
      </c>
      <c r="P626" s="5" t="s">
        <v>91</v>
      </c>
      <c r="Q626" s="6" t="s">
        <v>105</v>
      </c>
      <c r="R626" s="6" t="s">
        <v>112</v>
      </c>
      <c r="S626" s="6"/>
      <c r="T626" s="6"/>
      <c r="U626" s="5"/>
      <c r="V626" s="6"/>
      <c r="W626" s="6" t="s">
        <v>129</v>
      </c>
      <c r="X626" s="6"/>
      <c r="Y626" s="22"/>
      <c r="Z626" s="6"/>
      <c r="AA626" s="21">
        <v>14156</v>
      </c>
      <c r="AB626" s="23">
        <v>44062</v>
      </c>
      <c r="AC626" s="21" t="s">
        <v>30</v>
      </c>
      <c r="AD626" s="24" t="s">
        <v>115</v>
      </c>
      <c r="AE626" s="6" t="s">
        <v>31</v>
      </c>
      <c r="AF626" s="6"/>
      <c r="AG626" s="6" t="s">
        <v>3040</v>
      </c>
    </row>
    <row r="627" spans="1:33" ht="7.5" customHeight="1" x14ac:dyDescent="0.25">
      <c r="A627" s="27"/>
      <c r="B627" s="39"/>
      <c r="C627" s="39"/>
      <c r="D627" s="39"/>
      <c r="E627" s="28"/>
      <c r="F627" s="27"/>
      <c r="G627" s="27"/>
      <c r="H627" s="27"/>
      <c r="I627" s="27"/>
      <c r="J627" s="30"/>
      <c r="K627" s="30"/>
      <c r="L627" s="29"/>
      <c r="M627" s="27"/>
      <c r="N627" s="27"/>
      <c r="O627" s="27"/>
      <c r="P627" s="27"/>
      <c r="Q627" s="29"/>
      <c r="R627" s="29"/>
      <c r="S627" s="29"/>
      <c r="T627" s="29"/>
      <c r="U627" s="27"/>
      <c r="V627" s="29"/>
      <c r="W627" s="29"/>
      <c r="X627" s="29"/>
      <c r="Y627" s="31"/>
      <c r="Z627" s="29"/>
      <c r="AA627" s="30"/>
      <c r="AB627" s="32"/>
      <c r="AC627" s="30"/>
      <c r="AD627" s="33"/>
      <c r="AE627" s="29"/>
      <c r="AF627" s="29"/>
      <c r="AG627" s="29"/>
    </row>
    <row r="628" spans="1:33" ht="15" customHeight="1" x14ac:dyDescent="0.25">
      <c r="A628" s="5">
        <v>39</v>
      </c>
      <c r="B628" s="38">
        <v>44097</v>
      </c>
      <c r="C628" s="38">
        <v>44083</v>
      </c>
      <c r="D628" s="38">
        <v>44076</v>
      </c>
      <c r="E628" s="35">
        <v>44097</v>
      </c>
      <c r="F628" s="5">
        <v>5658</v>
      </c>
      <c r="G628" s="5" t="s">
        <v>91</v>
      </c>
      <c r="H628" s="5" t="s">
        <v>41</v>
      </c>
      <c r="I628" s="5" t="s">
        <v>92</v>
      </c>
      <c r="J628" s="21" t="s">
        <v>131</v>
      </c>
      <c r="K628" s="21" t="s">
        <v>421</v>
      </c>
      <c r="L628" s="6" t="s">
        <v>422</v>
      </c>
      <c r="M628" s="5">
        <v>6</v>
      </c>
      <c r="N628" s="5" t="s">
        <v>91</v>
      </c>
      <c r="O628" s="5" t="s">
        <v>91</v>
      </c>
      <c r="P628" s="5" t="s">
        <v>91</v>
      </c>
      <c r="Q628" s="6" t="s">
        <v>105</v>
      </c>
      <c r="R628" s="6" t="s">
        <v>112</v>
      </c>
      <c r="S628" s="6"/>
      <c r="T628" s="6"/>
      <c r="U628" s="5"/>
      <c r="V628" s="6"/>
      <c r="W628" s="6" t="s">
        <v>423</v>
      </c>
      <c r="X628" s="6"/>
      <c r="Y628" s="22"/>
      <c r="Z628" s="6">
        <v>3.5</v>
      </c>
      <c r="AA628" s="21"/>
      <c r="AB628" s="23">
        <v>44081</v>
      </c>
      <c r="AC628" s="21" t="s">
        <v>33</v>
      </c>
      <c r="AD628" s="24" t="s">
        <v>424</v>
      </c>
      <c r="AE628" s="6" t="s">
        <v>34</v>
      </c>
      <c r="AF628" s="6"/>
      <c r="AG628" s="6" t="s">
        <v>3041</v>
      </c>
    </row>
    <row r="629" spans="1:33" ht="15" customHeight="1" x14ac:dyDescent="0.25">
      <c r="A629" s="5">
        <v>39</v>
      </c>
      <c r="B629" s="38">
        <v>44097</v>
      </c>
      <c r="C629" s="38">
        <v>44083</v>
      </c>
      <c r="D629" s="38">
        <v>44076</v>
      </c>
      <c r="E629" s="35">
        <v>44097</v>
      </c>
      <c r="F629" s="5">
        <v>5659</v>
      </c>
      <c r="G629" s="5" t="s">
        <v>91</v>
      </c>
      <c r="H629" s="5" t="s">
        <v>41</v>
      </c>
      <c r="I629" s="5" t="s">
        <v>92</v>
      </c>
      <c r="J629" s="21" t="s">
        <v>131</v>
      </c>
      <c r="K629" s="21" t="s">
        <v>425</v>
      </c>
      <c r="L629" s="6" t="s">
        <v>189</v>
      </c>
      <c r="M629" s="5">
        <v>1</v>
      </c>
      <c r="N629" s="5" t="s">
        <v>91</v>
      </c>
      <c r="O629" s="5" t="s">
        <v>91</v>
      </c>
      <c r="P629" s="5" t="s">
        <v>91</v>
      </c>
      <c r="Q629" s="6"/>
      <c r="R629" s="6" t="s">
        <v>112</v>
      </c>
      <c r="S629" s="6"/>
      <c r="T629" s="6"/>
      <c r="U629" s="5"/>
      <c r="V629" s="6"/>
      <c r="W629" s="6" t="s">
        <v>183</v>
      </c>
      <c r="X629" s="6"/>
      <c r="Y629" s="22"/>
      <c r="Z629" s="6"/>
      <c r="AA629" s="21"/>
      <c r="AB629" s="23">
        <v>44082</v>
      </c>
      <c r="AC629" s="21" t="s">
        <v>30</v>
      </c>
      <c r="AD629" s="24" t="s">
        <v>426</v>
      </c>
      <c r="AE629" s="6" t="s">
        <v>31</v>
      </c>
      <c r="AF629" s="6"/>
      <c r="AG629" s="6" t="s">
        <v>3042</v>
      </c>
    </row>
    <row r="630" spans="1:33" ht="15" customHeight="1" x14ac:dyDescent="0.25">
      <c r="A630" s="5">
        <v>39</v>
      </c>
      <c r="B630" s="38">
        <v>44097</v>
      </c>
      <c r="C630" s="38">
        <v>44083</v>
      </c>
      <c r="D630" s="38">
        <v>44076</v>
      </c>
      <c r="E630" s="35">
        <v>44097</v>
      </c>
      <c r="F630" s="5">
        <v>5661</v>
      </c>
      <c r="G630" s="5" t="s">
        <v>91</v>
      </c>
      <c r="H630" s="5" t="s">
        <v>41</v>
      </c>
      <c r="I630" s="5" t="s">
        <v>92</v>
      </c>
      <c r="J630" s="21" t="s">
        <v>131</v>
      </c>
      <c r="K630" s="21" t="s">
        <v>427</v>
      </c>
      <c r="L630" s="6" t="s">
        <v>428</v>
      </c>
      <c r="M630" s="5">
        <v>3</v>
      </c>
      <c r="N630" s="5" t="s">
        <v>91</v>
      </c>
      <c r="O630" s="5" t="s">
        <v>91</v>
      </c>
      <c r="P630" s="5" t="s">
        <v>91</v>
      </c>
      <c r="Q630" s="6" t="s">
        <v>105</v>
      </c>
      <c r="R630" s="6" t="s">
        <v>123</v>
      </c>
      <c r="S630" s="6"/>
      <c r="T630" s="6"/>
      <c r="U630" s="5"/>
      <c r="V630" s="6"/>
      <c r="W630" s="6" t="s">
        <v>429</v>
      </c>
      <c r="X630" s="6"/>
      <c r="Y630" s="22"/>
      <c r="Z630" s="6">
        <v>0.5</v>
      </c>
      <c r="AA630" s="21"/>
      <c r="AB630" s="23">
        <v>44084</v>
      </c>
      <c r="AC630" s="21" t="s">
        <v>33</v>
      </c>
      <c r="AD630" s="24" t="s">
        <v>430</v>
      </c>
      <c r="AE630" s="6" t="s">
        <v>36</v>
      </c>
      <c r="AF630" s="6"/>
      <c r="AG630" s="6" t="s">
        <v>3039</v>
      </c>
    </row>
    <row r="631" spans="1:33" ht="15" customHeight="1" x14ac:dyDescent="0.25">
      <c r="A631" s="5">
        <v>39</v>
      </c>
      <c r="B631" s="38">
        <v>44097</v>
      </c>
      <c r="C631" s="38">
        <v>44083</v>
      </c>
      <c r="D631" s="38">
        <v>44076</v>
      </c>
      <c r="E631" s="35">
        <v>44097</v>
      </c>
      <c r="F631" s="5">
        <v>7783</v>
      </c>
      <c r="G631" s="5" t="s">
        <v>91</v>
      </c>
      <c r="H631" s="5" t="s">
        <v>41</v>
      </c>
      <c r="I631" s="5" t="s">
        <v>92</v>
      </c>
      <c r="J631" s="21" t="s">
        <v>214</v>
      </c>
      <c r="K631" s="21" t="s">
        <v>431</v>
      </c>
      <c r="L631" s="6" t="s">
        <v>306</v>
      </c>
      <c r="M631" s="5">
        <v>1</v>
      </c>
      <c r="N631" s="5" t="s">
        <v>91</v>
      </c>
      <c r="O631" s="5" t="s">
        <v>91</v>
      </c>
      <c r="P631" s="5" t="s">
        <v>91</v>
      </c>
      <c r="Q631" s="6" t="s">
        <v>105</v>
      </c>
      <c r="R631" s="6" t="s">
        <v>223</v>
      </c>
      <c r="S631" s="6"/>
      <c r="T631" s="6"/>
      <c r="U631" s="5"/>
      <c r="V631" s="6"/>
      <c r="W631" s="6" t="s">
        <v>432</v>
      </c>
      <c r="X631" s="6">
        <v>277390520</v>
      </c>
      <c r="Y631" s="22"/>
      <c r="Z631" s="6">
        <v>0.28000000000000003</v>
      </c>
      <c r="AA631" s="21" t="s">
        <v>433</v>
      </c>
      <c r="AB631" s="23">
        <v>44083</v>
      </c>
      <c r="AC631" s="21" t="s">
        <v>32</v>
      </c>
      <c r="AD631" s="24" t="s">
        <v>434</v>
      </c>
      <c r="AE631" s="6" t="s">
        <v>38</v>
      </c>
      <c r="AF631" s="6"/>
      <c r="AG631" s="6" t="s">
        <v>3040</v>
      </c>
    </row>
    <row r="632" spans="1:33" ht="7.5" customHeight="1" x14ac:dyDescent="0.25">
      <c r="A632" s="27"/>
      <c r="B632" s="39"/>
      <c r="C632" s="39"/>
      <c r="D632" s="39"/>
      <c r="E632" s="28"/>
      <c r="F632" s="27"/>
      <c r="G632" s="27"/>
      <c r="H632" s="27"/>
      <c r="I632" s="27"/>
      <c r="J632" s="30"/>
      <c r="K632" s="30"/>
      <c r="L632" s="29"/>
      <c r="M632" s="27"/>
      <c r="N632" s="27"/>
      <c r="O632" s="27"/>
      <c r="P632" s="27"/>
      <c r="Q632" s="29"/>
      <c r="R632" s="29"/>
      <c r="S632" s="29"/>
      <c r="T632" s="29"/>
      <c r="U632" s="27"/>
      <c r="V632" s="29"/>
      <c r="W632" s="29"/>
      <c r="X632" s="29"/>
      <c r="Y632" s="31"/>
      <c r="Z632" s="29"/>
      <c r="AA632" s="30"/>
      <c r="AB632" s="32"/>
      <c r="AC632" s="30"/>
      <c r="AD632" s="33"/>
      <c r="AE632" s="29"/>
      <c r="AF632" s="29"/>
      <c r="AG632" s="29"/>
    </row>
    <row r="633" spans="1:33" ht="15" customHeight="1" x14ac:dyDescent="0.25">
      <c r="A633" s="5">
        <v>39</v>
      </c>
      <c r="B633" s="38">
        <v>44099</v>
      </c>
      <c r="C633" s="38">
        <v>44083</v>
      </c>
      <c r="D633" s="38">
        <v>44064</v>
      </c>
      <c r="E633" s="35">
        <v>44099</v>
      </c>
      <c r="F633" s="5">
        <v>9682</v>
      </c>
      <c r="G633" s="5" t="s">
        <v>91</v>
      </c>
      <c r="H633" s="5" t="s">
        <v>43</v>
      </c>
      <c r="I633" s="5" t="s">
        <v>92</v>
      </c>
      <c r="J633" s="21" t="s">
        <v>159</v>
      </c>
      <c r="K633" s="21">
        <v>257628</v>
      </c>
      <c r="L633" s="6" t="s">
        <v>160</v>
      </c>
      <c r="M633" s="5">
        <v>30</v>
      </c>
      <c r="N633" s="5" t="s">
        <v>91</v>
      </c>
      <c r="O633" s="5" t="s">
        <v>91</v>
      </c>
      <c r="P633" s="5" t="s">
        <v>91</v>
      </c>
      <c r="Q633" s="6" t="s">
        <v>105</v>
      </c>
      <c r="R633" s="6" t="s">
        <v>107</v>
      </c>
      <c r="S633" s="6"/>
      <c r="T633" s="6"/>
      <c r="U633" s="5"/>
      <c r="V633" s="6" t="s">
        <v>161</v>
      </c>
      <c r="W633" s="6" t="s">
        <v>106</v>
      </c>
      <c r="X633" s="6"/>
      <c r="Y633" s="22"/>
      <c r="Z633" s="6"/>
      <c r="AA633" s="21">
        <v>257628</v>
      </c>
      <c r="AB633" s="23">
        <v>44070</v>
      </c>
      <c r="AC633" s="21" t="s">
        <v>33</v>
      </c>
      <c r="AD633" s="24" t="s">
        <v>162</v>
      </c>
      <c r="AE633" s="6" t="s">
        <v>31</v>
      </c>
      <c r="AF633" s="6"/>
      <c r="AG633" s="6" t="s">
        <v>3041</v>
      </c>
    </row>
    <row r="634" spans="1:33" ht="7.5" customHeight="1" x14ac:dyDescent="0.25">
      <c r="A634" s="27"/>
      <c r="B634" s="39"/>
      <c r="C634" s="39"/>
      <c r="D634" s="39"/>
      <c r="E634" s="28"/>
      <c r="F634" s="27"/>
      <c r="G634" s="27"/>
      <c r="H634" s="27"/>
      <c r="I634" s="27"/>
      <c r="J634" s="30"/>
      <c r="K634" s="30"/>
      <c r="L634" s="29"/>
      <c r="M634" s="27"/>
      <c r="N634" s="27"/>
      <c r="O634" s="27"/>
      <c r="P634" s="27"/>
      <c r="Q634" s="29"/>
      <c r="R634" s="29"/>
      <c r="S634" s="29"/>
      <c r="T634" s="29"/>
      <c r="U634" s="27"/>
      <c r="V634" s="29"/>
      <c r="W634" s="29"/>
      <c r="X634" s="29"/>
      <c r="Y634" s="31"/>
      <c r="Z634" s="29"/>
      <c r="AA634" s="30"/>
      <c r="AB634" s="32"/>
      <c r="AC634" s="30"/>
      <c r="AD634" s="33"/>
      <c r="AE634" s="29"/>
      <c r="AF634" s="29"/>
      <c r="AG634" s="29"/>
    </row>
    <row r="635" spans="1:33" ht="15" customHeight="1" x14ac:dyDescent="0.25">
      <c r="A635" s="5">
        <v>39</v>
      </c>
      <c r="B635" s="38">
        <v>44098</v>
      </c>
      <c r="C635" s="38">
        <v>44084</v>
      </c>
      <c r="D635" s="38">
        <v>44077</v>
      </c>
      <c r="E635" s="35">
        <v>44098</v>
      </c>
      <c r="F635" s="5">
        <v>3088</v>
      </c>
      <c r="G635" s="5" t="s">
        <v>91</v>
      </c>
      <c r="H635" s="5" t="s">
        <v>41</v>
      </c>
      <c r="I635" s="5" t="s">
        <v>92</v>
      </c>
      <c r="J635" s="21" t="s">
        <v>93</v>
      </c>
      <c r="K635" s="21" t="s">
        <v>435</v>
      </c>
      <c r="L635" s="6" t="s">
        <v>436</v>
      </c>
      <c r="M635" s="5">
        <v>1</v>
      </c>
      <c r="N635" s="5" t="s">
        <v>91</v>
      </c>
      <c r="O635" s="5" t="s">
        <v>91</v>
      </c>
      <c r="P635" s="5" t="s">
        <v>91</v>
      </c>
      <c r="Q635" s="6" t="s">
        <v>105</v>
      </c>
      <c r="R635" s="6" t="s">
        <v>106</v>
      </c>
      <c r="S635" s="6"/>
      <c r="T635" s="6"/>
      <c r="U635" s="5"/>
      <c r="V635" s="6"/>
      <c r="W635" s="6" t="s">
        <v>106</v>
      </c>
      <c r="X635" s="6"/>
      <c r="Y635" s="22"/>
      <c r="Z635" s="6"/>
      <c r="AA635" s="21" t="s">
        <v>437</v>
      </c>
      <c r="AB635" s="23">
        <v>44092</v>
      </c>
      <c r="AC635" s="21" t="s">
        <v>30</v>
      </c>
      <c r="AD635" s="24" t="s">
        <v>438</v>
      </c>
      <c r="AE635" s="6" t="s">
        <v>31</v>
      </c>
      <c r="AF635" s="6"/>
      <c r="AG635" s="6" t="s">
        <v>3041</v>
      </c>
    </row>
    <row r="636" spans="1:33" ht="15" customHeight="1" x14ac:dyDescent="0.25">
      <c r="A636" s="5">
        <v>39</v>
      </c>
      <c r="B636" s="38">
        <v>44098</v>
      </c>
      <c r="C636" s="38">
        <v>44084</v>
      </c>
      <c r="D636" s="38">
        <v>44077</v>
      </c>
      <c r="E636" s="35">
        <v>44098</v>
      </c>
      <c r="F636" s="5">
        <v>3100</v>
      </c>
      <c r="G636" s="5" t="s">
        <v>91</v>
      </c>
      <c r="H636" s="5" t="s">
        <v>41</v>
      </c>
      <c r="I636" s="5" t="s">
        <v>92</v>
      </c>
      <c r="J636" s="21" t="s">
        <v>93</v>
      </c>
      <c r="K636" s="21" t="s">
        <v>439</v>
      </c>
      <c r="L636" s="6" t="s">
        <v>152</v>
      </c>
      <c r="M636" s="5">
        <v>1</v>
      </c>
      <c r="N636" s="5" t="s">
        <v>91</v>
      </c>
      <c r="O636" s="5" t="s">
        <v>91</v>
      </c>
      <c r="P636" s="5" t="s">
        <v>91</v>
      </c>
      <c r="Q636" s="6" t="s">
        <v>96</v>
      </c>
      <c r="R636" s="6" t="s">
        <v>440</v>
      </c>
      <c r="S636" s="6"/>
      <c r="T636" s="6"/>
      <c r="U636" s="5"/>
      <c r="V636" s="6"/>
      <c r="W636" s="6" t="s">
        <v>440</v>
      </c>
      <c r="X636" s="6"/>
      <c r="Y636" s="22"/>
      <c r="Z636" s="6"/>
      <c r="AA636" s="21">
        <v>10162</v>
      </c>
      <c r="AB636" s="23">
        <v>44098</v>
      </c>
      <c r="AC636" s="21" t="s">
        <v>30</v>
      </c>
      <c r="AD636" s="24" t="s">
        <v>174</v>
      </c>
      <c r="AE636" s="6" t="s">
        <v>37</v>
      </c>
      <c r="AF636" s="6"/>
      <c r="AG636" s="6" t="s">
        <v>3042</v>
      </c>
    </row>
    <row r="637" spans="1:33" ht="7.5" customHeight="1" x14ac:dyDescent="0.25">
      <c r="A637" s="27"/>
      <c r="B637" s="39"/>
      <c r="C637" s="39"/>
      <c r="D637" s="39"/>
      <c r="E637" s="28"/>
      <c r="F637" s="27"/>
      <c r="G637" s="27"/>
      <c r="H637" s="27"/>
      <c r="I637" s="27"/>
      <c r="J637" s="30"/>
      <c r="K637" s="30"/>
      <c r="L637" s="29"/>
      <c r="M637" s="27"/>
      <c r="N637" s="27"/>
      <c r="O637" s="27"/>
      <c r="P637" s="27"/>
      <c r="Q637" s="29"/>
      <c r="R637" s="29"/>
      <c r="S637" s="29"/>
      <c r="T637" s="29"/>
      <c r="U637" s="27"/>
      <c r="V637" s="29"/>
      <c r="W637" s="29"/>
      <c r="X637" s="29"/>
      <c r="Y637" s="31"/>
      <c r="Z637" s="29"/>
      <c r="AA637" s="30"/>
      <c r="AB637" s="32"/>
      <c r="AC637" s="30"/>
      <c r="AD637" s="33"/>
      <c r="AE637" s="29"/>
      <c r="AF637" s="29"/>
      <c r="AG637" s="29"/>
    </row>
    <row r="638" spans="1:33" ht="15" customHeight="1" x14ac:dyDescent="0.25">
      <c r="A638" s="5">
        <v>39</v>
      </c>
      <c r="B638" s="38">
        <v>44095</v>
      </c>
      <c r="C638" s="38">
        <v>44084</v>
      </c>
      <c r="D638" s="38">
        <v>44063</v>
      </c>
      <c r="E638" s="35">
        <v>44095</v>
      </c>
      <c r="F638" s="5">
        <v>4814</v>
      </c>
      <c r="G638" s="5" t="s">
        <v>91</v>
      </c>
      <c r="H638" s="5" t="s">
        <v>43</v>
      </c>
      <c r="I638" s="5" t="s">
        <v>92</v>
      </c>
      <c r="J638" s="21" t="s">
        <v>109</v>
      </c>
      <c r="K638" s="21" t="s">
        <v>324</v>
      </c>
      <c r="L638" s="6" t="s">
        <v>325</v>
      </c>
      <c r="M638" s="5">
        <v>0</v>
      </c>
      <c r="N638" s="5" t="s">
        <v>91</v>
      </c>
      <c r="O638" s="5" t="s">
        <v>91</v>
      </c>
      <c r="P638" s="5" t="s">
        <v>91</v>
      </c>
      <c r="Q638" s="6" t="s">
        <v>105</v>
      </c>
      <c r="R638" s="6" t="s">
        <v>112</v>
      </c>
      <c r="S638" s="6"/>
      <c r="T638" s="6"/>
      <c r="U638" s="5"/>
      <c r="V638" s="6"/>
      <c r="W638" s="6" t="s">
        <v>326</v>
      </c>
      <c r="X638" s="6"/>
      <c r="Y638" s="22"/>
      <c r="Z638" s="6">
        <v>0</v>
      </c>
      <c r="AA638" s="21">
        <v>15309</v>
      </c>
      <c r="AB638" s="23">
        <v>44061</v>
      </c>
      <c r="AC638" s="21" t="s">
        <v>32</v>
      </c>
      <c r="AD638" s="24" t="s">
        <v>115</v>
      </c>
      <c r="AE638" s="6" t="s">
        <v>35</v>
      </c>
      <c r="AF638" s="6"/>
      <c r="AG638" s="6" t="s">
        <v>3042</v>
      </c>
    </row>
    <row r="639" spans="1:33" ht="15" customHeight="1" x14ac:dyDescent="0.25">
      <c r="A639" s="5">
        <v>39</v>
      </c>
      <c r="B639" s="38">
        <v>44095</v>
      </c>
      <c r="C639" s="38">
        <v>44084</v>
      </c>
      <c r="D639" s="38">
        <v>44060</v>
      </c>
      <c r="E639" s="35">
        <v>44095</v>
      </c>
      <c r="F639" s="5">
        <v>5649</v>
      </c>
      <c r="G639" s="5" t="s">
        <v>91</v>
      </c>
      <c r="H639" s="5" t="s">
        <v>41</v>
      </c>
      <c r="I639" s="5" t="s">
        <v>92</v>
      </c>
      <c r="J639" s="21" t="s">
        <v>131</v>
      </c>
      <c r="K639" s="21" t="s">
        <v>338</v>
      </c>
      <c r="L639" s="6" t="s">
        <v>339</v>
      </c>
      <c r="M639" s="5">
        <v>0</v>
      </c>
      <c r="N639" s="5" t="s">
        <v>91</v>
      </c>
      <c r="O639" s="5" t="s">
        <v>91</v>
      </c>
      <c r="P639" s="5" t="s">
        <v>91</v>
      </c>
      <c r="Q639" s="6"/>
      <c r="R639" s="6" t="s">
        <v>112</v>
      </c>
      <c r="S639" s="6"/>
      <c r="T639" s="6"/>
      <c r="U639" s="5"/>
      <c r="V639" s="6" t="s">
        <v>340</v>
      </c>
      <c r="W639" s="6" t="s">
        <v>183</v>
      </c>
      <c r="X639" s="6"/>
      <c r="Y639" s="22"/>
      <c r="Z639" s="6"/>
      <c r="AA639" s="21"/>
      <c r="AB639" s="23">
        <v>44071</v>
      </c>
      <c r="AC639" s="21" t="s">
        <v>32</v>
      </c>
      <c r="AD639" s="24" t="s">
        <v>115</v>
      </c>
      <c r="AE639" s="6" t="s">
        <v>31</v>
      </c>
      <c r="AF639" s="6"/>
      <c r="AG639" s="6" t="s">
        <v>3042</v>
      </c>
    </row>
    <row r="640" spans="1:33" ht="15" customHeight="1" x14ac:dyDescent="0.25">
      <c r="A640" s="5">
        <v>39</v>
      </c>
      <c r="B640" s="38">
        <v>44095</v>
      </c>
      <c r="C640" s="38">
        <v>44084</v>
      </c>
      <c r="D640" s="38">
        <v>44104</v>
      </c>
      <c r="E640" s="35">
        <v>44095</v>
      </c>
      <c r="F640" s="5">
        <v>5669</v>
      </c>
      <c r="G640" s="5" t="s">
        <v>91</v>
      </c>
      <c r="H640" s="5" t="s">
        <v>41</v>
      </c>
      <c r="I640" s="5" t="s">
        <v>92</v>
      </c>
      <c r="J640" s="21" t="s">
        <v>131</v>
      </c>
      <c r="K640" s="21" t="s">
        <v>341</v>
      </c>
      <c r="L640" s="6" t="s">
        <v>342</v>
      </c>
      <c r="M640" s="5">
        <v>0</v>
      </c>
      <c r="N640" s="5" t="s">
        <v>91</v>
      </c>
      <c r="O640" s="5" t="s">
        <v>91</v>
      </c>
      <c r="P640" s="5" t="s">
        <v>91</v>
      </c>
      <c r="Q640" s="6" t="s">
        <v>105</v>
      </c>
      <c r="R640" s="6" t="s">
        <v>112</v>
      </c>
      <c r="S640" s="6"/>
      <c r="T640" s="6"/>
      <c r="U640" s="5"/>
      <c r="V640" s="6"/>
      <c r="W640" s="6" t="s">
        <v>183</v>
      </c>
      <c r="X640" s="6"/>
      <c r="Y640" s="22"/>
      <c r="Z640" s="6"/>
      <c r="AA640" s="21"/>
      <c r="AB640" s="23">
        <v>44090</v>
      </c>
      <c r="AC640" s="21" t="s">
        <v>33</v>
      </c>
      <c r="AD640" s="24" t="s">
        <v>343</v>
      </c>
      <c r="AE640" s="6" t="s">
        <v>31</v>
      </c>
      <c r="AF640" s="6"/>
      <c r="AG640" s="6" t="s">
        <v>3039</v>
      </c>
    </row>
    <row r="641" spans="1:33" ht="7.5" customHeight="1" x14ac:dyDescent="0.25">
      <c r="A641" s="27"/>
      <c r="B641" s="39"/>
      <c r="C641" s="39"/>
      <c r="D641" s="39"/>
      <c r="E641" s="28"/>
      <c r="F641" s="27"/>
      <c r="G641" s="27"/>
      <c r="H641" s="27"/>
      <c r="I641" s="27"/>
      <c r="J641" s="30"/>
      <c r="K641" s="30"/>
      <c r="L641" s="29"/>
      <c r="M641" s="27"/>
      <c r="N641" s="27"/>
      <c r="O641" s="27"/>
      <c r="P641" s="27"/>
      <c r="Q641" s="29"/>
      <c r="R641" s="29"/>
      <c r="S641" s="29"/>
      <c r="T641" s="29"/>
      <c r="U641" s="27"/>
      <c r="V641" s="29"/>
      <c r="W641" s="29"/>
      <c r="X641" s="29"/>
      <c r="Y641" s="31"/>
      <c r="Z641" s="29"/>
      <c r="AA641" s="30"/>
      <c r="AB641" s="32"/>
      <c r="AC641" s="30"/>
      <c r="AD641" s="33"/>
      <c r="AE641" s="29"/>
      <c r="AF641" s="29"/>
      <c r="AG641" s="29"/>
    </row>
    <row r="642" spans="1:33" ht="15" customHeight="1" x14ac:dyDescent="0.25">
      <c r="A642" s="5">
        <v>42</v>
      </c>
      <c r="B642" s="38">
        <v>44116</v>
      </c>
      <c r="C642" s="38">
        <v>44084</v>
      </c>
      <c r="D642" s="38">
        <v>44077</v>
      </c>
      <c r="E642" s="37">
        <v>44116</v>
      </c>
      <c r="F642" s="5">
        <v>6723</v>
      </c>
      <c r="G642" s="5" t="s">
        <v>91</v>
      </c>
      <c r="H642" s="5" t="s">
        <v>41</v>
      </c>
      <c r="I642" s="5" t="s">
        <v>92</v>
      </c>
      <c r="J642" s="21" t="s">
        <v>191</v>
      </c>
      <c r="K642" s="21" t="s">
        <v>1924</v>
      </c>
      <c r="L642" s="6" t="s">
        <v>1925</v>
      </c>
      <c r="M642" s="5">
        <v>12</v>
      </c>
      <c r="N642" s="5" t="s">
        <v>91</v>
      </c>
      <c r="O642" s="5" t="s">
        <v>91</v>
      </c>
      <c r="P642" s="5" t="s">
        <v>91</v>
      </c>
      <c r="Q642" s="6" t="s">
        <v>105</v>
      </c>
      <c r="R642" s="6" t="s">
        <v>194</v>
      </c>
      <c r="S642" s="6"/>
      <c r="T642" s="6"/>
      <c r="U642" s="5"/>
      <c r="V642" s="6"/>
      <c r="W642" s="6" t="s">
        <v>1926</v>
      </c>
      <c r="X642" s="6"/>
      <c r="Y642" s="22"/>
      <c r="Z642" s="6">
        <v>3</v>
      </c>
      <c r="AA642" s="21"/>
      <c r="AB642" s="23">
        <v>44078</v>
      </c>
      <c r="AC642" s="21" t="s">
        <v>32</v>
      </c>
      <c r="AD642" s="24" t="s">
        <v>1927</v>
      </c>
      <c r="AE642" s="6" t="s">
        <v>31</v>
      </c>
      <c r="AF642" s="6"/>
      <c r="AG642" s="6" t="s">
        <v>3039</v>
      </c>
    </row>
    <row r="643" spans="1:33" ht="7.5" customHeight="1" x14ac:dyDescent="0.25">
      <c r="A643" s="27"/>
      <c r="B643" s="39"/>
      <c r="C643" s="39"/>
      <c r="D643" s="39"/>
      <c r="E643" s="28"/>
      <c r="F643" s="27"/>
      <c r="G643" s="27"/>
      <c r="H643" s="27"/>
      <c r="I643" s="27"/>
      <c r="J643" s="30"/>
      <c r="K643" s="30"/>
      <c r="L643" s="29"/>
      <c r="M643" s="27"/>
      <c r="N643" s="27"/>
      <c r="O643" s="27"/>
      <c r="P643" s="27"/>
      <c r="Q643" s="29"/>
      <c r="R643" s="29"/>
      <c r="S643" s="29"/>
      <c r="T643" s="29"/>
      <c r="U643" s="27"/>
      <c r="V643" s="29"/>
      <c r="W643" s="29"/>
      <c r="X643" s="29"/>
      <c r="Y643" s="31"/>
      <c r="Z643" s="29"/>
      <c r="AA643" s="30"/>
      <c r="AB643" s="32"/>
      <c r="AC643" s="30"/>
      <c r="AD643" s="33"/>
      <c r="AE643" s="29"/>
      <c r="AF643" s="29"/>
      <c r="AG643" s="29"/>
    </row>
    <row r="644" spans="1:33" ht="15" customHeight="1" x14ac:dyDescent="0.25">
      <c r="A644" s="5">
        <v>39</v>
      </c>
      <c r="B644" s="38">
        <v>44095</v>
      </c>
      <c r="C644" s="38">
        <v>44084</v>
      </c>
      <c r="D644" s="38">
        <v>44060</v>
      </c>
      <c r="E644" s="35">
        <v>44095</v>
      </c>
      <c r="F644" s="5">
        <v>7768</v>
      </c>
      <c r="G644" s="5" t="s">
        <v>91</v>
      </c>
      <c r="H644" s="5" t="s">
        <v>41</v>
      </c>
      <c r="I644" s="5" t="s">
        <v>92</v>
      </c>
      <c r="J644" s="21" t="s">
        <v>214</v>
      </c>
      <c r="K644" s="21" t="s">
        <v>368</v>
      </c>
      <c r="L644" s="6" t="s">
        <v>325</v>
      </c>
      <c r="M644" s="5">
        <v>0</v>
      </c>
      <c r="N644" s="5" t="s">
        <v>91</v>
      </c>
      <c r="O644" s="5" t="s">
        <v>91</v>
      </c>
      <c r="P644" s="5" t="s">
        <v>91</v>
      </c>
      <c r="Q644" s="6" t="s">
        <v>105</v>
      </c>
      <c r="R644" s="6" t="s">
        <v>217</v>
      </c>
      <c r="S644" s="6"/>
      <c r="T644" s="6"/>
      <c r="U644" s="5"/>
      <c r="V644" s="6"/>
      <c r="W644" s="6" t="s">
        <v>224</v>
      </c>
      <c r="X644" s="6"/>
      <c r="Y644" s="22"/>
      <c r="Z644" s="6">
        <v>0</v>
      </c>
      <c r="AA644" s="21" t="s">
        <v>369</v>
      </c>
      <c r="AB644" s="23">
        <v>44063</v>
      </c>
      <c r="AC644" s="21" t="s">
        <v>32</v>
      </c>
      <c r="AD644" s="24" t="s">
        <v>115</v>
      </c>
      <c r="AE644" s="6" t="s">
        <v>35</v>
      </c>
      <c r="AF644" s="6"/>
      <c r="AG644" s="6" t="s">
        <v>3039</v>
      </c>
    </row>
    <row r="645" spans="1:33" ht="15" customHeight="1" x14ac:dyDescent="0.25">
      <c r="A645" s="5">
        <v>39</v>
      </c>
      <c r="B645" s="38">
        <v>44095</v>
      </c>
      <c r="C645" s="38">
        <v>44084</v>
      </c>
      <c r="D645" s="38">
        <v>44060</v>
      </c>
      <c r="E645" s="35">
        <v>44095</v>
      </c>
      <c r="F645" s="5">
        <v>7769</v>
      </c>
      <c r="G645" s="5" t="s">
        <v>91</v>
      </c>
      <c r="H645" s="5" t="s">
        <v>41</v>
      </c>
      <c r="I645" s="5" t="s">
        <v>92</v>
      </c>
      <c r="J645" s="21" t="s">
        <v>214</v>
      </c>
      <c r="K645" s="21" t="s">
        <v>370</v>
      </c>
      <c r="L645" s="6" t="s">
        <v>325</v>
      </c>
      <c r="M645" s="5">
        <v>0</v>
      </c>
      <c r="N645" s="5" t="s">
        <v>91</v>
      </c>
      <c r="O645" s="5" t="s">
        <v>91</v>
      </c>
      <c r="P645" s="5" t="s">
        <v>91</v>
      </c>
      <c r="Q645" s="6" t="s">
        <v>105</v>
      </c>
      <c r="R645" s="6" t="s">
        <v>223</v>
      </c>
      <c r="S645" s="6"/>
      <c r="T645" s="6"/>
      <c r="U645" s="5"/>
      <c r="V645" s="6"/>
      <c r="W645" s="6" t="s">
        <v>224</v>
      </c>
      <c r="X645" s="6"/>
      <c r="Y645" s="22"/>
      <c r="Z645" s="6">
        <v>0</v>
      </c>
      <c r="AA645" s="21" t="s">
        <v>371</v>
      </c>
      <c r="AB645" s="23">
        <v>44067</v>
      </c>
      <c r="AC645" s="21" t="s">
        <v>32</v>
      </c>
      <c r="AD645" s="24" t="s">
        <v>115</v>
      </c>
      <c r="AE645" s="6" t="s">
        <v>31</v>
      </c>
      <c r="AF645" s="6"/>
      <c r="AG645" s="6" t="s">
        <v>3040</v>
      </c>
    </row>
    <row r="646" spans="1:33" ht="7.5" customHeight="1" x14ac:dyDescent="0.25">
      <c r="A646" s="27"/>
      <c r="B646" s="39"/>
      <c r="C646" s="39"/>
      <c r="D646" s="39"/>
      <c r="E646" s="28"/>
      <c r="F646" s="27"/>
      <c r="G646" s="27"/>
      <c r="H646" s="27"/>
      <c r="I646" s="27"/>
      <c r="J646" s="30"/>
      <c r="K646" s="30"/>
      <c r="L646" s="29"/>
      <c r="M646" s="27"/>
      <c r="N646" s="27"/>
      <c r="O646" s="27"/>
      <c r="P646" s="27"/>
      <c r="Q646" s="29"/>
      <c r="R646" s="29"/>
      <c r="S646" s="29"/>
      <c r="T646" s="29"/>
      <c r="U646" s="27"/>
      <c r="V646" s="29"/>
      <c r="W646" s="29"/>
      <c r="X646" s="29"/>
      <c r="Y646" s="31"/>
      <c r="Z646" s="29"/>
      <c r="AA646" s="30"/>
      <c r="AB646" s="32"/>
      <c r="AC646" s="30"/>
      <c r="AD646" s="33"/>
      <c r="AE646" s="29"/>
      <c r="AF646" s="29"/>
      <c r="AG646" s="29"/>
    </row>
    <row r="647" spans="1:33" ht="15" customHeight="1" x14ac:dyDescent="0.25">
      <c r="A647" s="5">
        <v>39</v>
      </c>
      <c r="B647" s="38">
        <v>44099</v>
      </c>
      <c r="C647" s="38">
        <v>44085</v>
      </c>
      <c r="D647" s="38">
        <v>44078</v>
      </c>
      <c r="E647" s="35">
        <v>44099</v>
      </c>
      <c r="F647" s="5">
        <v>3058</v>
      </c>
      <c r="G647" s="5" t="s">
        <v>91</v>
      </c>
      <c r="H647" s="5" t="s">
        <v>41</v>
      </c>
      <c r="I647" s="5" t="s">
        <v>92</v>
      </c>
      <c r="J647" s="21" t="s">
        <v>93</v>
      </c>
      <c r="K647" s="21" t="s">
        <v>94</v>
      </c>
      <c r="L647" s="6" t="s">
        <v>95</v>
      </c>
      <c r="M647" s="5">
        <v>11</v>
      </c>
      <c r="N647" s="5" t="s">
        <v>91</v>
      </c>
      <c r="O647" s="5" t="s">
        <v>91</v>
      </c>
      <c r="P647" s="5" t="s">
        <v>91</v>
      </c>
      <c r="Q647" s="6" t="s">
        <v>96</v>
      </c>
      <c r="R647" s="6" t="s">
        <v>97</v>
      </c>
      <c r="S647" s="6" t="s">
        <v>98</v>
      </c>
      <c r="T647" s="6"/>
      <c r="U647" s="5"/>
      <c r="V647" s="6" t="s">
        <v>99</v>
      </c>
      <c r="W647" s="6" t="s">
        <v>100</v>
      </c>
      <c r="X647" s="6" t="s">
        <v>101</v>
      </c>
      <c r="Y647" s="22"/>
      <c r="Z647" s="6"/>
      <c r="AA647" s="21">
        <v>10164</v>
      </c>
      <c r="AB647" s="23">
        <v>44060</v>
      </c>
      <c r="AC647" s="21" t="s">
        <v>30</v>
      </c>
      <c r="AD647" s="24" t="s">
        <v>102</v>
      </c>
      <c r="AE647" s="6" t="s">
        <v>31</v>
      </c>
      <c r="AF647" s="6"/>
      <c r="AG647" s="6" t="s">
        <v>3039</v>
      </c>
    </row>
    <row r="648" spans="1:33" ht="15" customHeight="1" x14ac:dyDescent="0.25">
      <c r="A648" s="5">
        <v>39</v>
      </c>
      <c r="B648" s="38">
        <v>44099</v>
      </c>
      <c r="C648" s="38">
        <v>44085</v>
      </c>
      <c r="D648" s="38">
        <v>44078</v>
      </c>
      <c r="E648" s="35">
        <v>44099</v>
      </c>
      <c r="F648" s="5">
        <v>3092</v>
      </c>
      <c r="G648" s="5" t="s">
        <v>91</v>
      </c>
      <c r="H648" s="5" t="s">
        <v>41</v>
      </c>
      <c r="I648" s="5" t="s">
        <v>92</v>
      </c>
      <c r="J648" s="21" t="s">
        <v>93</v>
      </c>
      <c r="K648" s="21" t="s">
        <v>103</v>
      </c>
      <c r="L648" s="6" t="s">
        <v>104</v>
      </c>
      <c r="M648" s="5">
        <v>0</v>
      </c>
      <c r="N648" s="5" t="s">
        <v>91</v>
      </c>
      <c r="O648" s="5" t="s">
        <v>91</v>
      </c>
      <c r="P648" s="5" t="s">
        <v>91</v>
      </c>
      <c r="Q648" s="6" t="s">
        <v>105</v>
      </c>
      <c r="R648" s="6" t="s">
        <v>106</v>
      </c>
      <c r="S648" s="6"/>
      <c r="T648" s="6"/>
      <c r="U648" s="5"/>
      <c r="V648" s="6" t="s">
        <v>104</v>
      </c>
      <c r="W648" s="6" t="s">
        <v>107</v>
      </c>
      <c r="X648" s="6"/>
      <c r="Y648" s="22"/>
      <c r="Z648" s="6"/>
      <c r="AA648" s="21">
        <v>1016300</v>
      </c>
      <c r="AB648" s="23">
        <v>44095</v>
      </c>
      <c r="AC648" s="21" t="s">
        <v>32</v>
      </c>
      <c r="AD648" s="24" t="s">
        <v>108</v>
      </c>
      <c r="AE648" s="6" t="s">
        <v>31</v>
      </c>
      <c r="AF648" s="6"/>
      <c r="AG648" s="6" t="s">
        <v>3040</v>
      </c>
    </row>
    <row r="649" spans="1:33" ht="15" customHeight="1" x14ac:dyDescent="0.25">
      <c r="A649" s="5">
        <v>39</v>
      </c>
      <c r="B649" s="38">
        <v>44099</v>
      </c>
      <c r="C649" s="38">
        <v>44085</v>
      </c>
      <c r="D649" s="38">
        <v>44078</v>
      </c>
      <c r="E649" s="35">
        <v>44099</v>
      </c>
      <c r="F649" s="5">
        <v>4825</v>
      </c>
      <c r="G649" s="5" t="s">
        <v>91</v>
      </c>
      <c r="H649" s="5" t="s">
        <v>43</v>
      </c>
      <c r="I649" s="5" t="s">
        <v>92</v>
      </c>
      <c r="J649" s="21" t="s">
        <v>109</v>
      </c>
      <c r="K649" s="21" t="s">
        <v>116</v>
      </c>
      <c r="L649" s="6" t="s">
        <v>117</v>
      </c>
      <c r="M649" s="5">
        <v>16</v>
      </c>
      <c r="N649" s="5" t="s">
        <v>91</v>
      </c>
      <c r="O649" s="5" t="s">
        <v>91</v>
      </c>
      <c r="P649" s="5" t="s">
        <v>91</v>
      </c>
      <c r="Q649" s="6" t="s">
        <v>105</v>
      </c>
      <c r="R649" s="6" t="s">
        <v>112</v>
      </c>
      <c r="S649" s="6"/>
      <c r="T649" s="6"/>
      <c r="U649" s="5"/>
      <c r="V649" s="6" t="s">
        <v>118</v>
      </c>
      <c r="W649" s="6" t="s">
        <v>119</v>
      </c>
      <c r="X649" s="6"/>
      <c r="Y649" s="22"/>
      <c r="Z649" s="6">
        <v>4.5</v>
      </c>
      <c r="AA649" s="21">
        <v>13444</v>
      </c>
      <c r="AB649" s="23">
        <v>44070</v>
      </c>
      <c r="AC649" s="21" t="s">
        <v>33</v>
      </c>
      <c r="AD649" s="24" t="s">
        <v>120</v>
      </c>
      <c r="AE649" s="6" t="s">
        <v>36</v>
      </c>
      <c r="AF649" s="6"/>
      <c r="AG649" s="6" t="s">
        <v>3042</v>
      </c>
    </row>
    <row r="650" spans="1:33" ht="15" customHeight="1" x14ac:dyDescent="0.25">
      <c r="A650" s="5">
        <v>39</v>
      </c>
      <c r="B650" s="38">
        <v>44099</v>
      </c>
      <c r="C650" s="38">
        <v>44085</v>
      </c>
      <c r="D650" s="38">
        <v>44078</v>
      </c>
      <c r="E650" s="35">
        <v>44099</v>
      </c>
      <c r="F650" s="5">
        <v>4825</v>
      </c>
      <c r="G650" s="5" t="s">
        <v>91</v>
      </c>
      <c r="H650" s="5" t="s">
        <v>43</v>
      </c>
      <c r="I650" s="5" t="s">
        <v>92</v>
      </c>
      <c r="J650" s="21" t="s">
        <v>109</v>
      </c>
      <c r="K650" s="21" t="s">
        <v>116</v>
      </c>
      <c r="L650" s="6" t="s">
        <v>130</v>
      </c>
      <c r="M650" s="5">
        <v>0</v>
      </c>
      <c r="N650" s="5" t="s">
        <v>91</v>
      </c>
      <c r="O650" s="5" t="s">
        <v>91</v>
      </c>
      <c r="P650" s="5" t="s">
        <v>91</v>
      </c>
      <c r="Q650" s="6"/>
      <c r="R650" s="6"/>
      <c r="S650" s="6"/>
      <c r="T650" s="6"/>
      <c r="U650" s="5"/>
      <c r="V650" s="6"/>
      <c r="W650" s="6" t="s">
        <v>119</v>
      </c>
      <c r="X650" s="6"/>
      <c r="Y650" s="22"/>
      <c r="Z650" s="6">
        <v>0</v>
      </c>
      <c r="AA650" s="21">
        <v>13444</v>
      </c>
      <c r="AB650" s="23">
        <v>44070</v>
      </c>
      <c r="AC650" s="21" t="s">
        <v>30</v>
      </c>
      <c r="AD650" s="24" t="s">
        <v>115</v>
      </c>
      <c r="AE650" s="6" t="s">
        <v>35</v>
      </c>
      <c r="AF650" s="6"/>
      <c r="AG650" s="6" t="s">
        <v>3041</v>
      </c>
    </row>
    <row r="651" spans="1:33" ht="15" customHeight="1" x14ac:dyDescent="0.25">
      <c r="A651" s="5">
        <v>39</v>
      </c>
      <c r="B651" s="38">
        <v>44099</v>
      </c>
      <c r="C651" s="38">
        <v>44085</v>
      </c>
      <c r="D651" s="38">
        <v>44078</v>
      </c>
      <c r="E651" s="35">
        <v>44099</v>
      </c>
      <c r="F651" s="5">
        <v>5650</v>
      </c>
      <c r="G651" s="5" t="s">
        <v>91</v>
      </c>
      <c r="H651" s="5" t="s">
        <v>40</v>
      </c>
      <c r="I651" s="5" t="s">
        <v>92</v>
      </c>
      <c r="J651" s="21" t="s">
        <v>131</v>
      </c>
      <c r="K651" s="21" t="s">
        <v>132</v>
      </c>
      <c r="L651" s="6" t="s">
        <v>133</v>
      </c>
      <c r="M651" s="5">
        <v>15</v>
      </c>
      <c r="N651" s="5" t="s">
        <v>91</v>
      </c>
      <c r="O651" s="5" t="s">
        <v>91</v>
      </c>
      <c r="P651" s="5" t="s">
        <v>91</v>
      </c>
      <c r="Q651" s="6"/>
      <c r="R651" s="6" t="s">
        <v>112</v>
      </c>
      <c r="S651" s="6"/>
      <c r="T651" s="6"/>
      <c r="U651" s="5"/>
      <c r="V651" s="6"/>
      <c r="W651" s="6" t="s">
        <v>134</v>
      </c>
      <c r="X651" s="6"/>
      <c r="Y651" s="22"/>
      <c r="Z651" s="6"/>
      <c r="AA651" s="21"/>
      <c r="AB651" s="23">
        <v>44071</v>
      </c>
      <c r="AC651" s="21" t="s">
        <v>30</v>
      </c>
      <c r="AD651" s="24" t="s">
        <v>135</v>
      </c>
      <c r="AE651" s="6" t="s">
        <v>31</v>
      </c>
      <c r="AF651" s="6"/>
      <c r="AG651" s="6" t="s">
        <v>3042</v>
      </c>
    </row>
    <row r="652" spans="1:33" ht="15" customHeight="1" x14ac:dyDescent="0.25">
      <c r="A652" s="5">
        <v>39</v>
      </c>
      <c r="B652" s="38">
        <v>44099</v>
      </c>
      <c r="C652" s="38">
        <v>44085</v>
      </c>
      <c r="D652" s="38">
        <v>44078</v>
      </c>
      <c r="E652" s="35">
        <v>44099</v>
      </c>
      <c r="F652" s="5">
        <v>5651</v>
      </c>
      <c r="G652" s="5" t="s">
        <v>91</v>
      </c>
      <c r="H652" s="5" t="s">
        <v>40</v>
      </c>
      <c r="I652" s="5" t="s">
        <v>92</v>
      </c>
      <c r="J652" s="21" t="s">
        <v>131</v>
      </c>
      <c r="K652" s="21" t="s">
        <v>136</v>
      </c>
      <c r="L652" s="6" t="s">
        <v>137</v>
      </c>
      <c r="M652" s="5">
        <v>15</v>
      </c>
      <c r="N652" s="5" t="s">
        <v>91</v>
      </c>
      <c r="O652" s="5" t="s">
        <v>91</v>
      </c>
      <c r="P652" s="5" t="s">
        <v>91</v>
      </c>
      <c r="Q652" s="6"/>
      <c r="R652" s="6" t="s">
        <v>112</v>
      </c>
      <c r="S652" s="6"/>
      <c r="T652" s="6"/>
      <c r="U652" s="5"/>
      <c r="V652" s="6"/>
      <c r="W652" s="6" t="s">
        <v>138</v>
      </c>
      <c r="X652" s="6"/>
      <c r="Y652" s="22"/>
      <c r="Z652" s="6"/>
      <c r="AA652" s="21"/>
      <c r="AB652" s="23">
        <v>44071</v>
      </c>
      <c r="AC652" s="21" t="s">
        <v>30</v>
      </c>
      <c r="AD652" s="24" t="s">
        <v>139</v>
      </c>
      <c r="AE652" s="6" t="s">
        <v>31</v>
      </c>
      <c r="AF652" s="6"/>
      <c r="AG652" s="6" t="s">
        <v>3039</v>
      </c>
    </row>
    <row r="653" spans="1:33" ht="15" customHeight="1" x14ac:dyDescent="0.25">
      <c r="A653" s="5">
        <v>39</v>
      </c>
      <c r="B653" s="38">
        <v>44099</v>
      </c>
      <c r="C653" s="38">
        <v>44085</v>
      </c>
      <c r="D653" s="38">
        <v>44078</v>
      </c>
      <c r="E653" s="35">
        <v>44099</v>
      </c>
      <c r="F653" s="5">
        <v>5652</v>
      </c>
      <c r="G653" s="5" t="s">
        <v>91</v>
      </c>
      <c r="H653" s="5" t="s">
        <v>40</v>
      </c>
      <c r="I653" s="5" t="s">
        <v>92</v>
      </c>
      <c r="J653" s="21" t="s">
        <v>131</v>
      </c>
      <c r="K653" s="21" t="s">
        <v>140</v>
      </c>
      <c r="L653" s="6" t="s">
        <v>141</v>
      </c>
      <c r="M653" s="5">
        <v>14</v>
      </c>
      <c r="N653" s="5" t="s">
        <v>91</v>
      </c>
      <c r="O653" s="5" t="s">
        <v>91</v>
      </c>
      <c r="P653" s="5" t="s">
        <v>91</v>
      </c>
      <c r="Q653" s="6"/>
      <c r="R653" s="6" t="s">
        <v>112</v>
      </c>
      <c r="S653" s="6"/>
      <c r="T653" s="6"/>
      <c r="U653" s="5"/>
      <c r="V653" s="6"/>
      <c r="W653" s="6" t="s">
        <v>142</v>
      </c>
      <c r="X653" s="6"/>
      <c r="Y653" s="22"/>
      <c r="Z653" s="6"/>
      <c r="AA653" s="21"/>
      <c r="AB653" s="23">
        <v>44071</v>
      </c>
      <c r="AC653" s="21" t="s">
        <v>30</v>
      </c>
      <c r="AD653" s="24" t="s">
        <v>143</v>
      </c>
      <c r="AE653" s="6" t="s">
        <v>31</v>
      </c>
      <c r="AF653" s="6"/>
      <c r="AG653" s="6" t="s">
        <v>3040</v>
      </c>
    </row>
    <row r="654" spans="1:33" ht="15" customHeight="1" x14ac:dyDescent="0.25">
      <c r="A654" s="5">
        <v>39</v>
      </c>
      <c r="B654" s="38">
        <v>44099</v>
      </c>
      <c r="C654" s="38">
        <v>44085</v>
      </c>
      <c r="D654" s="38">
        <v>44078</v>
      </c>
      <c r="E654" s="35">
        <v>44099</v>
      </c>
      <c r="F654" s="5">
        <v>5653</v>
      </c>
      <c r="G654" s="5" t="s">
        <v>91</v>
      </c>
      <c r="H654" s="5" t="s">
        <v>40</v>
      </c>
      <c r="I654" s="5" t="s">
        <v>92</v>
      </c>
      <c r="J654" s="21" t="s">
        <v>131</v>
      </c>
      <c r="K654" s="21" t="s">
        <v>144</v>
      </c>
      <c r="L654" s="6" t="s">
        <v>145</v>
      </c>
      <c r="M654" s="5">
        <v>15</v>
      </c>
      <c r="N654" s="5" t="s">
        <v>91</v>
      </c>
      <c r="O654" s="5" t="s">
        <v>91</v>
      </c>
      <c r="P654" s="5" t="s">
        <v>91</v>
      </c>
      <c r="Q654" s="6"/>
      <c r="R654" s="6" t="s">
        <v>112</v>
      </c>
      <c r="S654" s="6"/>
      <c r="T654" s="6"/>
      <c r="U654" s="5"/>
      <c r="V654" s="6"/>
      <c r="W654" s="6" t="s">
        <v>138</v>
      </c>
      <c r="X654" s="6"/>
      <c r="Y654" s="22"/>
      <c r="Z654" s="6"/>
      <c r="AA654" s="21"/>
      <c r="AB654" s="23">
        <v>44071</v>
      </c>
      <c r="AC654" s="21" t="s">
        <v>30</v>
      </c>
      <c r="AD654" s="24" t="s">
        <v>146</v>
      </c>
      <c r="AE654" s="6" t="s">
        <v>35</v>
      </c>
      <c r="AF654" s="6"/>
      <c r="AG654" s="6" t="s">
        <v>3041</v>
      </c>
    </row>
    <row r="655" spans="1:33" ht="15" customHeight="1" x14ac:dyDescent="0.25">
      <c r="A655" s="5">
        <v>39</v>
      </c>
      <c r="B655" s="38">
        <v>44099</v>
      </c>
      <c r="C655" s="38">
        <v>44085</v>
      </c>
      <c r="D655" s="38">
        <v>44078</v>
      </c>
      <c r="E655" s="35">
        <v>44099</v>
      </c>
      <c r="F655" s="5">
        <v>8764</v>
      </c>
      <c r="G655" s="5" t="s">
        <v>91</v>
      </c>
      <c r="H655" s="5" t="s">
        <v>41</v>
      </c>
      <c r="I655" s="5" t="s">
        <v>92</v>
      </c>
      <c r="J655" s="21" t="s">
        <v>147</v>
      </c>
      <c r="K655" s="21" t="s">
        <v>148</v>
      </c>
      <c r="L655" s="6" t="s">
        <v>149</v>
      </c>
      <c r="M655" s="5">
        <v>3</v>
      </c>
      <c r="N655" s="5" t="s">
        <v>91</v>
      </c>
      <c r="O655" s="5" t="s">
        <v>91</v>
      </c>
      <c r="P655" s="5" t="s">
        <v>91</v>
      </c>
      <c r="Q655" s="6"/>
      <c r="R655" s="6" t="s">
        <v>107</v>
      </c>
      <c r="S655" s="6"/>
      <c r="T655" s="6"/>
      <c r="U655" s="5"/>
      <c r="V655" s="6"/>
      <c r="W655" s="6" t="s">
        <v>106</v>
      </c>
      <c r="X655" s="6"/>
      <c r="Y655" s="22"/>
      <c r="Z655" s="6"/>
      <c r="AA655" s="21"/>
      <c r="AB655" s="23">
        <v>44077</v>
      </c>
      <c r="AC655" s="21" t="s">
        <v>30</v>
      </c>
      <c r="AD655" s="24" t="s">
        <v>150</v>
      </c>
      <c r="AE655" s="6" t="s">
        <v>34</v>
      </c>
      <c r="AF655" s="6"/>
      <c r="AG655" s="6" t="s">
        <v>3042</v>
      </c>
    </row>
    <row r="656" spans="1:33" ht="15" customHeight="1" x14ac:dyDescent="0.25">
      <c r="A656" s="5">
        <v>39</v>
      </c>
      <c r="B656" s="38">
        <v>44099</v>
      </c>
      <c r="C656" s="38">
        <v>44085</v>
      </c>
      <c r="D656" s="38">
        <v>44078</v>
      </c>
      <c r="E656" s="35">
        <v>44099</v>
      </c>
      <c r="F656" s="5">
        <v>8763</v>
      </c>
      <c r="G656" s="5" t="s">
        <v>91</v>
      </c>
      <c r="H656" s="5" t="s">
        <v>41</v>
      </c>
      <c r="I656" s="5" t="s">
        <v>92</v>
      </c>
      <c r="J656" s="21" t="s">
        <v>147</v>
      </c>
      <c r="K656" s="21" t="s">
        <v>151</v>
      </c>
      <c r="L656" s="6" t="s">
        <v>152</v>
      </c>
      <c r="M656" s="5">
        <v>2</v>
      </c>
      <c r="N656" s="5" t="s">
        <v>91</v>
      </c>
      <c r="O656" s="5" t="s">
        <v>91</v>
      </c>
      <c r="P656" s="5" t="s">
        <v>91</v>
      </c>
      <c r="Q656" s="6" t="s">
        <v>153</v>
      </c>
      <c r="R656" s="6" t="s">
        <v>154</v>
      </c>
      <c r="S656" s="6" t="s">
        <v>155</v>
      </c>
      <c r="T656" s="6"/>
      <c r="U656" s="5"/>
      <c r="V656" s="6"/>
      <c r="W656" s="6" t="s">
        <v>156</v>
      </c>
      <c r="X656" s="6" t="s">
        <v>157</v>
      </c>
      <c r="Y656" s="22"/>
      <c r="Z656" s="6"/>
      <c r="AA656" s="21"/>
      <c r="AB656" s="23">
        <v>44076</v>
      </c>
      <c r="AC656" s="21" t="s">
        <v>30</v>
      </c>
      <c r="AD656" s="24" t="s">
        <v>158</v>
      </c>
      <c r="AE656" s="6" t="s">
        <v>31</v>
      </c>
      <c r="AF656" s="6"/>
      <c r="AG656" s="6" t="s">
        <v>3040</v>
      </c>
    </row>
    <row r="657" spans="1:33" ht="7.5" customHeight="1" x14ac:dyDescent="0.25">
      <c r="A657" s="27"/>
      <c r="B657" s="39"/>
      <c r="C657" s="39"/>
      <c r="D657" s="39"/>
      <c r="E657" s="28"/>
      <c r="F657" s="27"/>
      <c r="G657" s="27"/>
      <c r="H657" s="27"/>
      <c r="I657" s="27"/>
      <c r="J657" s="30"/>
      <c r="K657" s="30"/>
      <c r="L657" s="29"/>
      <c r="M657" s="27"/>
      <c r="N657" s="27"/>
      <c r="O657" s="27"/>
      <c r="P657" s="27"/>
      <c r="Q657" s="29"/>
      <c r="R657" s="29"/>
      <c r="S657" s="29"/>
      <c r="T657" s="29"/>
      <c r="U657" s="27"/>
      <c r="V657" s="29"/>
      <c r="W657" s="29"/>
      <c r="X657" s="29"/>
      <c r="Y657" s="31"/>
      <c r="Z657" s="29"/>
      <c r="AA657" s="30"/>
      <c r="AB657" s="32"/>
      <c r="AC657" s="30"/>
      <c r="AD657" s="33"/>
      <c r="AE657" s="29"/>
      <c r="AF657" s="29"/>
      <c r="AG657" s="29"/>
    </row>
    <row r="658" spans="1:33" ht="15" customHeight="1" x14ac:dyDescent="0.25">
      <c r="A658" s="5">
        <v>40</v>
      </c>
      <c r="B658" s="38">
        <v>44104</v>
      </c>
      <c r="C658" s="38">
        <v>44088</v>
      </c>
      <c r="D658" s="38">
        <v>44062</v>
      </c>
      <c r="E658" s="36">
        <v>44104</v>
      </c>
      <c r="F658" s="5">
        <v>2385</v>
      </c>
      <c r="G658" s="5" t="s">
        <v>91</v>
      </c>
      <c r="H658" s="5" t="s">
        <v>43</v>
      </c>
      <c r="I658" s="5" t="s">
        <v>92</v>
      </c>
      <c r="J658" s="21" t="s">
        <v>231</v>
      </c>
      <c r="K658" s="21" t="s">
        <v>236</v>
      </c>
      <c r="L658" s="6" t="s">
        <v>237</v>
      </c>
      <c r="M658" s="5">
        <v>0</v>
      </c>
      <c r="N658" s="5" t="s">
        <v>91</v>
      </c>
      <c r="O658" s="5" t="s">
        <v>91</v>
      </c>
      <c r="P658" s="5" t="s">
        <v>91</v>
      </c>
      <c r="Q658" s="6"/>
      <c r="R658" s="6" t="s">
        <v>112</v>
      </c>
      <c r="S658" s="6"/>
      <c r="T658" s="6" t="s">
        <v>238</v>
      </c>
      <c r="U658" s="5"/>
      <c r="V658" s="6"/>
      <c r="W658" s="6" t="s">
        <v>239</v>
      </c>
      <c r="X658" s="6" t="s">
        <v>240</v>
      </c>
      <c r="Y658" s="22"/>
      <c r="Z658" s="6"/>
      <c r="AA658" s="21" t="s">
        <v>241</v>
      </c>
      <c r="AB658" s="23">
        <v>44056</v>
      </c>
      <c r="AC658" s="21" t="s">
        <v>32</v>
      </c>
      <c r="AD658" s="24" t="s">
        <v>115</v>
      </c>
      <c r="AE658" s="6" t="s">
        <v>31</v>
      </c>
      <c r="AF658" s="6"/>
      <c r="AG658" s="6" t="s">
        <v>3039</v>
      </c>
    </row>
    <row r="659" spans="1:33" ht="7.5" customHeight="1" x14ac:dyDescent="0.25">
      <c r="A659" s="27"/>
      <c r="B659" s="39"/>
      <c r="C659" s="39"/>
      <c r="D659" s="39"/>
      <c r="E659" s="28"/>
      <c r="F659" s="27"/>
      <c r="G659" s="27"/>
      <c r="H659" s="27"/>
      <c r="I659" s="27"/>
      <c r="J659" s="30"/>
      <c r="K659" s="30"/>
      <c r="L659" s="29"/>
      <c r="M659" s="27"/>
      <c r="N659" s="27"/>
      <c r="O659" s="27"/>
      <c r="P659" s="27"/>
      <c r="Q659" s="29"/>
      <c r="R659" s="29"/>
      <c r="S659" s="29"/>
      <c r="T659" s="29"/>
      <c r="U659" s="27"/>
      <c r="V659" s="29"/>
      <c r="W659" s="29"/>
      <c r="X659" s="29"/>
      <c r="Y659" s="31"/>
      <c r="Z659" s="29"/>
      <c r="AA659" s="30"/>
      <c r="AB659" s="32"/>
      <c r="AC659" s="30"/>
      <c r="AD659" s="33"/>
      <c r="AE659" s="29"/>
      <c r="AF659" s="29"/>
      <c r="AG659" s="29"/>
    </row>
    <row r="660" spans="1:33" ht="15" customHeight="1" x14ac:dyDescent="0.25">
      <c r="A660" s="5">
        <v>40</v>
      </c>
      <c r="B660" s="38">
        <v>44102</v>
      </c>
      <c r="C660" s="38">
        <v>44088</v>
      </c>
      <c r="D660" s="38">
        <v>44081</v>
      </c>
      <c r="E660" s="36">
        <v>44102</v>
      </c>
      <c r="F660" s="5">
        <v>10690</v>
      </c>
      <c r="G660" s="5" t="s">
        <v>91</v>
      </c>
      <c r="H660" s="5" t="s">
        <v>41</v>
      </c>
      <c r="I660" s="5" t="s">
        <v>92</v>
      </c>
      <c r="J660" s="21" t="s">
        <v>170</v>
      </c>
      <c r="K660" s="21" t="s">
        <v>175</v>
      </c>
      <c r="L660" s="6" t="s">
        <v>176</v>
      </c>
      <c r="M660" s="5">
        <v>25</v>
      </c>
      <c r="N660" s="5" t="s">
        <v>91</v>
      </c>
      <c r="O660" s="5" t="s">
        <v>91</v>
      </c>
      <c r="P660" s="5" t="s">
        <v>91</v>
      </c>
      <c r="Q660" s="6" t="s">
        <v>105</v>
      </c>
      <c r="R660" s="6" t="s">
        <v>123</v>
      </c>
      <c r="S660" s="6"/>
      <c r="T660" s="6"/>
      <c r="U660" s="5"/>
      <c r="V660" s="6" t="s">
        <v>177</v>
      </c>
      <c r="W660" s="6" t="s">
        <v>178</v>
      </c>
      <c r="X660" s="6" t="s">
        <v>179</v>
      </c>
      <c r="Y660" s="22"/>
      <c r="Z660" s="6"/>
      <c r="AA660" s="21"/>
      <c r="AB660" s="23">
        <v>44078</v>
      </c>
      <c r="AC660" s="21" t="s">
        <v>32</v>
      </c>
      <c r="AD660" s="24" t="s">
        <v>180</v>
      </c>
      <c r="AE660" s="6" t="s">
        <v>37</v>
      </c>
      <c r="AF660" s="6"/>
      <c r="AG660" s="6" t="s">
        <v>3041</v>
      </c>
    </row>
    <row r="661" spans="1:33" ht="7.5" customHeight="1" x14ac:dyDescent="0.25">
      <c r="A661" s="27"/>
      <c r="B661" s="39"/>
      <c r="C661" s="39"/>
      <c r="D661" s="39"/>
      <c r="E661" s="28"/>
      <c r="F661" s="27"/>
      <c r="G661" s="27"/>
      <c r="H661" s="27"/>
      <c r="I661" s="27"/>
      <c r="J661" s="30"/>
      <c r="K661" s="30"/>
      <c r="L661" s="29"/>
      <c r="M661" s="27"/>
      <c r="N661" s="27"/>
      <c r="O661" s="27"/>
      <c r="P661" s="27"/>
      <c r="Q661" s="29"/>
      <c r="R661" s="29"/>
      <c r="S661" s="29"/>
      <c r="T661" s="29"/>
      <c r="U661" s="27"/>
      <c r="V661" s="29"/>
      <c r="W661" s="29"/>
      <c r="X661" s="29"/>
      <c r="Y661" s="31"/>
      <c r="Z661" s="29"/>
      <c r="AA661" s="30"/>
      <c r="AB661" s="32"/>
      <c r="AC661" s="30"/>
      <c r="AD661" s="33"/>
      <c r="AE661" s="29"/>
      <c r="AF661" s="29"/>
      <c r="AG661" s="29"/>
    </row>
    <row r="662" spans="1:33" ht="15" customHeight="1" x14ac:dyDescent="0.25">
      <c r="A662" s="5">
        <v>41</v>
      </c>
      <c r="B662" s="38">
        <v>44109</v>
      </c>
      <c r="C662" s="38">
        <v>44088</v>
      </c>
      <c r="D662" s="38">
        <v>44081</v>
      </c>
      <c r="E662" s="28">
        <v>44109</v>
      </c>
      <c r="F662" s="5">
        <v>3080</v>
      </c>
      <c r="G662" s="5" t="s">
        <v>91</v>
      </c>
      <c r="H662" s="5" t="s">
        <v>43</v>
      </c>
      <c r="I662" s="5" t="s">
        <v>92</v>
      </c>
      <c r="J662" s="21" t="s">
        <v>93</v>
      </c>
      <c r="K662" s="21" t="s">
        <v>1759</v>
      </c>
      <c r="L662" s="6" t="s">
        <v>1760</v>
      </c>
      <c r="M662" s="5">
        <v>14</v>
      </c>
      <c r="N662" s="5" t="s">
        <v>91</v>
      </c>
      <c r="O662" s="5" t="s">
        <v>91</v>
      </c>
      <c r="P662" s="5" t="s">
        <v>1215</v>
      </c>
      <c r="Q662" s="6"/>
      <c r="R662" s="6" t="s">
        <v>97</v>
      </c>
      <c r="S662" s="6" t="s">
        <v>668</v>
      </c>
      <c r="T662" s="6"/>
      <c r="U662" s="5"/>
      <c r="V662" s="6" t="s">
        <v>1761</v>
      </c>
      <c r="W662" s="6" t="s">
        <v>1762</v>
      </c>
      <c r="X662" s="6" t="s">
        <v>1763</v>
      </c>
      <c r="Y662" s="22"/>
      <c r="Z662" s="6"/>
      <c r="AA662" s="21">
        <v>10184</v>
      </c>
      <c r="AB662" s="23">
        <v>44084</v>
      </c>
      <c r="AC662" s="21" t="s">
        <v>32</v>
      </c>
      <c r="AD662" s="24" t="s">
        <v>1764</v>
      </c>
      <c r="AE662" s="6" t="s">
        <v>34</v>
      </c>
      <c r="AF662" s="6"/>
      <c r="AG662" s="6" t="s">
        <v>3039</v>
      </c>
    </row>
    <row r="663" spans="1:33" ht="7.5" customHeight="1" x14ac:dyDescent="0.25">
      <c r="A663" s="27"/>
      <c r="B663" s="39"/>
      <c r="C663" s="39"/>
      <c r="D663" s="39"/>
      <c r="E663" s="28"/>
      <c r="F663" s="27"/>
      <c r="G663" s="27"/>
      <c r="H663" s="27"/>
      <c r="I663" s="27"/>
      <c r="J663" s="30"/>
      <c r="K663" s="30"/>
      <c r="L663" s="29"/>
      <c r="M663" s="27"/>
      <c r="N663" s="27"/>
      <c r="O663" s="27"/>
      <c r="P663" s="27"/>
      <c r="Q663" s="29"/>
      <c r="R663" s="29"/>
      <c r="S663" s="29"/>
      <c r="T663" s="29"/>
      <c r="U663" s="27"/>
      <c r="V663" s="29"/>
      <c r="W663" s="29"/>
      <c r="X663" s="29"/>
      <c r="Y663" s="31"/>
      <c r="Z663" s="29"/>
      <c r="AA663" s="30"/>
      <c r="AB663" s="32"/>
      <c r="AC663" s="30"/>
      <c r="AD663" s="33"/>
      <c r="AE663" s="29"/>
      <c r="AF663" s="29"/>
      <c r="AG663" s="29"/>
    </row>
    <row r="664" spans="1:33" ht="15" customHeight="1" x14ac:dyDescent="0.25">
      <c r="A664" s="5">
        <v>40</v>
      </c>
      <c r="B664" s="38">
        <v>44102</v>
      </c>
      <c r="C664" s="38">
        <v>44088</v>
      </c>
      <c r="D664" s="38">
        <v>44081</v>
      </c>
      <c r="E664" s="36">
        <v>44102</v>
      </c>
      <c r="F664" s="5">
        <v>5683</v>
      </c>
      <c r="G664" s="5" t="s">
        <v>91</v>
      </c>
      <c r="H664" s="5" t="s">
        <v>41</v>
      </c>
      <c r="I664" s="5" t="s">
        <v>92</v>
      </c>
      <c r="J664" s="21" t="s">
        <v>131</v>
      </c>
      <c r="K664" s="21" t="s">
        <v>185</v>
      </c>
      <c r="L664" s="6" t="s">
        <v>149</v>
      </c>
      <c r="M664" s="5">
        <v>0</v>
      </c>
      <c r="N664" s="5" t="s">
        <v>91</v>
      </c>
      <c r="O664" s="5" t="s">
        <v>91</v>
      </c>
      <c r="P664" s="5" t="s">
        <v>91</v>
      </c>
      <c r="Q664" s="6"/>
      <c r="R664" s="6" t="s">
        <v>112</v>
      </c>
      <c r="S664" s="6"/>
      <c r="T664" s="6"/>
      <c r="U664" s="5"/>
      <c r="V664" s="6"/>
      <c r="W664" s="6" t="s">
        <v>186</v>
      </c>
      <c r="X664" s="6"/>
      <c r="Y664" s="22"/>
      <c r="Z664" s="6"/>
      <c r="AA664" s="21"/>
      <c r="AB664" s="23">
        <v>44098</v>
      </c>
      <c r="AC664" s="21" t="s">
        <v>32</v>
      </c>
      <c r="AD664" s="24" t="s">
        <v>187</v>
      </c>
      <c r="AE664" s="6" t="s">
        <v>31</v>
      </c>
      <c r="AF664" s="6"/>
      <c r="AG664" s="6" t="s">
        <v>3039</v>
      </c>
    </row>
    <row r="665" spans="1:33" ht="7.5" customHeight="1" x14ac:dyDescent="0.25">
      <c r="A665" s="27"/>
      <c r="B665" s="39"/>
      <c r="C665" s="39"/>
      <c r="D665" s="39"/>
      <c r="E665" s="28"/>
      <c r="F665" s="27"/>
      <c r="G665" s="27"/>
      <c r="H665" s="27"/>
      <c r="I665" s="27"/>
      <c r="J665" s="30"/>
      <c r="K665" s="30"/>
      <c r="L665" s="29"/>
      <c r="M665" s="27"/>
      <c r="N665" s="27"/>
      <c r="O665" s="27"/>
      <c r="P665" s="27"/>
      <c r="Q665" s="29"/>
      <c r="R665" s="29"/>
      <c r="S665" s="29"/>
      <c r="T665" s="29"/>
      <c r="U665" s="27"/>
      <c r="V665" s="29"/>
      <c r="W665" s="29"/>
      <c r="X665" s="29"/>
      <c r="Y665" s="31"/>
      <c r="Z665" s="29"/>
      <c r="AA665" s="30"/>
      <c r="AB665" s="32"/>
      <c r="AC665" s="30"/>
      <c r="AD665" s="33"/>
      <c r="AE665" s="29"/>
      <c r="AF665" s="29"/>
      <c r="AG665" s="29"/>
    </row>
    <row r="666" spans="1:33" ht="15" customHeight="1" x14ac:dyDescent="0.25">
      <c r="A666" s="5">
        <v>41</v>
      </c>
      <c r="B666" s="38">
        <v>44109</v>
      </c>
      <c r="C666" s="38">
        <v>44088</v>
      </c>
      <c r="D666" s="38">
        <v>44081</v>
      </c>
      <c r="E666" s="28">
        <v>44109</v>
      </c>
      <c r="F666" s="5">
        <v>5670</v>
      </c>
      <c r="G666" s="5" t="s">
        <v>91</v>
      </c>
      <c r="H666" s="5" t="s">
        <v>41</v>
      </c>
      <c r="I666" s="5" t="s">
        <v>92</v>
      </c>
      <c r="J666" s="21" t="s">
        <v>131</v>
      </c>
      <c r="K666" s="21" t="s">
        <v>1783</v>
      </c>
      <c r="L666" s="6" t="s">
        <v>1784</v>
      </c>
      <c r="M666" s="5">
        <v>14</v>
      </c>
      <c r="N666" s="5" t="s">
        <v>91</v>
      </c>
      <c r="O666" s="5" t="s">
        <v>91</v>
      </c>
      <c r="P666" s="5" t="s">
        <v>91</v>
      </c>
      <c r="Q666" s="6" t="s">
        <v>105</v>
      </c>
      <c r="R666" s="6" t="s">
        <v>112</v>
      </c>
      <c r="S666" s="6"/>
      <c r="T666" s="6"/>
      <c r="U666" s="5"/>
      <c r="V666" s="6"/>
      <c r="W666" s="6" t="s">
        <v>183</v>
      </c>
      <c r="X666" s="6"/>
      <c r="Y666" s="22"/>
      <c r="Z666" s="6">
        <v>5.09</v>
      </c>
      <c r="AA666" s="21"/>
      <c r="AB666" s="23">
        <v>44091</v>
      </c>
      <c r="AC666" s="21" t="s">
        <v>30</v>
      </c>
      <c r="AD666" s="24" t="s">
        <v>1785</v>
      </c>
      <c r="AE666" s="6" t="s">
        <v>37</v>
      </c>
      <c r="AF666" s="6"/>
      <c r="AG666" s="6" t="s">
        <v>3039</v>
      </c>
    </row>
    <row r="667" spans="1:33" ht="7.5" customHeight="1" x14ac:dyDescent="0.25">
      <c r="A667" s="27"/>
      <c r="B667" s="39"/>
      <c r="C667" s="39"/>
      <c r="D667" s="39"/>
      <c r="E667" s="28"/>
      <c r="F667" s="27"/>
      <c r="G667" s="27"/>
      <c r="H667" s="27"/>
      <c r="I667" s="27"/>
      <c r="J667" s="30"/>
      <c r="K667" s="30"/>
      <c r="L667" s="29"/>
      <c r="M667" s="27"/>
      <c r="N667" s="27"/>
      <c r="O667" s="27"/>
      <c r="P667" s="27"/>
      <c r="Q667" s="29"/>
      <c r="R667" s="29"/>
      <c r="S667" s="29"/>
      <c r="T667" s="29"/>
      <c r="U667" s="27"/>
      <c r="V667" s="29"/>
      <c r="W667" s="29"/>
      <c r="X667" s="29"/>
      <c r="Y667" s="31"/>
      <c r="Z667" s="29"/>
      <c r="AA667" s="30"/>
      <c r="AB667" s="32"/>
      <c r="AC667" s="30"/>
      <c r="AD667" s="33"/>
      <c r="AE667" s="29"/>
      <c r="AF667" s="29"/>
      <c r="AG667" s="29"/>
    </row>
    <row r="668" spans="1:33" ht="15" customHeight="1" x14ac:dyDescent="0.25">
      <c r="A668" s="5">
        <v>40</v>
      </c>
      <c r="B668" s="38">
        <v>44102</v>
      </c>
      <c r="C668" s="38">
        <v>44088</v>
      </c>
      <c r="D668" s="38">
        <v>44081</v>
      </c>
      <c r="E668" s="36">
        <v>44102</v>
      </c>
      <c r="F668" s="5">
        <v>9690</v>
      </c>
      <c r="G668" s="5" t="s">
        <v>91</v>
      </c>
      <c r="H668" s="5" t="s">
        <v>43</v>
      </c>
      <c r="I668" s="5" t="s">
        <v>92</v>
      </c>
      <c r="J668" s="21" t="s">
        <v>159</v>
      </c>
      <c r="K668" s="21">
        <v>257826</v>
      </c>
      <c r="L668" s="6" t="s">
        <v>152</v>
      </c>
      <c r="M668" s="5">
        <v>10</v>
      </c>
      <c r="N668" s="5" t="s">
        <v>91</v>
      </c>
      <c r="O668" s="5" t="s">
        <v>91</v>
      </c>
      <c r="P668" s="5" t="s">
        <v>91</v>
      </c>
      <c r="Q668" s="6"/>
      <c r="R668" s="6" t="s">
        <v>163</v>
      </c>
      <c r="S668" s="6"/>
      <c r="T668" s="6"/>
      <c r="U668" s="5"/>
      <c r="V668" s="6" t="s">
        <v>164</v>
      </c>
      <c r="W668" s="6" t="s">
        <v>203</v>
      </c>
      <c r="X668" s="6"/>
      <c r="Y668" s="22"/>
      <c r="Z668" s="6"/>
      <c r="AA668" s="21">
        <v>257826</v>
      </c>
      <c r="AB668" s="23">
        <v>44084</v>
      </c>
      <c r="AC668" s="21" t="s">
        <v>30</v>
      </c>
      <c r="AD668" s="24" t="s">
        <v>204</v>
      </c>
      <c r="AE668" s="6" t="s">
        <v>34</v>
      </c>
      <c r="AF668" s="6"/>
      <c r="AG668" s="6" t="s">
        <v>3040</v>
      </c>
    </row>
    <row r="669" spans="1:33" ht="7.5" customHeight="1" x14ac:dyDescent="0.25">
      <c r="A669" s="27"/>
      <c r="B669" s="39"/>
      <c r="C669" s="39"/>
      <c r="D669" s="39"/>
      <c r="E669" s="28"/>
      <c r="F669" s="27"/>
      <c r="G669" s="27"/>
      <c r="H669" s="27"/>
      <c r="I669" s="27"/>
      <c r="J669" s="30"/>
      <c r="K669" s="30"/>
      <c r="L669" s="29"/>
      <c r="M669" s="27"/>
      <c r="N669" s="27"/>
      <c r="O669" s="27"/>
      <c r="P669" s="27"/>
      <c r="Q669" s="29"/>
      <c r="R669" s="29"/>
      <c r="S669" s="29"/>
      <c r="T669" s="29"/>
      <c r="U669" s="27"/>
      <c r="V669" s="29"/>
      <c r="W669" s="29"/>
      <c r="X669" s="29"/>
      <c r="Y669" s="31"/>
      <c r="Z669" s="29"/>
      <c r="AA669" s="30"/>
      <c r="AB669" s="32"/>
      <c r="AC669" s="30"/>
      <c r="AD669" s="33"/>
      <c r="AE669" s="29"/>
      <c r="AF669" s="29"/>
      <c r="AG669" s="29"/>
    </row>
    <row r="670" spans="1:33" ht="15" customHeight="1" x14ac:dyDescent="0.25">
      <c r="A670" s="5">
        <v>41</v>
      </c>
      <c r="B670" s="38">
        <v>44110</v>
      </c>
      <c r="C670" s="38">
        <v>44089</v>
      </c>
      <c r="D670" s="38">
        <v>44082</v>
      </c>
      <c r="E670" s="28">
        <v>44110</v>
      </c>
      <c r="F670" s="5">
        <v>3081</v>
      </c>
      <c r="G670" s="5" t="s">
        <v>91</v>
      </c>
      <c r="H670" s="5" t="s">
        <v>41</v>
      </c>
      <c r="I670" s="5" t="s">
        <v>92</v>
      </c>
      <c r="J670" s="21" t="s">
        <v>93</v>
      </c>
      <c r="K670" s="21" t="s">
        <v>1823</v>
      </c>
      <c r="L670" s="6" t="s">
        <v>95</v>
      </c>
      <c r="M670" s="5">
        <v>11</v>
      </c>
      <c r="N670" s="5" t="s">
        <v>91</v>
      </c>
      <c r="O670" s="5" t="s">
        <v>91</v>
      </c>
      <c r="P670" s="5" t="s">
        <v>91</v>
      </c>
      <c r="Q670" s="6" t="s">
        <v>105</v>
      </c>
      <c r="R670" s="6" t="s">
        <v>97</v>
      </c>
      <c r="S670" s="6" t="s">
        <v>265</v>
      </c>
      <c r="T670" s="6"/>
      <c r="U670" s="5"/>
      <c r="V670" s="6" t="s">
        <v>1824</v>
      </c>
      <c r="W670" s="6" t="s">
        <v>1825</v>
      </c>
      <c r="X670" s="6" t="s">
        <v>1826</v>
      </c>
      <c r="Y670" s="22"/>
      <c r="Z670" s="6"/>
      <c r="AA670" s="21">
        <v>10188</v>
      </c>
      <c r="AB670" s="23">
        <v>44085</v>
      </c>
      <c r="AC670" s="21" t="s">
        <v>33</v>
      </c>
      <c r="AD670" s="24" t="s">
        <v>1827</v>
      </c>
      <c r="AE670" s="6" t="s">
        <v>34</v>
      </c>
      <c r="AF670" s="6"/>
      <c r="AG670" s="6" t="s">
        <v>3040</v>
      </c>
    </row>
    <row r="671" spans="1:33" ht="7.5" customHeight="1" x14ac:dyDescent="0.25">
      <c r="A671" s="27"/>
      <c r="B671" s="39"/>
      <c r="C671" s="39"/>
      <c r="D671" s="39"/>
      <c r="E671" s="28"/>
      <c r="F671" s="27"/>
      <c r="G671" s="27"/>
      <c r="H671" s="27"/>
      <c r="I671" s="27"/>
      <c r="J671" s="30"/>
      <c r="K671" s="30"/>
      <c r="L671" s="29"/>
      <c r="M671" s="27"/>
      <c r="N671" s="27"/>
      <c r="O671" s="27"/>
      <c r="P671" s="27"/>
      <c r="Q671" s="29"/>
      <c r="R671" s="29"/>
      <c r="S671" s="29"/>
      <c r="T671" s="29"/>
      <c r="U671" s="27"/>
      <c r="V671" s="29"/>
      <c r="W671" s="29"/>
      <c r="X671" s="29"/>
      <c r="Y671" s="31"/>
      <c r="Z671" s="29"/>
      <c r="AA671" s="30"/>
      <c r="AB671" s="32"/>
      <c r="AC671" s="30"/>
      <c r="AD671" s="33"/>
      <c r="AE671" s="29"/>
      <c r="AF671" s="29"/>
      <c r="AG671" s="29"/>
    </row>
    <row r="672" spans="1:33" ht="15" customHeight="1" x14ac:dyDescent="0.25">
      <c r="A672" s="5">
        <v>40</v>
      </c>
      <c r="B672" s="38">
        <v>44103</v>
      </c>
      <c r="C672" s="38">
        <v>44089</v>
      </c>
      <c r="D672" s="38">
        <v>44082</v>
      </c>
      <c r="E672" s="36">
        <v>44103</v>
      </c>
      <c r="F672" s="5">
        <v>4826</v>
      </c>
      <c r="G672" s="5" t="s">
        <v>91</v>
      </c>
      <c r="H672" s="5" t="s">
        <v>43</v>
      </c>
      <c r="I672" s="5" t="s">
        <v>92</v>
      </c>
      <c r="J672" s="21" t="s">
        <v>109</v>
      </c>
      <c r="K672" s="21" t="s">
        <v>210</v>
      </c>
      <c r="L672" s="6" t="s">
        <v>211</v>
      </c>
      <c r="M672" s="5">
        <v>5</v>
      </c>
      <c r="N672" s="5" t="s">
        <v>91</v>
      </c>
      <c r="O672" s="5" t="s">
        <v>91</v>
      </c>
      <c r="P672" s="5" t="s">
        <v>91</v>
      </c>
      <c r="Q672" s="6" t="s">
        <v>105</v>
      </c>
      <c r="R672" s="6" t="s">
        <v>112</v>
      </c>
      <c r="S672" s="6"/>
      <c r="T672" s="6"/>
      <c r="U672" s="5"/>
      <c r="V672" s="6"/>
      <c r="W672" s="6" t="s">
        <v>212</v>
      </c>
      <c r="X672" s="6"/>
      <c r="Y672" s="22"/>
      <c r="Z672" s="6">
        <v>2.2000000000000002</v>
      </c>
      <c r="AA672" s="21">
        <v>15324</v>
      </c>
      <c r="AB672" s="23">
        <v>44071</v>
      </c>
      <c r="AC672" s="21" t="s">
        <v>30</v>
      </c>
      <c r="AD672" s="24" t="s">
        <v>213</v>
      </c>
      <c r="AE672" s="6" t="s">
        <v>35</v>
      </c>
      <c r="AF672" s="6"/>
      <c r="AG672" s="6" t="s">
        <v>3042</v>
      </c>
    </row>
    <row r="673" spans="1:33" ht="7.5" customHeight="1" x14ac:dyDescent="0.25">
      <c r="A673" s="27"/>
      <c r="B673" s="39"/>
      <c r="C673" s="39"/>
      <c r="D673" s="39"/>
      <c r="E673" s="28"/>
      <c r="F673" s="27"/>
      <c r="G673" s="27"/>
      <c r="H673" s="27"/>
      <c r="I673" s="27"/>
      <c r="J673" s="30"/>
      <c r="K673" s="30"/>
      <c r="L673" s="29"/>
      <c r="M673" s="27"/>
      <c r="N673" s="27"/>
      <c r="O673" s="27"/>
      <c r="P673" s="27"/>
      <c r="Q673" s="29"/>
      <c r="R673" s="29"/>
      <c r="S673" s="29"/>
      <c r="T673" s="29"/>
      <c r="U673" s="27"/>
      <c r="V673" s="29"/>
      <c r="W673" s="29"/>
      <c r="X673" s="29"/>
      <c r="Y673" s="31"/>
      <c r="Z673" s="29"/>
      <c r="AA673" s="30"/>
      <c r="AB673" s="32"/>
      <c r="AC673" s="30"/>
      <c r="AD673" s="33"/>
      <c r="AE673" s="29"/>
      <c r="AF673" s="29"/>
      <c r="AG673" s="29"/>
    </row>
    <row r="674" spans="1:33" ht="15" customHeight="1" x14ac:dyDescent="0.25">
      <c r="A674" s="5">
        <v>42</v>
      </c>
      <c r="B674" s="38">
        <v>44116</v>
      </c>
      <c r="C674" s="38">
        <v>44089</v>
      </c>
      <c r="D674" s="38">
        <v>44083</v>
      </c>
      <c r="E674" s="37">
        <v>44116</v>
      </c>
      <c r="F674" s="5">
        <v>5668</v>
      </c>
      <c r="G674" s="5" t="s">
        <v>91</v>
      </c>
      <c r="H674" s="5" t="s">
        <v>43</v>
      </c>
      <c r="I674" s="5" t="s">
        <v>92</v>
      </c>
      <c r="J674" s="21" t="s">
        <v>131</v>
      </c>
      <c r="K674" s="21" t="s">
        <v>1915</v>
      </c>
      <c r="L674" s="6" t="s">
        <v>1916</v>
      </c>
      <c r="M674" s="5">
        <v>18</v>
      </c>
      <c r="N674" s="5" t="s">
        <v>91</v>
      </c>
      <c r="O674" s="5" t="s">
        <v>91</v>
      </c>
      <c r="P674" s="5" t="s">
        <v>91</v>
      </c>
      <c r="Q674" s="6" t="s">
        <v>105</v>
      </c>
      <c r="R674" s="6" t="s">
        <v>123</v>
      </c>
      <c r="S674" s="6"/>
      <c r="T674" s="6"/>
      <c r="U674" s="5"/>
      <c r="V674" s="6"/>
      <c r="W674" s="6" t="s">
        <v>183</v>
      </c>
      <c r="X674" s="6"/>
      <c r="Y674" s="22"/>
      <c r="Z674" s="6">
        <v>7</v>
      </c>
      <c r="AA674" s="21"/>
      <c r="AB674" s="23">
        <v>44089</v>
      </c>
      <c r="AC674" s="21" t="s">
        <v>32</v>
      </c>
      <c r="AD674" s="24" t="s">
        <v>1917</v>
      </c>
      <c r="AE674" s="6" t="s">
        <v>38</v>
      </c>
      <c r="AF674" s="6"/>
      <c r="AG674" s="6" t="s">
        <v>3039</v>
      </c>
    </row>
    <row r="675" spans="1:33" ht="15" customHeight="1" x14ac:dyDescent="0.25">
      <c r="A675" s="5">
        <v>42</v>
      </c>
      <c r="B675" s="38">
        <v>44116</v>
      </c>
      <c r="C675" s="38">
        <v>44089</v>
      </c>
      <c r="D675" s="38">
        <v>44077</v>
      </c>
      <c r="E675" s="37">
        <v>44116</v>
      </c>
      <c r="F675" s="5">
        <v>7782</v>
      </c>
      <c r="G675" s="5" t="s">
        <v>91</v>
      </c>
      <c r="H675" s="5" t="s">
        <v>41</v>
      </c>
      <c r="I675" s="5" t="s">
        <v>92</v>
      </c>
      <c r="J675" s="21" t="s">
        <v>214</v>
      </c>
      <c r="K675" s="21" t="s">
        <v>210</v>
      </c>
      <c r="L675" s="6" t="s">
        <v>1931</v>
      </c>
      <c r="M675" s="5">
        <v>3</v>
      </c>
      <c r="N675" s="5" t="s">
        <v>91</v>
      </c>
      <c r="O675" s="5" t="s">
        <v>91</v>
      </c>
      <c r="P675" s="5" t="s">
        <v>91</v>
      </c>
      <c r="Q675" s="6" t="s">
        <v>105</v>
      </c>
      <c r="R675" s="6" t="s">
        <v>223</v>
      </c>
      <c r="S675" s="6"/>
      <c r="T675" s="6"/>
      <c r="U675" s="5"/>
      <c r="V675" s="6"/>
      <c r="W675" s="6" t="s">
        <v>1932</v>
      </c>
      <c r="X675" s="6">
        <v>272071606</v>
      </c>
      <c r="Y675" s="22"/>
      <c r="Z675" s="6">
        <v>1.23</v>
      </c>
      <c r="AA675" s="21" t="s">
        <v>1933</v>
      </c>
      <c r="AB675" s="23">
        <v>44083</v>
      </c>
      <c r="AC675" s="21" t="s">
        <v>30</v>
      </c>
      <c r="AD675" s="24" t="s">
        <v>1934</v>
      </c>
      <c r="AE675" s="6" t="s">
        <v>36</v>
      </c>
      <c r="AF675" s="6"/>
      <c r="AG675" s="6" t="s">
        <v>3041</v>
      </c>
    </row>
    <row r="676" spans="1:33" ht="7.5" customHeight="1" x14ac:dyDescent="0.25">
      <c r="A676" s="27"/>
      <c r="B676" s="39"/>
      <c r="C676" s="39"/>
      <c r="D676" s="39"/>
      <c r="E676" s="28"/>
      <c r="F676" s="27"/>
      <c r="G676" s="27"/>
      <c r="H676" s="27"/>
      <c r="I676" s="27"/>
      <c r="J676" s="30"/>
      <c r="K676" s="30"/>
      <c r="L676" s="29"/>
      <c r="M676" s="27"/>
      <c r="N676" s="27"/>
      <c r="O676" s="27"/>
      <c r="P676" s="27"/>
      <c r="Q676" s="29"/>
      <c r="R676" s="29"/>
      <c r="S676" s="29"/>
      <c r="T676" s="29"/>
      <c r="U676" s="27"/>
      <c r="V676" s="29"/>
      <c r="W676" s="29"/>
      <c r="X676" s="29"/>
      <c r="Y676" s="31"/>
      <c r="Z676" s="29"/>
      <c r="AA676" s="30"/>
      <c r="AB676" s="32"/>
      <c r="AC676" s="30"/>
      <c r="AD676" s="33"/>
      <c r="AE676" s="29"/>
      <c r="AF676" s="29"/>
      <c r="AG676" s="29"/>
    </row>
    <row r="677" spans="1:33" ht="15" customHeight="1" x14ac:dyDescent="0.25">
      <c r="A677" s="5">
        <v>40</v>
      </c>
      <c r="B677" s="38">
        <v>44105</v>
      </c>
      <c r="C677" s="38">
        <v>44089</v>
      </c>
      <c r="D677" s="38">
        <v>44098</v>
      </c>
      <c r="E677" s="36">
        <v>44105</v>
      </c>
      <c r="F677" s="5">
        <v>8780</v>
      </c>
      <c r="G677" s="5" t="s">
        <v>91</v>
      </c>
      <c r="H677" s="5" t="s">
        <v>40</v>
      </c>
      <c r="I677" s="5" t="s">
        <v>92</v>
      </c>
      <c r="J677" s="21" t="s">
        <v>147</v>
      </c>
      <c r="K677" s="21" t="s">
        <v>1744</v>
      </c>
      <c r="L677" s="6" t="s">
        <v>1745</v>
      </c>
      <c r="M677" s="5">
        <v>0</v>
      </c>
      <c r="N677" s="5" t="s">
        <v>91</v>
      </c>
      <c r="O677" s="5" t="s">
        <v>91</v>
      </c>
      <c r="P677" s="5" t="s">
        <v>91</v>
      </c>
      <c r="Q677" s="6"/>
      <c r="R677" s="6" t="s">
        <v>107</v>
      </c>
      <c r="S677" s="6"/>
      <c r="T677" s="6"/>
      <c r="U677" s="5"/>
      <c r="V677" s="6"/>
      <c r="W677" s="6" t="s">
        <v>107</v>
      </c>
      <c r="X677" s="6" t="s">
        <v>1746</v>
      </c>
      <c r="Y677" s="22"/>
      <c r="Z677" s="6"/>
      <c r="AA677" s="21"/>
      <c r="AB677" s="23">
        <v>44099</v>
      </c>
      <c r="AC677" s="21" t="s">
        <v>33</v>
      </c>
      <c r="AD677" s="24" t="s">
        <v>1747</v>
      </c>
      <c r="AE677" s="6" t="s">
        <v>37</v>
      </c>
      <c r="AF677" s="6"/>
      <c r="AG677" s="6" t="s">
        <v>3039</v>
      </c>
    </row>
    <row r="678" spans="1:33" ht="7.5" customHeight="1" x14ac:dyDescent="0.25">
      <c r="A678" s="27"/>
      <c r="B678" s="39"/>
      <c r="C678" s="39"/>
      <c r="D678" s="39"/>
      <c r="E678" s="28"/>
      <c r="F678" s="27"/>
      <c r="G678" s="27"/>
      <c r="H678" s="27"/>
      <c r="I678" s="27"/>
      <c r="J678" s="30"/>
      <c r="K678" s="30"/>
      <c r="L678" s="29"/>
      <c r="M678" s="27"/>
      <c r="N678" s="27"/>
      <c r="O678" s="27"/>
      <c r="P678" s="27"/>
      <c r="Q678" s="29"/>
      <c r="R678" s="29"/>
      <c r="S678" s="29"/>
      <c r="T678" s="29"/>
      <c r="U678" s="27"/>
      <c r="V678" s="29"/>
      <c r="W678" s="29"/>
      <c r="X678" s="29"/>
      <c r="Y678" s="31"/>
      <c r="Z678" s="29"/>
      <c r="AA678" s="30"/>
      <c r="AB678" s="32"/>
      <c r="AC678" s="30"/>
      <c r="AD678" s="33"/>
      <c r="AE678" s="29"/>
      <c r="AF678" s="29"/>
      <c r="AG678" s="29"/>
    </row>
    <row r="679" spans="1:33" ht="15" customHeight="1" x14ac:dyDescent="0.25">
      <c r="A679" s="5">
        <v>40</v>
      </c>
      <c r="B679" s="38">
        <v>44104</v>
      </c>
      <c r="C679" s="38">
        <v>44090</v>
      </c>
      <c r="D679" s="38">
        <v>44083</v>
      </c>
      <c r="E679" s="36">
        <v>44104</v>
      </c>
      <c r="F679" s="5">
        <v>2393</v>
      </c>
      <c r="G679" s="5" t="s">
        <v>91</v>
      </c>
      <c r="H679" s="5" t="s">
        <v>43</v>
      </c>
      <c r="I679" s="5" t="s">
        <v>92</v>
      </c>
      <c r="J679" s="21" t="s">
        <v>231</v>
      </c>
      <c r="K679" s="21" t="s">
        <v>232</v>
      </c>
      <c r="L679" s="6" t="s">
        <v>233</v>
      </c>
      <c r="M679" s="5">
        <v>0</v>
      </c>
      <c r="N679" s="5" t="s">
        <v>91</v>
      </c>
      <c r="O679" s="5" t="s">
        <v>91</v>
      </c>
      <c r="P679" s="5" t="s">
        <v>91</v>
      </c>
      <c r="Q679" s="6" t="s">
        <v>105</v>
      </c>
      <c r="R679" s="6" t="s">
        <v>112</v>
      </c>
      <c r="S679" s="6" t="s">
        <v>155</v>
      </c>
      <c r="T679" s="6"/>
      <c r="U679" s="5"/>
      <c r="V679" s="6"/>
      <c r="W679" s="6" t="s">
        <v>234</v>
      </c>
      <c r="X679" s="6" t="s">
        <v>235</v>
      </c>
      <c r="Y679" s="22"/>
      <c r="Z679" s="6"/>
      <c r="AA679" s="21"/>
      <c r="AB679" s="23">
        <v>44099</v>
      </c>
      <c r="AC679" s="21" t="s">
        <v>32</v>
      </c>
      <c r="AD679" s="24" t="s">
        <v>174</v>
      </c>
      <c r="AE679" s="6" t="s">
        <v>31</v>
      </c>
      <c r="AF679" s="6"/>
      <c r="AG679" s="6" t="s">
        <v>3042</v>
      </c>
    </row>
    <row r="680" spans="1:33" ht="15" customHeight="1" x14ac:dyDescent="0.25">
      <c r="A680" s="5">
        <v>40</v>
      </c>
      <c r="B680" s="38">
        <v>44104</v>
      </c>
      <c r="C680" s="38">
        <v>44090</v>
      </c>
      <c r="D680" s="38">
        <v>44083</v>
      </c>
      <c r="E680" s="36">
        <v>44104</v>
      </c>
      <c r="F680" s="5">
        <v>10700</v>
      </c>
      <c r="G680" s="5" t="s">
        <v>91</v>
      </c>
      <c r="H680" s="5" t="s">
        <v>41</v>
      </c>
      <c r="I680" s="5" t="s">
        <v>92</v>
      </c>
      <c r="J680" s="21" t="s">
        <v>170</v>
      </c>
      <c r="K680" s="21" t="s">
        <v>258</v>
      </c>
      <c r="L680" s="6" t="s">
        <v>216</v>
      </c>
      <c r="M680" s="5">
        <v>1</v>
      </c>
      <c r="N680" s="5" t="s">
        <v>91</v>
      </c>
      <c r="O680" s="5" t="s">
        <v>91</v>
      </c>
      <c r="P680" s="5" t="s">
        <v>91</v>
      </c>
      <c r="Q680" s="6" t="s">
        <v>105</v>
      </c>
      <c r="R680" s="6" t="s">
        <v>123</v>
      </c>
      <c r="S680" s="6"/>
      <c r="T680" s="6"/>
      <c r="U680" s="5"/>
      <c r="V680" s="6"/>
      <c r="W680" s="6" t="s">
        <v>259</v>
      </c>
      <c r="X680" s="6"/>
      <c r="Y680" s="22"/>
      <c r="Z680" s="6"/>
      <c r="AA680" s="21" t="s">
        <v>260</v>
      </c>
      <c r="AB680" s="23">
        <v>44098</v>
      </c>
      <c r="AC680" s="21" t="s">
        <v>39</v>
      </c>
      <c r="AD680" s="24" t="s">
        <v>261</v>
      </c>
      <c r="AE680" s="6" t="s">
        <v>34</v>
      </c>
      <c r="AF680" s="6"/>
      <c r="AG680" s="6" t="s">
        <v>3039</v>
      </c>
    </row>
    <row r="681" spans="1:33" ht="15" customHeight="1" x14ac:dyDescent="0.25">
      <c r="A681" s="5">
        <v>40</v>
      </c>
      <c r="B681" s="38">
        <v>44104</v>
      </c>
      <c r="C681" s="38">
        <v>44090</v>
      </c>
      <c r="D681" s="38">
        <v>44083</v>
      </c>
      <c r="E681" s="36">
        <v>44104</v>
      </c>
      <c r="F681" s="5">
        <v>3077</v>
      </c>
      <c r="G681" s="5" t="s">
        <v>91</v>
      </c>
      <c r="H681" s="5" t="s">
        <v>41</v>
      </c>
      <c r="I681" s="5" t="s">
        <v>92</v>
      </c>
      <c r="J681" s="21" t="s">
        <v>93</v>
      </c>
      <c r="K681" s="21" t="s">
        <v>262</v>
      </c>
      <c r="L681" s="6" t="s">
        <v>263</v>
      </c>
      <c r="M681" s="5">
        <v>8</v>
      </c>
      <c r="N681" s="5" t="s">
        <v>91</v>
      </c>
      <c r="O681" s="5" t="s">
        <v>91</v>
      </c>
      <c r="P681" s="5" t="s">
        <v>91</v>
      </c>
      <c r="Q681" s="6" t="s">
        <v>105</v>
      </c>
      <c r="R681" s="6" t="s">
        <v>264</v>
      </c>
      <c r="S681" s="6" t="s">
        <v>265</v>
      </c>
      <c r="T681" s="6"/>
      <c r="U681" s="5"/>
      <c r="V681" s="6" t="s">
        <v>266</v>
      </c>
      <c r="W681" s="6" t="s">
        <v>267</v>
      </c>
      <c r="X681" s="6" t="s">
        <v>268</v>
      </c>
      <c r="Y681" s="22"/>
      <c r="Z681" s="6"/>
      <c r="AA681" s="21">
        <v>10178</v>
      </c>
      <c r="AB681" s="23">
        <v>44083</v>
      </c>
      <c r="AC681" s="21" t="s">
        <v>30</v>
      </c>
      <c r="AD681" s="24" t="s">
        <v>269</v>
      </c>
      <c r="AE681" s="6" t="s">
        <v>31</v>
      </c>
      <c r="AF681" s="6"/>
      <c r="AG681" s="6" t="s">
        <v>3040</v>
      </c>
    </row>
    <row r="682" spans="1:33" ht="7.5" customHeight="1" x14ac:dyDescent="0.25">
      <c r="A682" s="27"/>
      <c r="B682" s="39"/>
      <c r="C682" s="39"/>
      <c r="D682" s="39"/>
      <c r="E682" s="28"/>
      <c r="F682" s="27"/>
      <c r="G682" s="27"/>
      <c r="H682" s="27"/>
      <c r="I682" s="27"/>
      <c r="J682" s="30"/>
      <c r="K682" s="30"/>
      <c r="L682" s="29"/>
      <c r="M682" s="27"/>
      <c r="N682" s="27"/>
      <c r="O682" s="27"/>
      <c r="P682" s="27"/>
      <c r="Q682" s="29"/>
      <c r="R682" s="29"/>
      <c r="S682" s="29"/>
      <c r="T682" s="29"/>
      <c r="U682" s="27"/>
      <c r="V682" s="29"/>
      <c r="W682" s="29"/>
      <c r="X682" s="29"/>
      <c r="Y682" s="31"/>
      <c r="Z682" s="29"/>
      <c r="AA682" s="30"/>
      <c r="AB682" s="32"/>
      <c r="AC682" s="30"/>
      <c r="AD682" s="33"/>
      <c r="AE682" s="29"/>
      <c r="AF682" s="29"/>
      <c r="AG682" s="29"/>
    </row>
    <row r="683" spans="1:33" ht="15" customHeight="1" x14ac:dyDescent="0.25">
      <c r="A683" s="5">
        <v>40</v>
      </c>
      <c r="B683" s="38">
        <v>44106</v>
      </c>
      <c r="C683" s="38">
        <v>44090</v>
      </c>
      <c r="D683" s="38">
        <v>44074</v>
      </c>
      <c r="E683" s="36">
        <v>44106</v>
      </c>
      <c r="F683" s="5">
        <v>3076</v>
      </c>
      <c r="G683" s="5" t="s">
        <v>91</v>
      </c>
      <c r="H683" s="5" t="s">
        <v>43</v>
      </c>
      <c r="I683" s="5" t="s">
        <v>92</v>
      </c>
      <c r="J683" s="21" t="s">
        <v>93</v>
      </c>
      <c r="K683" s="21" t="s">
        <v>1748</v>
      </c>
      <c r="L683" s="6" t="s">
        <v>1749</v>
      </c>
      <c r="M683" s="5">
        <v>13</v>
      </c>
      <c r="N683" s="5" t="s">
        <v>91</v>
      </c>
      <c r="O683" s="5" t="s">
        <v>91</v>
      </c>
      <c r="P683" s="5" t="s">
        <v>91</v>
      </c>
      <c r="Q683" s="6" t="s">
        <v>96</v>
      </c>
      <c r="R683" s="6" t="s">
        <v>97</v>
      </c>
      <c r="S683" s="6" t="s">
        <v>1750</v>
      </c>
      <c r="T683" s="6"/>
      <c r="U683" s="5"/>
      <c r="V683" s="6" t="s">
        <v>1751</v>
      </c>
      <c r="W683" s="6" t="s">
        <v>1752</v>
      </c>
      <c r="X683" s="6" t="s">
        <v>1753</v>
      </c>
      <c r="Y683" s="22"/>
      <c r="Z683" s="6"/>
      <c r="AA683" s="21">
        <v>10180</v>
      </c>
      <c r="AB683" s="23">
        <v>44077</v>
      </c>
      <c r="AC683" s="21" t="s">
        <v>30</v>
      </c>
      <c r="AD683" s="24" t="s">
        <v>1754</v>
      </c>
      <c r="AE683" s="6" t="s">
        <v>38</v>
      </c>
      <c r="AF683" s="6"/>
      <c r="AG683" s="6" t="s">
        <v>3040</v>
      </c>
    </row>
    <row r="684" spans="1:33" ht="7.5" customHeight="1" x14ac:dyDescent="0.25">
      <c r="A684" s="27"/>
      <c r="B684" s="39"/>
      <c r="C684" s="39"/>
      <c r="D684" s="39"/>
      <c r="E684" s="28"/>
      <c r="F684" s="27"/>
      <c r="G684" s="27"/>
      <c r="H684" s="27"/>
      <c r="I684" s="27"/>
      <c r="J684" s="30"/>
      <c r="K684" s="30"/>
      <c r="L684" s="29"/>
      <c r="M684" s="27"/>
      <c r="N684" s="27"/>
      <c r="O684" s="27"/>
      <c r="P684" s="27"/>
      <c r="Q684" s="29"/>
      <c r="R684" s="29"/>
      <c r="S684" s="29"/>
      <c r="T684" s="29"/>
      <c r="U684" s="27"/>
      <c r="V684" s="29"/>
      <c r="W684" s="29"/>
      <c r="X684" s="29"/>
      <c r="Y684" s="31"/>
      <c r="Z684" s="29"/>
      <c r="AA684" s="30"/>
      <c r="AB684" s="32"/>
      <c r="AC684" s="30"/>
      <c r="AD684" s="33"/>
      <c r="AE684" s="29"/>
      <c r="AF684" s="29"/>
      <c r="AG684" s="29"/>
    </row>
    <row r="685" spans="1:33" ht="15" customHeight="1" x14ac:dyDescent="0.25">
      <c r="A685" s="5">
        <v>42</v>
      </c>
      <c r="B685" s="38">
        <v>44118</v>
      </c>
      <c r="C685" s="38">
        <v>44090</v>
      </c>
      <c r="D685" s="38">
        <v>44083</v>
      </c>
      <c r="E685" s="37">
        <v>44118</v>
      </c>
      <c r="F685" s="5">
        <v>3086</v>
      </c>
      <c r="G685" s="5" t="s">
        <v>91</v>
      </c>
      <c r="H685" s="5" t="s">
        <v>41</v>
      </c>
      <c r="I685" s="5" t="s">
        <v>92</v>
      </c>
      <c r="J685" s="21" t="s">
        <v>93</v>
      </c>
      <c r="K685" s="21" t="s">
        <v>1993</v>
      </c>
      <c r="L685" s="6" t="s">
        <v>1994</v>
      </c>
      <c r="M685" s="5">
        <v>5</v>
      </c>
      <c r="N685" s="5" t="s">
        <v>91</v>
      </c>
      <c r="O685" s="5" t="s">
        <v>91</v>
      </c>
      <c r="P685" s="5" t="s">
        <v>91</v>
      </c>
      <c r="Q685" s="6" t="s">
        <v>105</v>
      </c>
      <c r="R685" s="6" t="s">
        <v>97</v>
      </c>
      <c r="S685" s="6" t="s">
        <v>155</v>
      </c>
      <c r="T685" s="6"/>
      <c r="U685" s="5"/>
      <c r="V685" s="6"/>
      <c r="W685" s="6" t="s">
        <v>1995</v>
      </c>
      <c r="X685" s="6" t="s">
        <v>1996</v>
      </c>
      <c r="Y685" s="22"/>
      <c r="Z685" s="6"/>
      <c r="AA685" s="21">
        <v>10185</v>
      </c>
      <c r="AB685" s="23">
        <v>44091</v>
      </c>
      <c r="AC685" s="21" t="s">
        <v>33</v>
      </c>
      <c r="AD685" s="24" t="s">
        <v>1997</v>
      </c>
      <c r="AE685" s="6" t="s">
        <v>37</v>
      </c>
      <c r="AF685" s="6"/>
      <c r="AG685" s="6" t="s">
        <v>3039</v>
      </c>
    </row>
    <row r="686" spans="1:33" ht="7.5" customHeight="1" x14ac:dyDescent="0.25">
      <c r="A686" s="27"/>
      <c r="B686" s="39"/>
      <c r="C686" s="39"/>
      <c r="D686" s="39"/>
      <c r="E686" s="28"/>
      <c r="F686" s="27"/>
      <c r="G686" s="27"/>
      <c r="H686" s="27"/>
      <c r="I686" s="27"/>
      <c r="J686" s="30"/>
      <c r="K686" s="30"/>
      <c r="L686" s="29"/>
      <c r="M686" s="27"/>
      <c r="N686" s="27"/>
      <c r="O686" s="27"/>
      <c r="P686" s="27"/>
      <c r="Q686" s="29"/>
      <c r="R686" s="29"/>
      <c r="S686" s="29"/>
      <c r="T686" s="29"/>
      <c r="U686" s="27"/>
      <c r="V686" s="29"/>
      <c r="W686" s="29"/>
      <c r="X686" s="29"/>
      <c r="Y686" s="31"/>
      <c r="Z686" s="29"/>
      <c r="AA686" s="30"/>
      <c r="AB686" s="32"/>
      <c r="AC686" s="30"/>
      <c r="AD686" s="33"/>
      <c r="AE686" s="29"/>
      <c r="AF686" s="29"/>
      <c r="AG686" s="29"/>
    </row>
    <row r="687" spans="1:33" ht="15" customHeight="1" x14ac:dyDescent="0.25">
      <c r="A687" s="5">
        <v>40</v>
      </c>
      <c r="B687" s="38">
        <v>44104</v>
      </c>
      <c r="C687" s="38">
        <v>44090</v>
      </c>
      <c r="D687" s="38">
        <v>44083</v>
      </c>
      <c r="E687" s="36">
        <v>44104</v>
      </c>
      <c r="F687" s="5">
        <v>12088</v>
      </c>
      <c r="G687" s="5" t="s">
        <v>91</v>
      </c>
      <c r="H687" s="5" t="s">
        <v>43</v>
      </c>
      <c r="I687" s="5" t="s">
        <v>92</v>
      </c>
      <c r="J687" s="21" t="s">
        <v>275</v>
      </c>
      <c r="K687" s="21" t="s">
        <v>276</v>
      </c>
      <c r="L687" s="6" t="s">
        <v>277</v>
      </c>
      <c r="M687" s="5">
        <v>20</v>
      </c>
      <c r="N687" s="5" t="s">
        <v>91</v>
      </c>
      <c r="O687" s="5" t="s">
        <v>91</v>
      </c>
      <c r="P687" s="5" t="s">
        <v>91</v>
      </c>
      <c r="Q687" s="6"/>
      <c r="R687" s="6" t="s">
        <v>112</v>
      </c>
      <c r="S687" s="6"/>
      <c r="T687" s="6"/>
      <c r="U687" s="5"/>
      <c r="V687" s="6"/>
      <c r="W687" s="6" t="s">
        <v>278</v>
      </c>
      <c r="X687" s="6"/>
      <c r="Y687" s="22"/>
      <c r="Z687" s="6">
        <v>5.0999999999999996</v>
      </c>
      <c r="AA687" s="21"/>
      <c r="AB687" s="23">
        <v>44083</v>
      </c>
      <c r="AC687" s="21" t="s">
        <v>30</v>
      </c>
      <c r="AD687" s="24" t="s">
        <v>279</v>
      </c>
      <c r="AE687" s="6" t="s">
        <v>31</v>
      </c>
      <c r="AF687" s="6"/>
      <c r="AG687" s="6" t="s">
        <v>3042</v>
      </c>
    </row>
    <row r="688" spans="1:33" ht="15" customHeight="1" x14ac:dyDescent="0.25">
      <c r="A688" s="5">
        <v>40</v>
      </c>
      <c r="B688" s="38">
        <v>44104</v>
      </c>
      <c r="C688" s="38">
        <v>44090</v>
      </c>
      <c r="D688" s="38">
        <v>44083</v>
      </c>
      <c r="E688" s="36">
        <v>44104</v>
      </c>
      <c r="F688" s="5">
        <v>12092</v>
      </c>
      <c r="G688" s="5" t="s">
        <v>91</v>
      </c>
      <c r="H688" s="5" t="s">
        <v>43</v>
      </c>
      <c r="I688" s="5" t="s">
        <v>92</v>
      </c>
      <c r="J688" s="21" t="s">
        <v>275</v>
      </c>
      <c r="K688" s="21" t="s">
        <v>280</v>
      </c>
      <c r="L688" s="6" t="s">
        <v>281</v>
      </c>
      <c r="M688" s="5">
        <v>0</v>
      </c>
      <c r="N688" s="5" t="s">
        <v>91</v>
      </c>
      <c r="O688" s="5" t="s">
        <v>91</v>
      </c>
      <c r="P688" s="5" t="s">
        <v>91</v>
      </c>
      <c r="Q688" s="6" t="s">
        <v>105</v>
      </c>
      <c r="R688" s="6" t="s">
        <v>123</v>
      </c>
      <c r="S688" s="6"/>
      <c r="T688" s="6"/>
      <c r="U688" s="5"/>
      <c r="V688" s="6"/>
      <c r="W688" s="6" t="s">
        <v>282</v>
      </c>
      <c r="X688" s="6"/>
      <c r="Y688" s="22"/>
      <c r="Z688" s="6"/>
      <c r="AA688" s="21"/>
      <c r="AB688" s="23">
        <v>44102</v>
      </c>
      <c r="AC688" s="21" t="s">
        <v>32</v>
      </c>
      <c r="AD688" s="24" t="s">
        <v>283</v>
      </c>
      <c r="AE688" s="6" t="s">
        <v>31</v>
      </c>
      <c r="AF688" s="6"/>
      <c r="AG688" s="6" t="s">
        <v>3039</v>
      </c>
    </row>
    <row r="689" spans="1:33" ht="7.5" customHeight="1" x14ac:dyDescent="0.25">
      <c r="A689" s="27"/>
      <c r="B689" s="39"/>
      <c r="C689" s="39"/>
      <c r="D689" s="39"/>
      <c r="E689" s="28"/>
      <c r="F689" s="27"/>
      <c r="G689" s="27"/>
      <c r="H689" s="27"/>
      <c r="I689" s="27"/>
      <c r="J689" s="30"/>
      <c r="K689" s="30"/>
      <c r="L689" s="29"/>
      <c r="M689" s="27"/>
      <c r="N689" s="27"/>
      <c r="O689" s="27"/>
      <c r="P689" s="27"/>
      <c r="Q689" s="29"/>
      <c r="R689" s="29"/>
      <c r="S689" s="29"/>
      <c r="T689" s="29"/>
      <c r="U689" s="27"/>
      <c r="V689" s="29"/>
      <c r="W689" s="29"/>
      <c r="X689" s="29"/>
      <c r="Y689" s="31"/>
      <c r="Z689" s="29"/>
      <c r="AA689" s="30"/>
      <c r="AB689" s="32"/>
      <c r="AC689" s="30"/>
      <c r="AD689" s="33"/>
      <c r="AE689" s="29"/>
      <c r="AF689" s="29"/>
      <c r="AG689" s="29"/>
    </row>
    <row r="690" spans="1:33" ht="15" customHeight="1" x14ac:dyDescent="0.25">
      <c r="A690" s="5">
        <v>39</v>
      </c>
      <c r="B690" s="38">
        <v>44099</v>
      </c>
      <c r="C690" s="38">
        <v>44090</v>
      </c>
      <c r="D690" s="38">
        <v>44048</v>
      </c>
      <c r="E690" s="35">
        <v>44099</v>
      </c>
      <c r="F690" s="5">
        <v>4808</v>
      </c>
      <c r="G690" s="5" t="s">
        <v>91</v>
      </c>
      <c r="H690" s="5" t="s">
        <v>41</v>
      </c>
      <c r="I690" s="5" t="s">
        <v>92</v>
      </c>
      <c r="J690" s="21" t="s">
        <v>109</v>
      </c>
      <c r="K690" s="21" t="s">
        <v>110</v>
      </c>
      <c r="L690" s="6" t="s">
        <v>111</v>
      </c>
      <c r="M690" s="5">
        <v>0</v>
      </c>
      <c r="N690" s="5" t="s">
        <v>91</v>
      </c>
      <c r="O690" s="5" t="s">
        <v>91</v>
      </c>
      <c r="P690" s="5" t="s">
        <v>91</v>
      </c>
      <c r="Q690" s="6" t="s">
        <v>105</v>
      </c>
      <c r="R690" s="6" t="s">
        <v>112</v>
      </c>
      <c r="S690" s="6"/>
      <c r="T690" s="6"/>
      <c r="U690" s="5"/>
      <c r="V690" s="6" t="s">
        <v>113</v>
      </c>
      <c r="W690" s="6" t="s">
        <v>114</v>
      </c>
      <c r="X690" s="6"/>
      <c r="Y690" s="22"/>
      <c r="Z690" s="6">
        <v>0</v>
      </c>
      <c r="AA690" s="21">
        <v>13654</v>
      </c>
      <c r="AB690" s="23">
        <v>44048</v>
      </c>
      <c r="AC690" s="21" t="s">
        <v>33</v>
      </c>
      <c r="AD690" s="24" t="s">
        <v>115</v>
      </c>
      <c r="AE690" s="6" t="s">
        <v>37</v>
      </c>
      <c r="AF690" s="6"/>
      <c r="AG690" s="6" t="s">
        <v>3041</v>
      </c>
    </row>
    <row r="691" spans="1:33" ht="15" customHeight="1" x14ac:dyDescent="0.25">
      <c r="A691" s="5">
        <v>39</v>
      </c>
      <c r="B691" s="38">
        <v>44099</v>
      </c>
      <c r="C691" s="38">
        <v>44090</v>
      </c>
      <c r="D691" s="38">
        <v>44081</v>
      </c>
      <c r="E691" s="35">
        <v>44099</v>
      </c>
      <c r="F691" s="5">
        <v>4834</v>
      </c>
      <c r="G691" s="5" t="s">
        <v>91</v>
      </c>
      <c r="H691" s="5" t="s">
        <v>41</v>
      </c>
      <c r="I691" s="5" t="s">
        <v>92</v>
      </c>
      <c r="J691" s="21" t="s">
        <v>109</v>
      </c>
      <c r="K691" s="21" t="s">
        <v>121</v>
      </c>
      <c r="L691" s="6" t="s">
        <v>122</v>
      </c>
      <c r="M691" s="5">
        <v>0</v>
      </c>
      <c r="N691" s="5" t="s">
        <v>91</v>
      </c>
      <c r="O691" s="5" t="s">
        <v>91</v>
      </c>
      <c r="P691" s="5" t="s">
        <v>91</v>
      </c>
      <c r="Q691" s="6" t="s">
        <v>105</v>
      </c>
      <c r="R691" s="6" t="s">
        <v>123</v>
      </c>
      <c r="S691" s="6"/>
      <c r="T691" s="6"/>
      <c r="U691" s="5"/>
      <c r="V691" s="6"/>
      <c r="W691" s="6" t="s">
        <v>124</v>
      </c>
      <c r="X691" s="6"/>
      <c r="Y691" s="22"/>
      <c r="Z691" s="6"/>
      <c r="AA691" s="21" t="s">
        <v>125</v>
      </c>
      <c r="AB691" s="23">
        <v>44085</v>
      </c>
      <c r="AC691" s="21" t="s">
        <v>33</v>
      </c>
      <c r="AD691" s="24" t="s">
        <v>126</v>
      </c>
      <c r="AE691" s="6" t="s">
        <v>38</v>
      </c>
      <c r="AF691" s="6"/>
      <c r="AG691" s="6" t="s">
        <v>3039</v>
      </c>
    </row>
    <row r="692" spans="1:33" ht="7.5" customHeight="1" x14ac:dyDescent="0.25">
      <c r="A692" s="27"/>
      <c r="B692" s="39"/>
      <c r="C692" s="39"/>
      <c r="D692" s="39"/>
      <c r="E692" s="28"/>
      <c r="F692" s="27"/>
      <c r="G692" s="27"/>
      <c r="H692" s="27"/>
      <c r="I692" s="27"/>
      <c r="J692" s="30"/>
      <c r="K692" s="30"/>
      <c r="L692" s="29"/>
      <c r="M692" s="27"/>
      <c r="N692" s="27"/>
      <c r="O692" s="27"/>
      <c r="P692" s="27"/>
      <c r="Q692" s="29"/>
      <c r="R692" s="29"/>
      <c r="S692" s="29"/>
      <c r="T692" s="29"/>
      <c r="U692" s="27"/>
      <c r="V692" s="29"/>
      <c r="W692" s="29"/>
      <c r="X692" s="29"/>
      <c r="Y692" s="31"/>
      <c r="Z692" s="29"/>
      <c r="AA692" s="30"/>
      <c r="AB692" s="32"/>
      <c r="AC692" s="30"/>
      <c r="AD692" s="33"/>
      <c r="AE692" s="29"/>
      <c r="AF692" s="29"/>
      <c r="AG692" s="29"/>
    </row>
    <row r="693" spans="1:33" ht="15" customHeight="1" x14ac:dyDescent="0.25">
      <c r="A693" s="5">
        <v>41</v>
      </c>
      <c r="B693" s="38">
        <v>44111</v>
      </c>
      <c r="C693" s="38">
        <v>44090</v>
      </c>
      <c r="D693" s="38">
        <v>44083</v>
      </c>
      <c r="E693" s="28">
        <v>44111</v>
      </c>
      <c r="F693" s="5">
        <v>5671</v>
      </c>
      <c r="G693" s="5" t="s">
        <v>91</v>
      </c>
      <c r="H693" s="5" t="s">
        <v>43</v>
      </c>
      <c r="I693" s="5" t="s">
        <v>92</v>
      </c>
      <c r="J693" s="21" t="s">
        <v>131</v>
      </c>
      <c r="K693" s="21" t="s">
        <v>1867</v>
      </c>
      <c r="L693" s="6" t="s">
        <v>878</v>
      </c>
      <c r="M693" s="5">
        <v>4</v>
      </c>
      <c r="N693" s="5" t="s">
        <v>91</v>
      </c>
      <c r="O693" s="5" t="s">
        <v>91</v>
      </c>
      <c r="P693" s="5" t="s">
        <v>91</v>
      </c>
      <c r="Q693" s="6" t="s">
        <v>105</v>
      </c>
      <c r="R693" s="6" t="s">
        <v>112</v>
      </c>
      <c r="S693" s="6"/>
      <c r="T693" s="6"/>
      <c r="U693" s="5"/>
      <c r="V693" s="6"/>
      <c r="W693" s="6" t="s">
        <v>183</v>
      </c>
      <c r="X693" s="6"/>
      <c r="Y693" s="22"/>
      <c r="Z693" s="6">
        <v>1</v>
      </c>
      <c r="AA693" s="21"/>
      <c r="AB693" s="23">
        <v>44091</v>
      </c>
      <c r="AC693" s="21" t="s">
        <v>30</v>
      </c>
      <c r="AD693" s="24" t="s">
        <v>1868</v>
      </c>
      <c r="AE693" s="6" t="s">
        <v>31</v>
      </c>
      <c r="AF693" s="6"/>
      <c r="AG693" s="6" t="s">
        <v>3040</v>
      </c>
    </row>
    <row r="694" spans="1:33" ht="7.5" customHeight="1" x14ac:dyDescent="0.25">
      <c r="A694" s="27"/>
      <c r="B694" s="39"/>
      <c r="C694" s="39"/>
      <c r="D694" s="39"/>
      <c r="E694" s="28"/>
      <c r="F694" s="27"/>
      <c r="G694" s="27"/>
      <c r="H694" s="27"/>
      <c r="I694" s="27"/>
      <c r="J694" s="30"/>
      <c r="K694" s="30"/>
      <c r="L694" s="29"/>
      <c r="M694" s="27"/>
      <c r="N694" s="27"/>
      <c r="O694" s="27"/>
      <c r="P694" s="27"/>
      <c r="Q694" s="29"/>
      <c r="R694" s="29"/>
      <c r="S694" s="29"/>
      <c r="T694" s="29"/>
      <c r="U694" s="27"/>
      <c r="V694" s="29"/>
      <c r="W694" s="29"/>
      <c r="X694" s="29"/>
      <c r="Y694" s="31"/>
      <c r="Z694" s="29"/>
      <c r="AA694" s="30"/>
      <c r="AB694" s="32"/>
      <c r="AC694" s="30"/>
      <c r="AD694" s="33"/>
      <c r="AE694" s="29"/>
      <c r="AF694" s="29"/>
      <c r="AG694" s="29"/>
    </row>
    <row r="695" spans="1:33" ht="15" customHeight="1" x14ac:dyDescent="0.25">
      <c r="A695" s="5">
        <v>39</v>
      </c>
      <c r="B695" s="38">
        <v>44099</v>
      </c>
      <c r="C695" s="38">
        <v>44090</v>
      </c>
      <c r="D695" s="38">
        <v>44077</v>
      </c>
      <c r="E695" s="35">
        <v>44099</v>
      </c>
      <c r="F695" s="5">
        <v>9687</v>
      </c>
      <c r="G695" s="5" t="s">
        <v>91</v>
      </c>
      <c r="H695" s="5" t="s">
        <v>43</v>
      </c>
      <c r="I695" s="5" t="s">
        <v>92</v>
      </c>
      <c r="J695" s="21" t="s">
        <v>159</v>
      </c>
      <c r="K695" s="21">
        <v>257803</v>
      </c>
      <c r="L695" s="6" t="s">
        <v>152</v>
      </c>
      <c r="M695" s="5">
        <v>5</v>
      </c>
      <c r="N695" s="5" t="s">
        <v>91</v>
      </c>
      <c r="O695" s="5" t="s">
        <v>91</v>
      </c>
      <c r="P695" s="5" t="s">
        <v>91</v>
      </c>
      <c r="Q695" s="6"/>
      <c r="R695" s="6" t="s">
        <v>163</v>
      </c>
      <c r="S695" s="6"/>
      <c r="T695" s="6"/>
      <c r="U695" s="5"/>
      <c r="V695" s="6" t="s">
        <v>164</v>
      </c>
      <c r="W695" s="6" t="s">
        <v>165</v>
      </c>
      <c r="X695" s="6"/>
      <c r="Y695" s="22"/>
      <c r="Z695" s="6"/>
      <c r="AA695" s="21">
        <v>257803</v>
      </c>
      <c r="AB695" s="23">
        <v>44083</v>
      </c>
      <c r="AC695" s="21" t="s">
        <v>30</v>
      </c>
      <c r="AD695" s="24" t="s">
        <v>166</v>
      </c>
      <c r="AE695" s="6" t="s">
        <v>36</v>
      </c>
      <c r="AF695" s="6"/>
      <c r="AG695" s="6" t="s">
        <v>3042</v>
      </c>
    </row>
    <row r="696" spans="1:33" ht="15" customHeight="1" x14ac:dyDescent="0.25">
      <c r="A696" s="5">
        <v>39</v>
      </c>
      <c r="B696" s="38">
        <v>44099</v>
      </c>
      <c r="C696" s="38">
        <v>44090</v>
      </c>
      <c r="D696" s="38">
        <v>44077</v>
      </c>
      <c r="E696" s="35">
        <v>44099</v>
      </c>
      <c r="F696" s="5">
        <v>9688</v>
      </c>
      <c r="G696" s="5" t="s">
        <v>91</v>
      </c>
      <c r="H696" s="5" t="s">
        <v>43</v>
      </c>
      <c r="I696" s="5" t="s">
        <v>92</v>
      </c>
      <c r="J696" s="21" t="s">
        <v>159</v>
      </c>
      <c r="K696" s="21">
        <v>257802</v>
      </c>
      <c r="L696" s="6" t="s">
        <v>152</v>
      </c>
      <c r="M696" s="5">
        <v>5</v>
      </c>
      <c r="N696" s="5" t="s">
        <v>91</v>
      </c>
      <c r="O696" s="5" t="s">
        <v>91</v>
      </c>
      <c r="P696" s="5" t="s">
        <v>91</v>
      </c>
      <c r="Q696" s="6"/>
      <c r="R696" s="6" t="s">
        <v>163</v>
      </c>
      <c r="S696" s="6"/>
      <c r="T696" s="6"/>
      <c r="U696" s="5"/>
      <c r="V696" s="6" t="s">
        <v>167</v>
      </c>
      <c r="W696" s="6" t="s">
        <v>168</v>
      </c>
      <c r="X696" s="6"/>
      <c r="Y696" s="22"/>
      <c r="Z696" s="6"/>
      <c r="AA696" s="21">
        <v>257802</v>
      </c>
      <c r="AB696" s="23">
        <v>44083</v>
      </c>
      <c r="AC696" s="21" t="s">
        <v>30</v>
      </c>
      <c r="AD696" s="24" t="s">
        <v>169</v>
      </c>
      <c r="AE696" s="6" t="s">
        <v>31</v>
      </c>
      <c r="AF696" s="6"/>
      <c r="AG696" s="6" t="s">
        <v>3039</v>
      </c>
    </row>
    <row r="697" spans="1:33" ht="7.5" customHeight="1" x14ac:dyDescent="0.25">
      <c r="A697" s="27"/>
      <c r="B697" s="39"/>
      <c r="C697" s="39"/>
      <c r="D697" s="39"/>
      <c r="E697" s="28"/>
      <c r="F697" s="27"/>
      <c r="G697" s="27"/>
      <c r="H697" s="27"/>
      <c r="I697" s="27"/>
      <c r="J697" s="30"/>
      <c r="K697" s="30"/>
      <c r="L697" s="29"/>
      <c r="M697" s="27"/>
      <c r="N697" s="27"/>
      <c r="O697" s="27"/>
      <c r="P697" s="27"/>
      <c r="Q697" s="29"/>
      <c r="R697" s="29"/>
      <c r="S697" s="29"/>
      <c r="T697" s="29"/>
      <c r="U697" s="27"/>
      <c r="V697" s="29"/>
      <c r="W697" s="29"/>
      <c r="X697" s="29"/>
      <c r="Y697" s="31"/>
      <c r="Z697" s="29"/>
      <c r="AA697" s="30"/>
      <c r="AB697" s="32"/>
      <c r="AC697" s="30"/>
      <c r="AD697" s="33"/>
      <c r="AE697" s="29"/>
      <c r="AF697" s="29"/>
      <c r="AG697" s="29"/>
    </row>
    <row r="698" spans="1:33" ht="15" customHeight="1" x14ac:dyDescent="0.25">
      <c r="A698" s="5">
        <v>40</v>
      </c>
      <c r="B698" s="38">
        <v>44104</v>
      </c>
      <c r="C698" s="38">
        <v>44090</v>
      </c>
      <c r="D698" s="38">
        <v>44083</v>
      </c>
      <c r="E698" s="36">
        <v>44104</v>
      </c>
      <c r="F698" s="5">
        <v>9691</v>
      </c>
      <c r="G698" s="5" t="s">
        <v>91</v>
      </c>
      <c r="H698" s="5" t="s">
        <v>43</v>
      </c>
      <c r="I698" s="5" t="s">
        <v>92</v>
      </c>
      <c r="J698" s="21" t="s">
        <v>159</v>
      </c>
      <c r="K698" s="21">
        <v>257864</v>
      </c>
      <c r="L698" s="6" t="s">
        <v>152</v>
      </c>
      <c r="M698" s="5">
        <v>4</v>
      </c>
      <c r="N698" s="5" t="s">
        <v>91</v>
      </c>
      <c r="O698" s="5" t="s">
        <v>91</v>
      </c>
      <c r="P698" s="5" t="s">
        <v>91</v>
      </c>
      <c r="Q698" s="6" t="s">
        <v>105</v>
      </c>
      <c r="R698" s="6" t="s">
        <v>163</v>
      </c>
      <c r="S698" s="6"/>
      <c r="T698" s="6"/>
      <c r="U698" s="5"/>
      <c r="V698" s="6" t="s">
        <v>164</v>
      </c>
      <c r="W698" s="6" t="s">
        <v>297</v>
      </c>
      <c r="X698" s="6"/>
      <c r="Y698" s="22"/>
      <c r="Z698" s="6"/>
      <c r="AA698" s="21">
        <v>257864</v>
      </c>
      <c r="AB698" s="23">
        <v>44089</v>
      </c>
      <c r="AC698" s="21" t="s">
        <v>32</v>
      </c>
      <c r="AD698" s="24" t="s">
        <v>298</v>
      </c>
      <c r="AE698" s="6" t="s">
        <v>38</v>
      </c>
      <c r="AF698" s="6"/>
      <c r="AG698" s="6" t="s">
        <v>3039</v>
      </c>
    </row>
    <row r="699" spans="1:33" ht="7.5" customHeight="1" x14ac:dyDescent="0.25">
      <c r="A699" s="27"/>
      <c r="B699" s="39"/>
      <c r="C699" s="39"/>
      <c r="D699" s="39"/>
      <c r="E699" s="28"/>
      <c r="F699" s="27"/>
      <c r="G699" s="27"/>
      <c r="H699" s="27"/>
      <c r="I699" s="27"/>
      <c r="J699" s="30"/>
      <c r="K699" s="30"/>
      <c r="L699" s="29"/>
      <c r="M699" s="27"/>
      <c r="N699" s="27"/>
      <c r="O699" s="27"/>
      <c r="P699" s="27"/>
      <c r="Q699" s="29"/>
      <c r="R699" s="29"/>
      <c r="S699" s="29"/>
      <c r="T699" s="29"/>
      <c r="U699" s="27"/>
      <c r="V699" s="29"/>
      <c r="W699" s="29"/>
      <c r="X699" s="29"/>
      <c r="Y699" s="31"/>
      <c r="Z699" s="29"/>
      <c r="AA699" s="30"/>
      <c r="AB699" s="32"/>
      <c r="AC699" s="30"/>
      <c r="AD699" s="33"/>
      <c r="AE699" s="29"/>
      <c r="AF699" s="29"/>
      <c r="AG699" s="29"/>
    </row>
    <row r="700" spans="1:33" ht="15" customHeight="1" x14ac:dyDescent="0.25">
      <c r="A700" s="5">
        <v>40</v>
      </c>
      <c r="B700" s="38">
        <v>44106</v>
      </c>
      <c r="C700" s="38">
        <v>44090</v>
      </c>
      <c r="D700" s="38">
        <v>44071</v>
      </c>
      <c r="E700" s="36">
        <v>44106</v>
      </c>
      <c r="F700" s="5">
        <v>9683</v>
      </c>
      <c r="G700" s="5" t="s">
        <v>91</v>
      </c>
      <c r="H700" s="5" t="s">
        <v>40</v>
      </c>
      <c r="I700" s="5" t="s">
        <v>92</v>
      </c>
      <c r="J700" s="21" t="s">
        <v>159</v>
      </c>
      <c r="K700" s="21">
        <v>257629</v>
      </c>
      <c r="L700" s="6" t="s">
        <v>1757</v>
      </c>
      <c r="M700" s="5">
        <v>10</v>
      </c>
      <c r="N700" s="5" t="s">
        <v>91</v>
      </c>
      <c r="O700" s="5" t="s">
        <v>91</v>
      </c>
      <c r="P700" s="5" t="s">
        <v>91</v>
      </c>
      <c r="Q700" s="6"/>
      <c r="R700" s="6" t="s">
        <v>106</v>
      </c>
      <c r="S700" s="6"/>
      <c r="T700" s="6"/>
      <c r="U700" s="5"/>
      <c r="V700" s="6" t="s">
        <v>161</v>
      </c>
      <c r="W700" s="6" t="s">
        <v>106</v>
      </c>
      <c r="X700" s="6"/>
      <c r="Y700" s="22"/>
      <c r="Z700" s="6"/>
      <c r="AA700" s="21">
        <v>257629</v>
      </c>
      <c r="AB700" s="23">
        <v>44070</v>
      </c>
      <c r="AC700" s="21" t="s">
        <v>32</v>
      </c>
      <c r="AD700" s="24" t="s">
        <v>1758</v>
      </c>
      <c r="AE700" s="6" t="s">
        <v>35</v>
      </c>
      <c r="AF700" s="6"/>
      <c r="AG700" s="6" t="s">
        <v>3042</v>
      </c>
    </row>
    <row r="701" spans="1:33" ht="7.5" customHeight="1" x14ac:dyDescent="0.25">
      <c r="A701" s="27"/>
      <c r="B701" s="39"/>
      <c r="C701" s="39"/>
      <c r="D701" s="39"/>
      <c r="E701" s="28"/>
      <c r="F701" s="27"/>
      <c r="G701" s="27"/>
      <c r="H701" s="27"/>
      <c r="I701" s="27"/>
      <c r="J701" s="30"/>
      <c r="K701" s="30"/>
      <c r="L701" s="29"/>
      <c r="M701" s="27"/>
      <c r="N701" s="27"/>
      <c r="O701" s="27"/>
      <c r="P701" s="27"/>
      <c r="Q701" s="29"/>
      <c r="R701" s="29"/>
      <c r="S701" s="29"/>
      <c r="T701" s="29"/>
      <c r="U701" s="27"/>
      <c r="V701" s="29"/>
      <c r="W701" s="29"/>
      <c r="X701" s="29"/>
      <c r="Y701" s="31"/>
      <c r="Z701" s="29"/>
      <c r="AA701" s="30"/>
      <c r="AB701" s="32"/>
      <c r="AC701" s="30"/>
      <c r="AD701" s="33"/>
      <c r="AE701" s="29"/>
      <c r="AF701" s="29"/>
      <c r="AG701" s="29"/>
    </row>
    <row r="702" spans="1:33" ht="15" customHeight="1" x14ac:dyDescent="0.25">
      <c r="A702" s="5">
        <v>40</v>
      </c>
      <c r="B702" s="38">
        <v>44102</v>
      </c>
      <c r="C702" s="38">
        <v>44091</v>
      </c>
      <c r="D702" s="38">
        <v>44078</v>
      </c>
      <c r="E702" s="36">
        <v>44102</v>
      </c>
      <c r="F702" s="5">
        <v>10699</v>
      </c>
      <c r="G702" s="5" t="s">
        <v>91</v>
      </c>
      <c r="H702" s="5" t="s">
        <v>41</v>
      </c>
      <c r="I702" s="5" t="s">
        <v>92</v>
      </c>
      <c r="J702" s="21" t="s">
        <v>170</v>
      </c>
      <c r="K702" s="21" t="s">
        <v>171</v>
      </c>
      <c r="L702" s="6" t="s">
        <v>172</v>
      </c>
      <c r="M702" s="5">
        <v>0</v>
      </c>
      <c r="N702" s="5" t="s">
        <v>91</v>
      </c>
      <c r="O702" s="5" t="s">
        <v>91</v>
      </c>
      <c r="P702" s="5" t="s">
        <v>91</v>
      </c>
      <c r="Q702" s="6" t="s">
        <v>96</v>
      </c>
      <c r="R702" s="6" t="s">
        <v>123</v>
      </c>
      <c r="S702" s="6"/>
      <c r="T702" s="6"/>
      <c r="U702" s="5"/>
      <c r="V702" s="6"/>
      <c r="W702" s="6" t="s">
        <v>173</v>
      </c>
      <c r="X702" s="6"/>
      <c r="Y702" s="22"/>
      <c r="Z702" s="6"/>
      <c r="AA702" s="21"/>
      <c r="AB702" s="23">
        <v>44098</v>
      </c>
      <c r="AC702" s="21" t="s">
        <v>30</v>
      </c>
      <c r="AD702" s="24" t="s">
        <v>174</v>
      </c>
      <c r="AE702" s="6" t="s">
        <v>31</v>
      </c>
      <c r="AF702" s="6"/>
      <c r="AG702" s="6" t="s">
        <v>3040</v>
      </c>
    </row>
    <row r="703" spans="1:33" ht="7.5" customHeight="1" x14ac:dyDescent="0.25">
      <c r="A703" s="27"/>
      <c r="B703" s="39"/>
      <c r="C703" s="39"/>
      <c r="D703" s="39"/>
      <c r="E703" s="28"/>
      <c r="F703" s="27"/>
      <c r="G703" s="27"/>
      <c r="H703" s="27"/>
      <c r="I703" s="27"/>
      <c r="J703" s="30"/>
      <c r="K703" s="30"/>
      <c r="L703" s="29"/>
      <c r="M703" s="27"/>
      <c r="N703" s="27"/>
      <c r="O703" s="27"/>
      <c r="P703" s="27"/>
      <c r="Q703" s="29"/>
      <c r="R703" s="29"/>
      <c r="S703" s="29"/>
      <c r="T703" s="29"/>
      <c r="U703" s="27"/>
      <c r="V703" s="29"/>
      <c r="W703" s="29"/>
      <c r="X703" s="29"/>
      <c r="Y703" s="31"/>
      <c r="Z703" s="29"/>
      <c r="AA703" s="30"/>
      <c r="AB703" s="32"/>
      <c r="AC703" s="30"/>
      <c r="AD703" s="33"/>
      <c r="AE703" s="29"/>
      <c r="AF703" s="29"/>
      <c r="AG703" s="29"/>
    </row>
    <row r="704" spans="1:33" ht="15" customHeight="1" x14ac:dyDescent="0.25">
      <c r="A704" s="5">
        <v>40</v>
      </c>
      <c r="B704" s="38">
        <v>44105</v>
      </c>
      <c r="C704" s="38">
        <v>44091</v>
      </c>
      <c r="D704" s="38">
        <v>44084</v>
      </c>
      <c r="E704" s="36">
        <v>44105</v>
      </c>
      <c r="F704" s="5">
        <v>3078</v>
      </c>
      <c r="G704" s="5" t="s">
        <v>91</v>
      </c>
      <c r="H704" s="5" t="s">
        <v>43</v>
      </c>
      <c r="I704" s="5" t="s">
        <v>92</v>
      </c>
      <c r="J704" s="21" t="s">
        <v>93</v>
      </c>
      <c r="K704" s="21" t="s">
        <v>1734</v>
      </c>
      <c r="L704" s="6" t="s">
        <v>122</v>
      </c>
      <c r="M704" s="5">
        <v>5</v>
      </c>
      <c r="N704" s="5" t="s">
        <v>91</v>
      </c>
      <c r="O704" s="5" t="s">
        <v>91</v>
      </c>
      <c r="P704" s="5" t="s">
        <v>91</v>
      </c>
      <c r="Q704" s="6" t="s">
        <v>105</v>
      </c>
      <c r="R704" s="6" t="s">
        <v>264</v>
      </c>
      <c r="S704" s="6"/>
      <c r="T704" s="6"/>
      <c r="U704" s="5"/>
      <c r="V704" s="6" t="s">
        <v>272</v>
      </c>
      <c r="W704" s="6" t="s">
        <v>1735</v>
      </c>
      <c r="X704" s="6" t="s">
        <v>1736</v>
      </c>
      <c r="Y704" s="22"/>
      <c r="Z704" s="6"/>
      <c r="AA704" s="21">
        <v>10179</v>
      </c>
      <c r="AB704" s="23">
        <v>44083</v>
      </c>
      <c r="AC704" s="21" t="s">
        <v>30</v>
      </c>
      <c r="AD704" s="24" t="s">
        <v>1737</v>
      </c>
      <c r="AE704" s="6" t="s">
        <v>31</v>
      </c>
      <c r="AF704" s="6"/>
      <c r="AG704" s="6" t="s">
        <v>3040</v>
      </c>
    </row>
    <row r="705" spans="1:33" ht="15" customHeight="1" x14ac:dyDescent="0.25">
      <c r="A705" s="5">
        <v>40</v>
      </c>
      <c r="B705" s="38">
        <v>44105</v>
      </c>
      <c r="C705" s="38">
        <v>44091</v>
      </c>
      <c r="D705" s="38">
        <v>44084</v>
      </c>
      <c r="E705" s="36">
        <v>44105</v>
      </c>
      <c r="F705" s="5">
        <v>3096</v>
      </c>
      <c r="G705" s="5" t="s">
        <v>91</v>
      </c>
      <c r="H705" s="5" t="s">
        <v>43</v>
      </c>
      <c r="I705" s="5" t="s">
        <v>92</v>
      </c>
      <c r="J705" s="21" t="s">
        <v>93</v>
      </c>
      <c r="K705" s="21" t="s">
        <v>1738</v>
      </c>
      <c r="L705" s="6" t="s">
        <v>1739</v>
      </c>
      <c r="M705" s="5">
        <v>0</v>
      </c>
      <c r="N705" s="5" t="s">
        <v>91</v>
      </c>
      <c r="O705" s="5" t="s">
        <v>91</v>
      </c>
      <c r="P705" s="5" t="s">
        <v>91</v>
      </c>
      <c r="Q705" s="6" t="s">
        <v>105</v>
      </c>
      <c r="R705" s="6" t="s">
        <v>106</v>
      </c>
      <c r="S705" s="6"/>
      <c r="T705" s="6"/>
      <c r="U705" s="5"/>
      <c r="V705" s="6" t="s">
        <v>1739</v>
      </c>
      <c r="W705" s="6" t="s">
        <v>106</v>
      </c>
      <c r="X705" s="6"/>
      <c r="Y705" s="22"/>
      <c r="Z705" s="6"/>
      <c r="AA705" s="21">
        <v>1012200</v>
      </c>
      <c r="AB705" s="23">
        <v>44097</v>
      </c>
      <c r="AC705" s="21" t="s">
        <v>30</v>
      </c>
      <c r="AD705" s="24" t="s">
        <v>1740</v>
      </c>
      <c r="AE705" s="6" t="s">
        <v>36</v>
      </c>
      <c r="AF705" s="6"/>
      <c r="AG705" s="6" t="s">
        <v>3041</v>
      </c>
    </row>
    <row r="706" spans="1:33" ht="7.5" customHeight="1" x14ac:dyDescent="0.25">
      <c r="A706" s="27"/>
      <c r="B706" s="39"/>
      <c r="C706" s="39"/>
      <c r="D706" s="39"/>
      <c r="E706" s="28"/>
      <c r="F706" s="27"/>
      <c r="G706" s="27"/>
      <c r="H706" s="27"/>
      <c r="I706" s="27"/>
      <c r="J706" s="30"/>
      <c r="K706" s="30"/>
      <c r="L706" s="29"/>
      <c r="M706" s="27"/>
      <c r="N706" s="27"/>
      <c r="O706" s="27"/>
      <c r="P706" s="27"/>
      <c r="Q706" s="29"/>
      <c r="R706" s="29"/>
      <c r="S706" s="29"/>
      <c r="T706" s="29"/>
      <c r="U706" s="27"/>
      <c r="V706" s="29"/>
      <c r="W706" s="29"/>
      <c r="X706" s="29"/>
      <c r="Y706" s="31"/>
      <c r="Z706" s="29"/>
      <c r="AA706" s="30"/>
      <c r="AB706" s="32"/>
      <c r="AC706" s="30"/>
      <c r="AD706" s="33"/>
      <c r="AE706" s="29"/>
      <c r="AF706" s="29"/>
      <c r="AG706" s="29"/>
    </row>
    <row r="707" spans="1:33" ht="15" customHeight="1" x14ac:dyDescent="0.25">
      <c r="A707" s="5">
        <v>40</v>
      </c>
      <c r="B707" s="38">
        <v>44102</v>
      </c>
      <c r="C707" s="38">
        <v>44091</v>
      </c>
      <c r="D707" s="38">
        <v>44076</v>
      </c>
      <c r="E707" s="36">
        <v>44102</v>
      </c>
      <c r="F707" s="5">
        <v>5659</v>
      </c>
      <c r="G707" s="5" t="s">
        <v>91</v>
      </c>
      <c r="H707" s="5" t="s">
        <v>43</v>
      </c>
      <c r="I707" s="5" t="s">
        <v>92</v>
      </c>
      <c r="J707" s="21" t="s">
        <v>131</v>
      </c>
      <c r="K707" s="21" t="s">
        <v>188</v>
      </c>
      <c r="L707" s="6" t="s">
        <v>189</v>
      </c>
      <c r="M707" s="5">
        <v>0</v>
      </c>
      <c r="N707" s="5" t="s">
        <v>91</v>
      </c>
      <c r="O707" s="5" t="s">
        <v>91</v>
      </c>
      <c r="P707" s="5" t="s">
        <v>91</v>
      </c>
      <c r="Q707" s="6"/>
      <c r="R707" s="6" t="s">
        <v>112</v>
      </c>
      <c r="S707" s="6"/>
      <c r="T707" s="6"/>
      <c r="U707" s="5"/>
      <c r="V707" s="6" t="s">
        <v>190</v>
      </c>
      <c r="W707" s="6" t="s">
        <v>183</v>
      </c>
      <c r="X707" s="6"/>
      <c r="Y707" s="22"/>
      <c r="Z707" s="6"/>
      <c r="AA707" s="21"/>
      <c r="AB707" s="23">
        <v>44082</v>
      </c>
      <c r="AC707" s="21" t="s">
        <v>32</v>
      </c>
      <c r="AD707" s="24" t="s">
        <v>115</v>
      </c>
      <c r="AE707" s="6" t="s">
        <v>36</v>
      </c>
      <c r="AF707" s="6"/>
      <c r="AG707" s="6" t="s">
        <v>3040</v>
      </c>
    </row>
    <row r="708" spans="1:33" ht="15" customHeight="1" x14ac:dyDescent="0.25">
      <c r="A708" s="5">
        <v>40</v>
      </c>
      <c r="B708" s="38">
        <v>44102</v>
      </c>
      <c r="C708" s="38">
        <v>44091</v>
      </c>
      <c r="D708" s="38">
        <v>44067</v>
      </c>
      <c r="E708" s="36">
        <v>44102</v>
      </c>
      <c r="F708" s="5">
        <v>6717</v>
      </c>
      <c r="G708" s="5" t="s">
        <v>91</v>
      </c>
      <c r="H708" s="5" t="s">
        <v>43</v>
      </c>
      <c r="I708" s="5" t="s">
        <v>92</v>
      </c>
      <c r="J708" s="21" t="s">
        <v>191</v>
      </c>
      <c r="K708" s="21" t="s">
        <v>197</v>
      </c>
      <c r="L708" s="6" t="s">
        <v>198</v>
      </c>
      <c r="M708" s="5">
        <v>0</v>
      </c>
      <c r="N708" s="5" t="s">
        <v>91</v>
      </c>
      <c r="O708" s="5" t="s">
        <v>91</v>
      </c>
      <c r="P708" s="5" t="s">
        <v>91</v>
      </c>
      <c r="Q708" s="6" t="s">
        <v>105</v>
      </c>
      <c r="R708" s="6" t="s">
        <v>194</v>
      </c>
      <c r="S708" s="6"/>
      <c r="T708" s="6"/>
      <c r="U708" s="5"/>
      <c r="V708" s="6"/>
      <c r="W708" s="6" t="s">
        <v>199</v>
      </c>
      <c r="X708" s="6"/>
      <c r="Y708" s="22"/>
      <c r="Z708" s="6"/>
      <c r="AA708" s="21"/>
      <c r="AB708" s="23">
        <v>44068</v>
      </c>
      <c r="AC708" s="21" t="s">
        <v>30</v>
      </c>
      <c r="AD708" s="24" t="s">
        <v>115</v>
      </c>
      <c r="AE708" s="6" t="s">
        <v>31</v>
      </c>
      <c r="AF708" s="6"/>
      <c r="AG708" s="6" t="s">
        <v>3042</v>
      </c>
    </row>
    <row r="709" spans="1:33" ht="7.5" customHeight="1" x14ac:dyDescent="0.25">
      <c r="A709" s="27"/>
      <c r="B709" s="39"/>
      <c r="C709" s="39"/>
      <c r="D709" s="39"/>
      <c r="E709" s="28"/>
      <c r="F709" s="27"/>
      <c r="G709" s="27"/>
      <c r="H709" s="27"/>
      <c r="I709" s="27"/>
      <c r="J709" s="30"/>
      <c r="K709" s="30"/>
      <c r="L709" s="29"/>
      <c r="M709" s="27"/>
      <c r="N709" s="27"/>
      <c r="O709" s="27"/>
      <c r="P709" s="27"/>
      <c r="Q709" s="29"/>
      <c r="R709" s="29"/>
      <c r="S709" s="29"/>
      <c r="T709" s="29"/>
      <c r="U709" s="27"/>
      <c r="V709" s="29"/>
      <c r="W709" s="29"/>
      <c r="X709" s="29"/>
      <c r="Y709" s="31"/>
      <c r="Z709" s="29"/>
      <c r="AA709" s="30"/>
      <c r="AB709" s="32"/>
      <c r="AC709" s="30"/>
      <c r="AD709" s="33"/>
      <c r="AE709" s="29"/>
      <c r="AF709" s="29"/>
      <c r="AG709" s="29"/>
    </row>
    <row r="710" spans="1:33" ht="15" customHeight="1" x14ac:dyDescent="0.25">
      <c r="A710" s="5">
        <v>41</v>
      </c>
      <c r="B710" s="38">
        <v>44109</v>
      </c>
      <c r="C710" s="38">
        <v>44091</v>
      </c>
      <c r="D710" s="38">
        <v>44077</v>
      </c>
      <c r="E710" s="28">
        <v>44109</v>
      </c>
      <c r="F710" s="5">
        <v>7776</v>
      </c>
      <c r="G710" s="5" t="s">
        <v>91</v>
      </c>
      <c r="H710" s="5" t="s">
        <v>43</v>
      </c>
      <c r="I710" s="5" t="s">
        <v>92</v>
      </c>
      <c r="J710" s="21" t="s">
        <v>214</v>
      </c>
      <c r="K710" s="21" t="s">
        <v>1797</v>
      </c>
      <c r="L710" s="6" t="s">
        <v>1798</v>
      </c>
      <c r="M710" s="5">
        <v>13</v>
      </c>
      <c r="N710" s="5" t="s">
        <v>91</v>
      </c>
      <c r="O710" s="5" t="s">
        <v>91</v>
      </c>
      <c r="P710" s="5" t="s">
        <v>1215</v>
      </c>
      <c r="Q710" s="6" t="s">
        <v>105</v>
      </c>
      <c r="R710" s="6" t="s">
        <v>223</v>
      </c>
      <c r="S710" s="6"/>
      <c r="T710" s="6"/>
      <c r="U710" s="5"/>
      <c r="V710" s="6" t="s">
        <v>1799</v>
      </c>
      <c r="W710" s="6" t="s">
        <v>1800</v>
      </c>
      <c r="X710" s="6">
        <v>273745283</v>
      </c>
      <c r="Y710" s="22"/>
      <c r="Z710" s="6">
        <v>3.66</v>
      </c>
      <c r="AA710" s="21" t="s">
        <v>1801</v>
      </c>
      <c r="AB710" s="23">
        <v>44076</v>
      </c>
      <c r="AC710" s="21" t="s">
        <v>30</v>
      </c>
      <c r="AD710" s="24" t="s">
        <v>1802</v>
      </c>
      <c r="AE710" s="6" t="s">
        <v>31</v>
      </c>
      <c r="AF710" s="6"/>
      <c r="AG710" s="6" t="s">
        <v>3041</v>
      </c>
    </row>
    <row r="711" spans="1:33" ht="7.5" customHeight="1" x14ac:dyDescent="0.25">
      <c r="A711" s="27"/>
      <c r="B711" s="39"/>
      <c r="C711" s="39"/>
      <c r="D711" s="39"/>
      <c r="E711" s="28"/>
      <c r="F711" s="27"/>
      <c r="G711" s="27"/>
      <c r="H711" s="27"/>
      <c r="I711" s="27"/>
      <c r="J711" s="30"/>
      <c r="K711" s="30"/>
      <c r="L711" s="29"/>
      <c r="M711" s="27"/>
      <c r="N711" s="27"/>
      <c r="O711" s="27"/>
      <c r="P711" s="27"/>
      <c r="Q711" s="29"/>
      <c r="R711" s="29"/>
      <c r="S711" s="29"/>
      <c r="T711" s="29"/>
      <c r="U711" s="27"/>
      <c r="V711" s="29"/>
      <c r="W711" s="29"/>
      <c r="X711" s="29"/>
      <c r="Y711" s="31"/>
      <c r="Z711" s="29"/>
      <c r="AA711" s="30"/>
      <c r="AB711" s="32"/>
      <c r="AC711" s="30"/>
      <c r="AD711" s="33"/>
      <c r="AE711" s="29"/>
      <c r="AF711" s="29"/>
      <c r="AG711" s="29"/>
    </row>
    <row r="712" spans="1:33" ht="15" customHeight="1" x14ac:dyDescent="0.25">
      <c r="A712" s="5">
        <v>40</v>
      </c>
      <c r="B712" s="38">
        <v>44102</v>
      </c>
      <c r="C712" s="38">
        <v>44091</v>
      </c>
      <c r="D712" s="38">
        <v>44076</v>
      </c>
      <c r="E712" s="36">
        <v>44102</v>
      </c>
      <c r="F712" s="5">
        <v>8767</v>
      </c>
      <c r="G712" s="5" t="s">
        <v>91</v>
      </c>
      <c r="H712" s="5" t="s">
        <v>41</v>
      </c>
      <c r="I712" s="5" t="s">
        <v>92</v>
      </c>
      <c r="J712" s="21" t="s">
        <v>147</v>
      </c>
      <c r="K712" s="21" t="s">
        <v>200</v>
      </c>
      <c r="L712" s="6" t="s">
        <v>201</v>
      </c>
      <c r="M712" s="5">
        <v>0</v>
      </c>
      <c r="N712" s="5" t="s">
        <v>91</v>
      </c>
      <c r="O712" s="5" t="s">
        <v>91</v>
      </c>
      <c r="P712" s="5" t="s">
        <v>91</v>
      </c>
      <c r="Q712" s="6" t="s">
        <v>105</v>
      </c>
      <c r="R712" s="6" t="s">
        <v>107</v>
      </c>
      <c r="S712" s="6"/>
      <c r="T712" s="6"/>
      <c r="U712" s="5"/>
      <c r="V712" s="6"/>
      <c r="W712" s="6" t="s">
        <v>107</v>
      </c>
      <c r="X712" s="6"/>
      <c r="Y712" s="22"/>
      <c r="Z712" s="6"/>
      <c r="AA712" s="21"/>
      <c r="AB712" s="23">
        <v>44085</v>
      </c>
      <c r="AC712" s="21" t="s">
        <v>32</v>
      </c>
      <c r="AD712" s="24" t="s">
        <v>202</v>
      </c>
      <c r="AE712" s="6" t="s">
        <v>37</v>
      </c>
      <c r="AF712" s="6"/>
      <c r="AG712" s="6" t="s">
        <v>3039</v>
      </c>
    </row>
    <row r="713" spans="1:33" ht="7.5" customHeight="1" x14ac:dyDescent="0.25">
      <c r="A713" s="27"/>
      <c r="B713" s="39"/>
      <c r="C713" s="39"/>
      <c r="D713" s="39"/>
      <c r="E713" s="28"/>
      <c r="F713" s="27"/>
      <c r="G713" s="27"/>
      <c r="H713" s="27"/>
      <c r="I713" s="27"/>
      <c r="J713" s="30"/>
      <c r="K713" s="30"/>
      <c r="L713" s="29"/>
      <c r="M713" s="27"/>
      <c r="N713" s="27"/>
      <c r="O713" s="27"/>
      <c r="P713" s="27"/>
      <c r="Q713" s="29"/>
      <c r="R713" s="29"/>
      <c r="S713" s="29"/>
      <c r="T713" s="29"/>
      <c r="U713" s="27"/>
      <c r="V713" s="29"/>
      <c r="W713" s="29"/>
      <c r="X713" s="29"/>
      <c r="Y713" s="31"/>
      <c r="Z713" s="29"/>
      <c r="AA713" s="30"/>
      <c r="AB713" s="32"/>
      <c r="AC713" s="30"/>
      <c r="AD713" s="33"/>
      <c r="AE713" s="29"/>
      <c r="AF713" s="29"/>
      <c r="AG713" s="29"/>
    </row>
    <row r="714" spans="1:33" ht="15" customHeight="1" x14ac:dyDescent="0.25">
      <c r="A714" s="5">
        <v>41</v>
      </c>
      <c r="B714" s="38">
        <v>44110</v>
      </c>
      <c r="C714" s="38">
        <v>44092</v>
      </c>
      <c r="D714" s="38">
        <v>44069</v>
      </c>
      <c r="E714" s="28">
        <v>44110</v>
      </c>
      <c r="F714" s="5">
        <v>3073</v>
      </c>
      <c r="G714" s="5" t="s">
        <v>91</v>
      </c>
      <c r="H714" s="5" t="s">
        <v>43</v>
      </c>
      <c r="I714" s="5" t="s">
        <v>92</v>
      </c>
      <c r="J714" s="21" t="s">
        <v>93</v>
      </c>
      <c r="K714" s="21" t="s">
        <v>1822</v>
      </c>
      <c r="L714" s="6" t="s">
        <v>152</v>
      </c>
      <c r="M714" s="5">
        <v>0</v>
      </c>
      <c r="N714" s="5" t="s">
        <v>91</v>
      </c>
      <c r="O714" s="5" t="s">
        <v>91</v>
      </c>
      <c r="P714" s="5" t="s">
        <v>91</v>
      </c>
      <c r="Q714" s="6"/>
      <c r="R714" s="6"/>
      <c r="S714" s="6" t="s">
        <v>106</v>
      </c>
      <c r="T714" s="6"/>
      <c r="U714" s="5"/>
      <c r="V714" s="6"/>
      <c r="W714" s="6" t="s">
        <v>106</v>
      </c>
      <c r="X714" s="6" t="s">
        <v>399</v>
      </c>
      <c r="Y714" s="22"/>
      <c r="Z714" s="6"/>
      <c r="AA714" s="21">
        <v>10162</v>
      </c>
      <c r="AB714" s="23">
        <v>44075</v>
      </c>
      <c r="AC714" s="21" t="s">
        <v>30</v>
      </c>
      <c r="AD714" s="24" t="s">
        <v>115</v>
      </c>
      <c r="AE714" s="6" t="s">
        <v>31</v>
      </c>
      <c r="AF714" s="6"/>
      <c r="AG714" s="6" t="s">
        <v>3039</v>
      </c>
    </row>
    <row r="715" spans="1:33" ht="15" customHeight="1" x14ac:dyDescent="0.25">
      <c r="A715" s="5">
        <v>41</v>
      </c>
      <c r="B715" s="38">
        <v>44110</v>
      </c>
      <c r="C715" s="38">
        <v>44092</v>
      </c>
      <c r="D715" s="38">
        <v>44069</v>
      </c>
      <c r="E715" s="28">
        <v>44110</v>
      </c>
      <c r="F715" s="5">
        <v>3073</v>
      </c>
      <c r="G715" s="5" t="s">
        <v>91</v>
      </c>
      <c r="H715" s="5" t="s">
        <v>43</v>
      </c>
      <c r="I715" s="5" t="s">
        <v>92</v>
      </c>
      <c r="J715" s="21" t="s">
        <v>93</v>
      </c>
      <c r="K715" s="21" t="s">
        <v>1828</v>
      </c>
      <c r="L715" s="6" t="s">
        <v>1829</v>
      </c>
      <c r="M715" s="5">
        <v>0</v>
      </c>
      <c r="N715" s="5" t="s">
        <v>91</v>
      </c>
      <c r="O715" s="5" t="s">
        <v>91</v>
      </c>
      <c r="P715" s="5" t="s">
        <v>91</v>
      </c>
      <c r="Q715" s="6"/>
      <c r="R715" s="6"/>
      <c r="S715" s="6" t="s">
        <v>106</v>
      </c>
      <c r="T715" s="6"/>
      <c r="U715" s="5"/>
      <c r="V715" s="6"/>
      <c r="W715" s="6" t="s">
        <v>106</v>
      </c>
      <c r="X715" s="6" t="s">
        <v>399</v>
      </c>
      <c r="Y715" s="22"/>
      <c r="Z715" s="6"/>
      <c r="AA715" s="21">
        <v>10162</v>
      </c>
      <c r="AB715" s="23">
        <v>44075</v>
      </c>
      <c r="AC715" s="21" t="s">
        <v>30</v>
      </c>
      <c r="AD715" s="24" t="s">
        <v>115</v>
      </c>
      <c r="AE715" s="6" t="s">
        <v>31</v>
      </c>
      <c r="AF715" s="6"/>
      <c r="AG715" s="6" t="s">
        <v>3041</v>
      </c>
    </row>
    <row r="716" spans="1:33" ht="7.5" customHeight="1" x14ac:dyDescent="0.25">
      <c r="A716" s="27"/>
      <c r="B716" s="39"/>
      <c r="C716" s="39"/>
      <c r="D716" s="39"/>
      <c r="E716" s="28"/>
      <c r="F716" s="27"/>
      <c r="G716" s="27"/>
      <c r="H716" s="27"/>
      <c r="I716" s="27"/>
      <c r="J716" s="30"/>
      <c r="K716" s="30"/>
      <c r="L716" s="29"/>
      <c r="M716" s="27"/>
      <c r="N716" s="27"/>
      <c r="O716" s="27"/>
      <c r="P716" s="27"/>
      <c r="Q716" s="29"/>
      <c r="R716" s="29"/>
      <c r="S716" s="29"/>
      <c r="T716" s="29"/>
      <c r="U716" s="27"/>
      <c r="V716" s="29"/>
      <c r="W716" s="29"/>
      <c r="X716" s="29"/>
      <c r="Y716" s="31"/>
      <c r="Z716" s="29"/>
      <c r="AA716" s="30"/>
      <c r="AB716" s="32"/>
      <c r="AC716" s="30"/>
      <c r="AD716" s="33"/>
      <c r="AE716" s="29"/>
      <c r="AF716" s="29"/>
      <c r="AG716" s="29"/>
    </row>
    <row r="717" spans="1:33" ht="15" customHeight="1" x14ac:dyDescent="0.25">
      <c r="A717" s="5">
        <v>41</v>
      </c>
      <c r="B717" s="38">
        <v>44113</v>
      </c>
      <c r="C717" s="38">
        <v>44092</v>
      </c>
      <c r="D717" s="38">
        <v>44085</v>
      </c>
      <c r="E717" s="28">
        <v>44113</v>
      </c>
      <c r="F717" s="5">
        <v>3112</v>
      </c>
      <c r="G717" s="5" t="s">
        <v>91</v>
      </c>
      <c r="H717" s="5" t="s">
        <v>41</v>
      </c>
      <c r="I717" s="5" t="s">
        <v>92</v>
      </c>
      <c r="J717" s="21" t="s">
        <v>93</v>
      </c>
      <c r="K717" s="21" t="s">
        <v>1890</v>
      </c>
      <c r="L717" s="6" t="s">
        <v>402</v>
      </c>
      <c r="M717" s="5">
        <v>0</v>
      </c>
      <c r="N717" s="5" t="s">
        <v>91</v>
      </c>
      <c r="O717" s="5" t="s">
        <v>91</v>
      </c>
      <c r="P717" s="5" t="s">
        <v>91</v>
      </c>
      <c r="Q717" s="6" t="s">
        <v>105</v>
      </c>
      <c r="R717" s="6" t="s">
        <v>106</v>
      </c>
      <c r="S717" s="6"/>
      <c r="T717" s="6"/>
      <c r="U717" s="5"/>
      <c r="V717" s="6" t="s">
        <v>113</v>
      </c>
      <c r="W717" s="6" t="s">
        <v>106</v>
      </c>
      <c r="X717" s="6"/>
      <c r="Y717" s="22"/>
      <c r="Z717" s="6"/>
      <c r="AA717" s="21" t="s">
        <v>1891</v>
      </c>
      <c r="AB717" s="23">
        <v>44112</v>
      </c>
      <c r="AC717" s="21" t="s">
        <v>32</v>
      </c>
      <c r="AD717" s="24" t="s">
        <v>1892</v>
      </c>
      <c r="AE717" s="6" t="s">
        <v>36</v>
      </c>
      <c r="AF717" s="6"/>
      <c r="AG717" s="6" t="s">
        <v>3039</v>
      </c>
    </row>
    <row r="718" spans="1:33" ht="7.5" customHeight="1" x14ac:dyDescent="0.25">
      <c r="A718" s="27"/>
      <c r="B718" s="39"/>
      <c r="C718" s="39"/>
      <c r="D718" s="39"/>
      <c r="E718" s="28"/>
      <c r="F718" s="27"/>
      <c r="G718" s="27"/>
      <c r="H718" s="27"/>
      <c r="I718" s="27"/>
      <c r="J718" s="30"/>
      <c r="K718" s="30"/>
      <c r="L718" s="29"/>
      <c r="M718" s="27"/>
      <c r="N718" s="27"/>
      <c r="O718" s="27"/>
      <c r="P718" s="27"/>
      <c r="Q718" s="29"/>
      <c r="R718" s="29"/>
      <c r="S718" s="29"/>
      <c r="T718" s="29"/>
      <c r="U718" s="27"/>
      <c r="V718" s="29"/>
      <c r="W718" s="29"/>
      <c r="X718" s="29"/>
      <c r="Y718" s="31"/>
      <c r="Z718" s="29"/>
      <c r="AA718" s="30"/>
      <c r="AB718" s="32"/>
      <c r="AC718" s="30"/>
      <c r="AD718" s="33"/>
      <c r="AE718" s="29"/>
      <c r="AF718" s="29"/>
      <c r="AG718" s="29"/>
    </row>
    <row r="719" spans="1:33" ht="15" customHeight="1" x14ac:dyDescent="0.25">
      <c r="A719" s="5">
        <v>40</v>
      </c>
      <c r="B719" s="38">
        <v>44103</v>
      </c>
      <c r="C719" s="38">
        <v>44092</v>
      </c>
      <c r="D719" s="38">
        <v>44083</v>
      </c>
      <c r="E719" s="36">
        <v>44103</v>
      </c>
      <c r="F719" s="5">
        <v>7784</v>
      </c>
      <c r="G719" s="5" t="s">
        <v>91</v>
      </c>
      <c r="H719" s="5" t="s">
        <v>41</v>
      </c>
      <c r="I719" s="5" t="s">
        <v>92</v>
      </c>
      <c r="J719" s="21" t="s">
        <v>214</v>
      </c>
      <c r="K719" s="21" t="s">
        <v>215</v>
      </c>
      <c r="L719" s="6" t="s">
        <v>216</v>
      </c>
      <c r="M719" s="5">
        <v>13</v>
      </c>
      <c r="N719" s="5" t="s">
        <v>91</v>
      </c>
      <c r="O719" s="5" t="s">
        <v>91</v>
      </c>
      <c r="P719" s="5" t="s">
        <v>91</v>
      </c>
      <c r="Q719" s="6" t="s">
        <v>105</v>
      </c>
      <c r="R719" s="6" t="s">
        <v>217</v>
      </c>
      <c r="S719" s="6"/>
      <c r="T719" s="6"/>
      <c r="U719" s="5"/>
      <c r="V719" s="6"/>
      <c r="W719" s="6" t="s">
        <v>218</v>
      </c>
      <c r="X719" s="6">
        <v>2102550059</v>
      </c>
      <c r="Y719" s="22"/>
      <c r="Z719" s="6">
        <v>3.37</v>
      </c>
      <c r="AA719" s="21" t="s">
        <v>219</v>
      </c>
      <c r="AB719" s="23">
        <v>44088</v>
      </c>
      <c r="AC719" s="21" t="s">
        <v>30</v>
      </c>
      <c r="AD719" s="24" t="s">
        <v>220</v>
      </c>
      <c r="AE719" s="6" t="s">
        <v>31</v>
      </c>
      <c r="AF719" s="6"/>
      <c r="AG719" s="6" t="s">
        <v>3039</v>
      </c>
    </row>
    <row r="720" spans="1:33" ht="15" customHeight="1" x14ac:dyDescent="0.25">
      <c r="A720" s="5">
        <v>40</v>
      </c>
      <c r="B720" s="38">
        <v>44103</v>
      </c>
      <c r="C720" s="38">
        <v>44092</v>
      </c>
      <c r="D720" s="38">
        <v>44083</v>
      </c>
      <c r="E720" s="36">
        <v>44103</v>
      </c>
      <c r="F720" s="5">
        <v>7788</v>
      </c>
      <c r="G720" s="5" t="s">
        <v>91</v>
      </c>
      <c r="H720" s="5" t="s">
        <v>43</v>
      </c>
      <c r="I720" s="5" t="s">
        <v>92</v>
      </c>
      <c r="J720" s="21" t="s">
        <v>214</v>
      </c>
      <c r="K720" s="21" t="s">
        <v>221</v>
      </c>
      <c r="L720" s="6" t="s">
        <v>222</v>
      </c>
      <c r="M720" s="5">
        <v>0</v>
      </c>
      <c r="N720" s="5" t="s">
        <v>91</v>
      </c>
      <c r="O720" s="5" t="s">
        <v>91</v>
      </c>
      <c r="P720" s="5" t="s">
        <v>91</v>
      </c>
      <c r="Q720" s="6" t="s">
        <v>105</v>
      </c>
      <c r="R720" s="6" t="s">
        <v>223</v>
      </c>
      <c r="S720" s="6"/>
      <c r="T720" s="6"/>
      <c r="U720" s="5"/>
      <c r="V720" s="6"/>
      <c r="W720" s="6" t="s">
        <v>224</v>
      </c>
      <c r="X720" s="6"/>
      <c r="Y720" s="22"/>
      <c r="Z720" s="6"/>
      <c r="AA720" s="21" t="s">
        <v>225</v>
      </c>
      <c r="AB720" s="23">
        <v>44095</v>
      </c>
      <c r="AC720" s="21" t="s">
        <v>32</v>
      </c>
      <c r="AD720" s="24" t="s">
        <v>226</v>
      </c>
      <c r="AE720" s="6" t="s">
        <v>31</v>
      </c>
      <c r="AF720" s="6"/>
      <c r="AG720" s="6" t="s">
        <v>3040</v>
      </c>
    </row>
    <row r="721" spans="1:33" ht="7.5" customHeight="1" x14ac:dyDescent="0.25">
      <c r="A721" s="27"/>
      <c r="B721" s="39"/>
      <c r="C721" s="39"/>
      <c r="D721" s="39"/>
      <c r="E721" s="28"/>
      <c r="F721" s="27"/>
      <c r="G721" s="27"/>
      <c r="H721" s="27"/>
      <c r="I721" s="27"/>
      <c r="J721" s="30"/>
      <c r="K721" s="30"/>
      <c r="L721" s="29"/>
      <c r="M721" s="27"/>
      <c r="N721" s="27"/>
      <c r="O721" s="27"/>
      <c r="P721" s="27"/>
      <c r="Q721" s="29"/>
      <c r="R721" s="29"/>
      <c r="S721" s="29"/>
      <c r="T721" s="29"/>
      <c r="U721" s="27"/>
      <c r="V721" s="29"/>
      <c r="W721" s="29"/>
      <c r="X721" s="29"/>
      <c r="Y721" s="31"/>
      <c r="Z721" s="29"/>
      <c r="AA721" s="30"/>
      <c r="AB721" s="32"/>
      <c r="AC721" s="30"/>
      <c r="AD721" s="33"/>
      <c r="AE721" s="29"/>
      <c r="AF721" s="29"/>
      <c r="AG721" s="29"/>
    </row>
    <row r="722" spans="1:33" ht="15" customHeight="1" x14ac:dyDescent="0.25">
      <c r="A722" s="5">
        <v>40</v>
      </c>
      <c r="B722" s="38">
        <v>44106</v>
      </c>
      <c r="C722" s="38">
        <v>44092</v>
      </c>
      <c r="D722" s="38">
        <v>44085</v>
      </c>
      <c r="E722" s="36">
        <v>44106</v>
      </c>
      <c r="F722" s="5">
        <v>8760</v>
      </c>
      <c r="G722" s="5" t="s">
        <v>91</v>
      </c>
      <c r="H722" s="5" t="s">
        <v>40</v>
      </c>
      <c r="I722" s="5" t="s">
        <v>92</v>
      </c>
      <c r="J722" s="21" t="s">
        <v>147</v>
      </c>
      <c r="K722" s="21" t="s">
        <v>1755</v>
      </c>
      <c r="L722" s="6" t="s">
        <v>1756</v>
      </c>
      <c r="M722" s="5">
        <v>2</v>
      </c>
      <c r="N722" s="5" t="s">
        <v>91</v>
      </c>
      <c r="O722" s="5" t="s">
        <v>91</v>
      </c>
      <c r="P722" s="5" t="s">
        <v>91</v>
      </c>
      <c r="Q722" s="6"/>
      <c r="R722" s="6" t="s">
        <v>107</v>
      </c>
      <c r="S722" s="6"/>
      <c r="T722" s="6"/>
      <c r="U722" s="5"/>
      <c r="V722" s="6"/>
      <c r="W722" s="6" t="s">
        <v>106</v>
      </c>
      <c r="X722" s="6"/>
      <c r="Y722" s="22"/>
      <c r="Z722" s="6"/>
      <c r="AA722" s="21"/>
      <c r="AB722" s="23">
        <v>44088</v>
      </c>
      <c r="AC722" s="21" t="s">
        <v>32</v>
      </c>
      <c r="AD722" s="24" t="s">
        <v>296</v>
      </c>
      <c r="AE722" s="6" t="s">
        <v>31</v>
      </c>
      <c r="AF722" s="6"/>
      <c r="AG722" s="6" t="s">
        <v>3041</v>
      </c>
    </row>
    <row r="723" spans="1:33" ht="7.5" customHeight="1" x14ac:dyDescent="0.25">
      <c r="A723" s="27"/>
      <c r="B723" s="39"/>
      <c r="C723" s="39"/>
      <c r="D723" s="39"/>
      <c r="E723" s="28"/>
      <c r="F723" s="27"/>
      <c r="G723" s="27"/>
      <c r="H723" s="27"/>
      <c r="I723" s="27"/>
      <c r="J723" s="30"/>
      <c r="K723" s="30"/>
      <c r="L723" s="29"/>
      <c r="M723" s="27"/>
      <c r="N723" s="27"/>
      <c r="O723" s="27"/>
      <c r="P723" s="27"/>
      <c r="Q723" s="29"/>
      <c r="R723" s="29"/>
      <c r="S723" s="29"/>
      <c r="T723" s="29"/>
      <c r="U723" s="27"/>
      <c r="V723" s="29"/>
      <c r="W723" s="29"/>
      <c r="X723" s="29"/>
      <c r="Y723" s="31"/>
      <c r="Z723" s="29"/>
      <c r="AA723" s="30"/>
      <c r="AB723" s="32"/>
      <c r="AC723" s="30"/>
      <c r="AD723" s="33"/>
      <c r="AE723" s="29"/>
      <c r="AF723" s="29"/>
      <c r="AG723" s="29"/>
    </row>
    <row r="724" spans="1:33" ht="15" customHeight="1" x14ac:dyDescent="0.25">
      <c r="A724" s="5">
        <v>41</v>
      </c>
      <c r="B724" s="38">
        <v>44109</v>
      </c>
      <c r="C724" s="38">
        <v>44095</v>
      </c>
      <c r="D724" s="38">
        <v>44088</v>
      </c>
      <c r="E724" s="28">
        <v>44109</v>
      </c>
      <c r="F724" s="5">
        <v>12086</v>
      </c>
      <c r="G724" s="5" t="s">
        <v>91</v>
      </c>
      <c r="H724" s="5" t="s">
        <v>41</v>
      </c>
      <c r="I724" s="5" t="s">
        <v>92</v>
      </c>
      <c r="J724" s="21" t="s">
        <v>275</v>
      </c>
      <c r="K724" s="21" t="s">
        <v>1765</v>
      </c>
      <c r="L724" s="6" t="s">
        <v>498</v>
      </c>
      <c r="M724" s="5">
        <v>14</v>
      </c>
      <c r="N724" s="5" t="s">
        <v>91</v>
      </c>
      <c r="O724" s="5" t="s">
        <v>91</v>
      </c>
      <c r="P724" s="5" t="s">
        <v>91</v>
      </c>
      <c r="Q724" s="6" t="s">
        <v>105</v>
      </c>
      <c r="R724" s="6" t="s">
        <v>112</v>
      </c>
      <c r="S724" s="6"/>
      <c r="T724" s="6"/>
      <c r="U724" s="5"/>
      <c r="V724" s="6"/>
      <c r="W724" s="6" t="s">
        <v>1766</v>
      </c>
      <c r="X724" s="6"/>
      <c r="Y724" s="22"/>
      <c r="Z724" s="6">
        <v>4.0999999999999996</v>
      </c>
      <c r="AA724" s="21"/>
      <c r="AB724" s="23">
        <v>44075</v>
      </c>
      <c r="AC724" s="21" t="s">
        <v>30</v>
      </c>
      <c r="AD724" s="24" t="s">
        <v>1767</v>
      </c>
      <c r="AE724" s="6" t="s">
        <v>31</v>
      </c>
      <c r="AF724" s="6"/>
      <c r="AG724" s="6" t="s">
        <v>3040</v>
      </c>
    </row>
    <row r="725" spans="1:33" ht="15" customHeight="1" x14ac:dyDescent="0.25">
      <c r="A725" s="5">
        <v>41</v>
      </c>
      <c r="B725" s="38">
        <v>44109</v>
      </c>
      <c r="C725" s="38">
        <v>44095</v>
      </c>
      <c r="D725" s="38">
        <v>44088</v>
      </c>
      <c r="E725" s="28">
        <v>44109</v>
      </c>
      <c r="F725" s="5">
        <v>12089</v>
      </c>
      <c r="G725" s="5" t="s">
        <v>91</v>
      </c>
      <c r="H725" s="5" t="s">
        <v>41</v>
      </c>
      <c r="I725" s="5" t="s">
        <v>92</v>
      </c>
      <c r="J725" s="21" t="s">
        <v>275</v>
      </c>
      <c r="K725" s="21" t="s">
        <v>1768</v>
      </c>
      <c r="L725" s="6" t="s">
        <v>1692</v>
      </c>
      <c r="M725" s="5">
        <v>0</v>
      </c>
      <c r="N725" s="5" t="s">
        <v>91</v>
      </c>
      <c r="O725" s="5" t="s">
        <v>91</v>
      </c>
      <c r="P725" s="5" t="s">
        <v>91</v>
      </c>
      <c r="Q725" s="6" t="s">
        <v>105</v>
      </c>
      <c r="R725" s="6" t="s">
        <v>123</v>
      </c>
      <c r="S725" s="6"/>
      <c r="T725" s="6"/>
      <c r="U725" s="5"/>
      <c r="V725" s="6" t="s">
        <v>301</v>
      </c>
      <c r="W725" s="6" t="s">
        <v>282</v>
      </c>
      <c r="X725" s="6"/>
      <c r="Y725" s="22"/>
      <c r="Z725" s="6"/>
      <c r="AA725" s="21"/>
      <c r="AB725" s="23">
        <v>44097</v>
      </c>
      <c r="AC725" s="21" t="s">
        <v>33</v>
      </c>
      <c r="AD725" s="24" t="s">
        <v>1769</v>
      </c>
      <c r="AE725" s="6" t="s">
        <v>36</v>
      </c>
      <c r="AF725" s="6"/>
      <c r="AG725" s="6" t="s">
        <v>3041</v>
      </c>
    </row>
    <row r="726" spans="1:33" ht="15" customHeight="1" x14ac:dyDescent="0.25">
      <c r="A726" s="5">
        <v>41</v>
      </c>
      <c r="B726" s="38">
        <v>44109</v>
      </c>
      <c r="C726" s="38">
        <v>44095</v>
      </c>
      <c r="D726" s="38">
        <v>44088</v>
      </c>
      <c r="E726" s="28">
        <v>44109</v>
      </c>
      <c r="F726" s="5">
        <v>12093</v>
      </c>
      <c r="G726" s="5" t="s">
        <v>91</v>
      </c>
      <c r="H726" s="5" t="s">
        <v>43</v>
      </c>
      <c r="I726" s="5" t="s">
        <v>92</v>
      </c>
      <c r="J726" s="21" t="s">
        <v>275</v>
      </c>
      <c r="K726" s="21" t="s">
        <v>1770</v>
      </c>
      <c r="L726" s="6" t="s">
        <v>1594</v>
      </c>
      <c r="M726" s="5">
        <v>0</v>
      </c>
      <c r="N726" s="5" t="s">
        <v>91</v>
      </c>
      <c r="O726" s="5" t="s">
        <v>91</v>
      </c>
      <c r="P726" s="5" t="s">
        <v>91</v>
      </c>
      <c r="Q726" s="6"/>
      <c r="R726" s="6" t="s">
        <v>112</v>
      </c>
      <c r="S726" s="6"/>
      <c r="T726" s="6"/>
      <c r="U726" s="5"/>
      <c r="V726" s="6"/>
      <c r="W726" s="6" t="s">
        <v>1771</v>
      </c>
      <c r="X726" s="6"/>
      <c r="Y726" s="22"/>
      <c r="Z726" s="6"/>
      <c r="AA726" s="21"/>
      <c r="AB726" s="23">
        <v>44102</v>
      </c>
      <c r="AC726" s="21" t="s">
        <v>30</v>
      </c>
      <c r="AD726" s="24" t="s">
        <v>1772</v>
      </c>
      <c r="AE726" s="6" t="s">
        <v>38</v>
      </c>
      <c r="AF726" s="6"/>
      <c r="AG726" s="6" t="s">
        <v>3042</v>
      </c>
    </row>
    <row r="727" spans="1:33" ht="15" customHeight="1" x14ac:dyDescent="0.25">
      <c r="A727" s="5">
        <v>41</v>
      </c>
      <c r="B727" s="38">
        <v>44109</v>
      </c>
      <c r="C727" s="38">
        <v>44095</v>
      </c>
      <c r="D727" s="38">
        <v>44088</v>
      </c>
      <c r="E727" s="28">
        <v>44109</v>
      </c>
      <c r="F727" s="5">
        <v>5662</v>
      </c>
      <c r="G727" s="5" t="s">
        <v>91</v>
      </c>
      <c r="H727" s="5" t="s">
        <v>43</v>
      </c>
      <c r="I727" s="5" t="s">
        <v>92</v>
      </c>
      <c r="J727" s="21" t="s">
        <v>131</v>
      </c>
      <c r="K727" s="21" t="s">
        <v>1778</v>
      </c>
      <c r="L727" s="6" t="s">
        <v>95</v>
      </c>
      <c r="M727" s="5">
        <v>11</v>
      </c>
      <c r="N727" s="5" t="s">
        <v>91</v>
      </c>
      <c r="O727" s="5" t="s">
        <v>91</v>
      </c>
      <c r="P727" s="5" t="s">
        <v>91</v>
      </c>
      <c r="Q727" s="6" t="s">
        <v>96</v>
      </c>
      <c r="R727" s="6" t="s">
        <v>123</v>
      </c>
      <c r="S727" s="6"/>
      <c r="T727" s="6"/>
      <c r="U727" s="5"/>
      <c r="V727" s="6"/>
      <c r="W727" s="6" t="s">
        <v>183</v>
      </c>
      <c r="X727" s="6"/>
      <c r="Y727" s="22"/>
      <c r="Z727" s="6">
        <v>5</v>
      </c>
      <c r="AA727" s="21"/>
      <c r="AB727" s="23">
        <v>44084</v>
      </c>
      <c r="AC727" s="21" t="s">
        <v>30</v>
      </c>
      <c r="AD727" s="24" t="s">
        <v>1779</v>
      </c>
      <c r="AE727" s="6" t="s">
        <v>31</v>
      </c>
      <c r="AF727" s="6"/>
      <c r="AG727" s="6" t="s">
        <v>3041</v>
      </c>
    </row>
    <row r="728" spans="1:33" ht="15" customHeight="1" x14ac:dyDescent="0.25">
      <c r="A728" s="5">
        <v>41</v>
      </c>
      <c r="B728" s="38">
        <v>44109</v>
      </c>
      <c r="C728" s="38">
        <v>44095</v>
      </c>
      <c r="D728" s="38">
        <v>44088</v>
      </c>
      <c r="E728" s="28">
        <v>44109</v>
      </c>
      <c r="F728" s="5">
        <v>5667</v>
      </c>
      <c r="G728" s="5" t="s">
        <v>91</v>
      </c>
      <c r="H728" s="5" t="s">
        <v>41</v>
      </c>
      <c r="I728" s="5" t="s">
        <v>92</v>
      </c>
      <c r="J728" s="21" t="s">
        <v>131</v>
      </c>
      <c r="K728" s="21" t="s">
        <v>1780</v>
      </c>
      <c r="L728" s="6" t="s">
        <v>1781</v>
      </c>
      <c r="M728" s="5">
        <v>4</v>
      </c>
      <c r="N728" s="5" t="s">
        <v>91</v>
      </c>
      <c r="O728" s="5" t="s">
        <v>91</v>
      </c>
      <c r="P728" s="5" t="s">
        <v>91</v>
      </c>
      <c r="Q728" s="6" t="s">
        <v>105</v>
      </c>
      <c r="R728" s="6" t="s">
        <v>112</v>
      </c>
      <c r="S728" s="6"/>
      <c r="T728" s="6"/>
      <c r="U728" s="5"/>
      <c r="V728" s="6"/>
      <c r="W728" s="6" t="s">
        <v>183</v>
      </c>
      <c r="X728" s="6"/>
      <c r="Y728" s="22"/>
      <c r="Z728" s="6">
        <v>1</v>
      </c>
      <c r="AA728" s="21"/>
      <c r="AB728" s="23">
        <v>44088</v>
      </c>
      <c r="AC728" s="21" t="s">
        <v>30</v>
      </c>
      <c r="AD728" s="24" t="s">
        <v>1782</v>
      </c>
      <c r="AE728" s="6" t="s">
        <v>31</v>
      </c>
      <c r="AF728" s="6"/>
      <c r="AG728" s="6" t="s">
        <v>3042</v>
      </c>
    </row>
    <row r="729" spans="1:33" ht="15" customHeight="1" x14ac:dyDescent="0.25">
      <c r="A729" s="5">
        <v>41</v>
      </c>
      <c r="B729" s="38">
        <v>44109</v>
      </c>
      <c r="C729" s="38">
        <v>44095</v>
      </c>
      <c r="D729" s="38">
        <v>44088</v>
      </c>
      <c r="E729" s="28">
        <v>44109</v>
      </c>
      <c r="F729" s="5">
        <v>5684</v>
      </c>
      <c r="G729" s="5" t="s">
        <v>91</v>
      </c>
      <c r="H729" s="5" t="s">
        <v>40</v>
      </c>
      <c r="I729" s="5" t="s">
        <v>92</v>
      </c>
      <c r="J729" s="21" t="s">
        <v>131</v>
      </c>
      <c r="K729" s="21" t="s">
        <v>1786</v>
      </c>
      <c r="L729" s="6" t="s">
        <v>1081</v>
      </c>
      <c r="M729" s="5">
        <v>0</v>
      </c>
      <c r="N729" s="5" t="s">
        <v>91</v>
      </c>
      <c r="O729" s="5" t="s">
        <v>91</v>
      </c>
      <c r="P729" s="5" t="s">
        <v>91</v>
      </c>
      <c r="Q729" s="6"/>
      <c r="R729" s="6" t="s">
        <v>112</v>
      </c>
      <c r="S729" s="6"/>
      <c r="T729" s="6"/>
      <c r="U729" s="5"/>
      <c r="V729" s="6"/>
      <c r="W729" s="6" t="s">
        <v>502</v>
      </c>
      <c r="X729" s="6"/>
      <c r="Y729" s="22"/>
      <c r="Z729" s="6"/>
      <c r="AA729" s="21"/>
      <c r="AB729" s="23">
        <v>44102</v>
      </c>
      <c r="AC729" s="21" t="s">
        <v>32</v>
      </c>
      <c r="AD729" s="24" t="s">
        <v>1782</v>
      </c>
      <c r="AE729" s="6" t="s">
        <v>36</v>
      </c>
      <c r="AF729" s="6"/>
      <c r="AG729" s="6" t="s">
        <v>3040</v>
      </c>
    </row>
    <row r="730" spans="1:33" ht="15" customHeight="1" x14ac:dyDescent="0.25">
      <c r="A730" s="5">
        <v>41</v>
      </c>
      <c r="B730" s="38">
        <v>44109</v>
      </c>
      <c r="C730" s="38">
        <v>44095</v>
      </c>
      <c r="D730" s="38">
        <v>44088</v>
      </c>
      <c r="E730" s="28">
        <v>44109</v>
      </c>
      <c r="F730" s="5">
        <v>5685</v>
      </c>
      <c r="G730" s="5" t="s">
        <v>91</v>
      </c>
      <c r="H730" s="5" t="s">
        <v>40</v>
      </c>
      <c r="I730" s="5" t="s">
        <v>92</v>
      </c>
      <c r="J730" s="21" t="s">
        <v>131</v>
      </c>
      <c r="K730" s="21" t="s">
        <v>1787</v>
      </c>
      <c r="L730" s="6" t="s">
        <v>1774</v>
      </c>
      <c r="M730" s="5">
        <v>0</v>
      </c>
      <c r="N730" s="5" t="s">
        <v>91</v>
      </c>
      <c r="O730" s="5" t="s">
        <v>91</v>
      </c>
      <c r="P730" s="5" t="s">
        <v>91</v>
      </c>
      <c r="Q730" s="6" t="s">
        <v>105</v>
      </c>
      <c r="R730" s="6" t="s">
        <v>112</v>
      </c>
      <c r="S730" s="6"/>
      <c r="T730" s="6"/>
      <c r="U730" s="5"/>
      <c r="V730" s="6"/>
      <c r="W730" s="6" t="s">
        <v>183</v>
      </c>
      <c r="X730" s="6"/>
      <c r="Y730" s="22"/>
      <c r="Z730" s="6"/>
      <c r="AA730" s="21"/>
      <c r="AB730" s="23">
        <v>44102</v>
      </c>
      <c r="AC730" s="21" t="s">
        <v>33</v>
      </c>
      <c r="AD730" s="24" t="s">
        <v>1788</v>
      </c>
      <c r="AE730" s="6" t="s">
        <v>38</v>
      </c>
      <c r="AF730" s="6"/>
      <c r="AG730" s="6" t="s">
        <v>3041</v>
      </c>
    </row>
    <row r="731" spans="1:33" ht="7.5" customHeight="1" x14ac:dyDescent="0.25">
      <c r="A731" s="27"/>
      <c r="B731" s="39"/>
      <c r="C731" s="39"/>
      <c r="D731" s="39"/>
      <c r="E731" s="28"/>
      <c r="F731" s="27"/>
      <c r="G731" s="27"/>
      <c r="H731" s="27"/>
      <c r="I731" s="27"/>
      <c r="J731" s="30"/>
      <c r="K731" s="30"/>
      <c r="L731" s="29"/>
      <c r="M731" s="27"/>
      <c r="N731" s="27"/>
      <c r="O731" s="27"/>
      <c r="P731" s="27"/>
      <c r="Q731" s="29"/>
      <c r="R731" s="29"/>
      <c r="S731" s="29"/>
      <c r="T731" s="29"/>
      <c r="U731" s="27"/>
      <c r="V731" s="29"/>
      <c r="W731" s="29"/>
      <c r="X731" s="29"/>
      <c r="Y731" s="31"/>
      <c r="Z731" s="29"/>
      <c r="AA731" s="30"/>
      <c r="AB731" s="32"/>
      <c r="AC731" s="30"/>
      <c r="AD731" s="33"/>
      <c r="AE731" s="29"/>
      <c r="AF731" s="29"/>
      <c r="AG731" s="29"/>
    </row>
    <row r="732" spans="1:33" ht="15" customHeight="1" x14ac:dyDescent="0.25">
      <c r="A732" s="5">
        <v>40</v>
      </c>
      <c r="B732" s="38">
        <v>44104</v>
      </c>
      <c r="C732" s="38">
        <v>44095</v>
      </c>
      <c r="D732" s="38">
        <v>44075</v>
      </c>
      <c r="E732" s="36">
        <v>44104</v>
      </c>
      <c r="F732" s="5">
        <v>6722</v>
      </c>
      <c r="G732" s="5" t="s">
        <v>91</v>
      </c>
      <c r="H732" s="5" t="s">
        <v>43</v>
      </c>
      <c r="I732" s="5" t="s">
        <v>92</v>
      </c>
      <c r="J732" s="21" t="s">
        <v>191</v>
      </c>
      <c r="K732" s="21" t="s">
        <v>284</v>
      </c>
      <c r="L732" s="6" t="s">
        <v>285</v>
      </c>
      <c r="M732" s="5">
        <v>0</v>
      </c>
      <c r="N732" s="5" t="s">
        <v>91</v>
      </c>
      <c r="O732" s="5" t="s">
        <v>91</v>
      </c>
      <c r="P732" s="5" t="s">
        <v>91</v>
      </c>
      <c r="Q732" s="6" t="s">
        <v>96</v>
      </c>
      <c r="R732" s="6" t="s">
        <v>194</v>
      </c>
      <c r="S732" s="6"/>
      <c r="T732" s="6"/>
      <c r="U732" s="5"/>
      <c r="V732" s="6"/>
      <c r="W732" s="6" t="s">
        <v>286</v>
      </c>
      <c r="X732" s="6"/>
      <c r="Y732" s="22"/>
      <c r="Z732" s="6">
        <v>0</v>
      </c>
      <c r="AA732" s="21"/>
      <c r="AB732" s="23">
        <v>44078</v>
      </c>
      <c r="AC732" s="21" t="s">
        <v>32</v>
      </c>
      <c r="AD732" s="24" t="s">
        <v>115</v>
      </c>
      <c r="AE732" s="6" t="s">
        <v>36</v>
      </c>
      <c r="AF732" s="6"/>
      <c r="AG732" s="6" t="s">
        <v>3040</v>
      </c>
    </row>
    <row r="733" spans="1:33" ht="7.5" customHeight="1" x14ac:dyDescent="0.25">
      <c r="A733" s="27"/>
      <c r="B733" s="39"/>
      <c r="C733" s="39"/>
      <c r="D733" s="39"/>
      <c r="E733" s="28"/>
      <c r="F733" s="27"/>
      <c r="G733" s="27"/>
      <c r="H733" s="27"/>
      <c r="I733" s="27"/>
      <c r="J733" s="30"/>
      <c r="K733" s="30"/>
      <c r="L733" s="29"/>
      <c r="M733" s="27"/>
      <c r="N733" s="27"/>
      <c r="O733" s="27"/>
      <c r="P733" s="27"/>
      <c r="Q733" s="29"/>
      <c r="R733" s="29"/>
      <c r="S733" s="29"/>
      <c r="T733" s="29"/>
      <c r="U733" s="27"/>
      <c r="V733" s="29"/>
      <c r="W733" s="29"/>
      <c r="X733" s="29"/>
      <c r="Y733" s="31"/>
      <c r="Z733" s="29"/>
      <c r="AA733" s="30"/>
      <c r="AB733" s="32"/>
      <c r="AC733" s="30"/>
      <c r="AD733" s="33"/>
      <c r="AE733" s="29"/>
      <c r="AF733" s="29"/>
      <c r="AG733" s="29"/>
    </row>
    <row r="734" spans="1:33" ht="15" customHeight="1" x14ac:dyDescent="0.25">
      <c r="A734" s="5">
        <v>41</v>
      </c>
      <c r="B734" s="38">
        <v>44109</v>
      </c>
      <c r="C734" s="38">
        <v>44095</v>
      </c>
      <c r="D734" s="38">
        <v>44088</v>
      </c>
      <c r="E734" s="28">
        <v>44109</v>
      </c>
      <c r="F734" s="5">
        <v>6726</v>
      </c>
      <c r="G734" s="5" t="s">
        <v>91</v>
      </c>
      <c r="H734" s="5" t="s">
        <v>43</v>
      </c>
      <c r="I734" s="5" t="s">
        <v>92</v>
      </c>
      <c r="J734" s="21" t="s">
        <v>191</v>
      </c>
      <c r="K734" s="21" t="s">
        <v>1793</v>
      </c>
      <c r="L734" s="6" t="s">
        <v>1794</v>
      </c>
      <c r="M734" s="5">
        <v>12</v>
      </c>
      <c r="N734" s="5" t="s">
        <v>91</v>
      </c>
      <c r="O734" s="5" t="s">
        <v>91</v>
      </c>
      <c r="P734" s="5" t="s">
        <v>91</v>
      </c>
      <c r="Q734" s="6" t="s">
        <v>105</v>
      </c>
      <c r="R734" s="6" t="s">
        <v>194</v>
      </c>
      <c r="S734" s="6"/>
      <c r="T734" s="6"/>
      <c r="U734" s="5"/>
      <c r="V734" s="6"/>
      <c r="W734" s="6" t="s">
        <v>580</v>
      </c>
      <c r="X734" s="6"/>
      <c r="Y734" s="22"/>
      <c r="Z734" s="6">
        <v>3</v>
      </c>
      <c r="AA734" s="21"/>
      <c r="AB734" s="23">
        <v>44083</v>
      </c>
      <c r="AC734" s="21" t="s">
        <v>33</v>
      </c>
      <c r="AD734" s="24" t="s">
        <v>1795</v>
      </c>
      <c r="AE734" s="6" t="s">
        <v>35</v>
      </c>
      <c r="AF734" s="6"/>
      <c r="AG734" s="6" t="s">
        <v>3039</v>
      </c>
    </row>
    <row r="735" spans="1:33" ht="7.5" customHeight="1" x14ac:dyDescent="0.25">
      <c r="A735" s="27"/>
      <c r="B735" s="39"/>
      <c r="C735" s="39"/>
      <c r="D735" s="39"/>
      <c r="E735" s="28"/>
      <c r="F735" s="27"/>
      <c r="G735" s="27"/>
      <c r="H735" s="27"/>
      <c r="I735" s="27"/>
      <c r="J735" s="30"/>
      <c r="K735" s="30"/>
      <c r="L735" s="29"/>
      <c r="M735" s="27"/>
      <c r="N735" s="27"/>
      <c r="O735" s="27"/>
      <c r="P735" s="27"/>
      <c r="Q735" s="29"/>
      <c r="R735" s="29"/>
      <c r="S735" s="29"/>
      <c r="T735" s="29"/>
      <c r="U735" s="27"/>
      <c r="V735" s="29"/>
      <c r="W735" s="29"/>
      <c r="X735" s="29"/>
      <c r="Y735" s="31"/>
      <c r="Z735" s="29"/>
      <c r="AA735" s="30"/>
      <c r="AB735" s="32"/>
      <c r="AC735" s="30"/>
      <c r="AD735" s="33"/>
      <c r="AE735" s="29"/>
      <c r="AF735" s="29"/>
      <c r="AG735" s="29"/>
    </row>
    <row r="736" spans="1:33" ht="15" customHeight="1" x14ac:dyDescent="0.25">
      <c r="A736" s="5">
        <v>42</v>
      </c>
      <c r="B736" s="38">
        <v>44116</v>
      </c>
      <c r="C736" s="38">
        <v>44095</v>
      </c>
      <c r="D736" s="38">
        <v>44088</v>
      </c>
      <c r="E736" s="37">
        <v>44116</v>
      </c>
      <c r="F736" s="5">
        <v>6728</v>
      </c>
      <c r="G736" s="5" t="s">
        <v>91</v>
      </c>
      <c r="H736" s="5" t="s">
        <v>41</v>
      </c>
      <c r="I736" s="5" t="s">
        <v>92</v>
      </c>
      <c r="J736" s="21" t="s">
        <v>191</v>
      </c>
      <c r="K736" s="21" t="s">
        <v>1928</v>
      </c>
      <c r="L736" s="6" t="s">
        <v>1929</v>
      </c>
      <c r="M736" s="5">
        <v>6</v>
      </c>
      <c r="N736" s="5" t="s">
        <v>91</v>
      </c>
      <c r="O736" s="5" t="s">
        <v>91</v>
      </c>
      <c r="P736" s="5" t="s">
        <v>91</v>
      </c>
      <c r="Q736" s="6" t="s">
        <v>105</v>
      </c>
      <c r="R736" s="6" t="s">
        <v>194</v>
      </c>
      <c r="S736" s="6"/>
      <c r="T736" s="6"/>
      <c r="U736" s="5"/>
      <c r="V736" s="6"/>
      <c r="W736" s="6" t="s">
        <v>672</v>
      </c>
      <c r="X736" s="6"/>
      <c r="Y736" s="22"/>
      <c r="Z736" s="6">
        <v>1</v>
      </c>
      <c r="AA736" s="21"/>
      <c r="AB736" s="23">
        <v>44089</v>
      </c>
      <c r="AC736" s="21" t="s">
        <v>30</v>
      </c>
      <c r="AD736" s="24" t="s">
        <v>1930</v>
      </c>
      <c r="AE736" s="6" t="s">
        <v>37</v>
      </c>
      <c r="AF736" s="6"/>
      <c r="AG736" s="6" t="s">
        <v>3040</v>
      </c>
    </row>
    <row r="737" spans="1:33" ht="7.5" customHeight="1" x14ac:dyDescent="0.25">
      <c r="A737" s="27"/>
      <c r="B737" s="39"/>
      <c r="C737" s="39"/>
      <c r="D737" s="39"/>
      <c r="E737" s="28"/>
      <c r="F737" s="27"/>
      <c r="G737" s="27"/>
      <c r="H737" s="27"/>
      <c r="I737" s="27"/>
      <c r="J737" s="30"/>
      <c r="K737" s="30"/>
      <c r="L737" s="29"/>
      <c r="M737" s="27"/>
      <c r="N737" s="27"/>
      <c r="O737" s="27"/>
      <c r="P737" s="27"/>
      <c r="Q737" s="29"/>
      <c r="R737" s="29"/>
      <c r="S737" s="29"/>
      <c r="T737" s="29"/>
      <c r="U737" s="27"/>
      <c r="V737" s="29"/>
      <c r="W737" s="29"/>
      <c r="X737" s="29"/>
      <c r="Y737" s="31"/>
      <c r="Z737" s="29"/>
      <c r="AA737" s="30"/>
      <c r="AB737" s="32"/>
      <c r="AC737" s="30"/>
      <c r="AD737" s="33"/>
      <c r="AE737" s="29"/>
      <c r="AF737" s="29"/>
      <c r="AG737" s="29"/>
    </row>
    <row r="738" spans="1:33" ht="15" customHeight="1" x14ac:dyDescent="0.25">
      <c r="A738" s="5">
        <v>41</v>
      </c>
      <c r="B738" s="38">
        <v>44109</v>
      </c>
      <c r="C738" s="38">
        <v>44095</v>
      </c>
      <c r="D738" s="38">
        <v>44088</v>
      </c>
      <c r="E738" s="28">
        <v>44109</v>
      </c>
      <c r="F738" s="5">
        <v>7785</v>
      </c>
      <c r="G738" s="5" t="s">
        <v>91</v>
      </c>
      <c r="H738" s="5" t="s">
        <v>43</v>
      </c>
      <c r="I738" s="5" t="s">
        <v>92</v>
      </c>
      <c r="J738" s="21" t="s">
        <v>214</v>
      </c>
      <c r="K738" s="21" t="s">
        <v>1803</v>
      </c>
      <c r="L738" s="6" t="s">
        <v>1804</v>
      </c>
      <c r="M738" s="5">
        <v>9</v>
      </c>
      <c r="N738" s="5" t="s">
        <v>91</v>
      </c>
      <c r="O738" s="5" t="s">
        <v>91</v>
      </c>
      <c r="P738" s="5" t="s">
        <v>91</v>
      </c>
      <c r="Q738" s="6"/>
      <c r="R738" s="6" t="s">
        <v>223</v>
      </c>
      <c r="S738" s="6"/>
      <c r="T738" s="6"/>
      <c r="U738" s="5"/>
      <c r="V738" s="6" t="s">
        <v>1805</v>
      </c>
      <c r="W738" s="6" t="s">
        <v>1806</v>
      </c>
      <c r="X738" s="6">
        <v>276330807</v>
      </c>
      <c r="Y738" s="22"/>
      <c r="Z738" s="6">
        <v>3.3</v>
      </c>
      <c r="AA738" s="21" t="s">
        <v>1807</v>
      </c>
      <c r="AB738" s="23">
        <v>44089</v>
      </c>
      <c r="AC738" s="21" t="s">
        <v>30</v>
      </c>
      <c r="AD738" s="24" t="s">
        <v>1808</v>
      </c>
      <c r="AE738" s="6" t="s">
        <v>37</v>
      </c>
      <c r="AF738" s="6"/>
      <c r="AG738" s="6" t="s">
        <v>3042</v>
      </c>
    </row>
    <row r="739" spans="1:33" ht="7.5" customHeight="1" x14ac:dyDescent="0.25">
      <c r="A739" s="27"/>
      <c r="B739" s="39"/>
      <c r="C739" s="39"/>
      <c r="D739" s="39"/>
      <c r="E739" s="28"/>
      <c r="F739" s="27"/>
      <c r="G739" s="27"/>
      <c r="H739" s="27"/>
      <c r="I739" s="27"/>
      <c r="J739" s="30"/>
      <c r="K739" s="30"/>
      <c r="L739" s="29"/>
      <c r="M739" s="27"/>
      <c r="N739" s="27"/>
      <c r="O739" s="27"/>
      <c r="P739" s="27"/>
      <c r="Q739" s="29"/>
      <c r="R739" s="29"/>
      <c r="S739" s="29"/>
      <c r="T739" s="29"/>
      <c r="U739" s="27"/>
      <c r="V739" s="29"/>
      <c r="W739" s="29"/>
      <c r="X739" s="29"/>
      <c r="Y739" s="31"/>
      <c r="Z739" s="29"/>
      <c r="AA739" s="30"/>
      <c r="AB739" s="32"/>
      <c r="AC739" s="30"/>
      <c r="AD739" s="33"/>
      <c r="AE739" s="29"/>
      <c r="AF739" s="29"/>
      <c r="AG739" s="29"/>
    </row>
    <row r="740" spans="1:33" ht="15" customHeight="1" x14ac:dyDescent="0.25">
      <c r="A740" s="5">
        <v>40</v>
      </c>
      <c r="B740" s="38">
        <v>44104</v>
      </c>
      <c r="C740" s="38">
        <v>44095</v>
      </c>
      <c r="D740" s="38">
        <v>44089</v>
      </c>
      <c r="E740" s="36">
        <v>44104</v>
      </c>
      <c r="F740" s="5">
        <v>8757</v>
      </c>
      <c r="G740" s="5" t="s">
        <v>91</v>
      </c>
      <c r="H740" s="5" t="s">
        <v>43</v>
      </c>
      <c r="I740" s="5" t="s">
        <v>92</v>
      </c>
      <c r="J740" s="21" t="s">
        <v>147</v>
      </c>
      <c r="K740" s="21" t="s">
        <v>287</v>
      </c>
      <c r="L740" s="6" t="s">
        <v>288</v>
      </c>
      <c r="M740" s="5">
        <v>20</v>
      </c>
      <c r="N740" s="5" t="s">
        <v>91</v>
      </c>
      <c r="O740" s="5" t="s">
        <v>91</v>
      </c>
      <c r="P740" s="5" t="s">
        <v>91</v>
      </c>
      <c r="Q740" s="6"/>
      <c r="R740" s="6" t="s">
        <v>289</v>
      </c>
      <c r="S740" s="6"/>
      <c r="T740" s="6"/>
      <c r="U740" s="5"/>
      <c r="V740" s="6" t="s">
        <v>290</v>
      </c>
      <c r="W740" s="6" t="s">
        <v>291</v>
      </c>
      <c r="X740" s="6"/>
      <c r="Y740" s="22"/>
      <c r="Z740" s="6"/>
      <c r="AA740" s="21"/>
      <c r="AB740" s="23">
        <v>44071</v>
      </c>
      <c r="AC740" s="21" t="s">
        <v>32</v>
      </c>
      <c r="AD740" s="24" t="s">
        <v>292</v>
      </c>
      <c r="AE740" s="6" t="s">
        <v>31</v>
      </c>
      <c r="AF740" s="6"/>
      <c r="AG740" s="6" t="s">
        <v>3041</v>
      </c>
    </row>
    <row r="741" spans="1:33" ht="15" customHeight="1" x14ac:dyDescent="0.25">
      <c r="A741" s="5">
        <v>40</v>
      </c>
      <c r="B741" s="38">
        <v>44104</v>
      </c>
      <c r="C741" s="38">
        <v>44095</v>
      </c>
      <c r="D741" s="38">
        <v>44096</v>
      </c>
      <c r="E741" s="36">
        <v>44104</v>
      </c>
      <c r="F741" s="5">
        <v>8759</v>
      </c>
      <c r="G741" s="5" t="s">
        <v>91</v>
      </c>
      <c r="H741" s="5" t="s">
        <v>43</v>
      </c>
      <c r="I741" s="5" t="s">
        <v>92</v>
      </c>
      <c r="J741" s="21" t="s">
        <v>147</v>
      </c>
      <c r="K741" s="21" t="s">
        <v>293</v>
      </c>
      <c r="L741" s="6" t="s">
        <v>294</v>
      </c>
      <c r="M741" s="5">
        <v>24</v>
      </c>
      <c r="N741" s="5" t="s">
        <v>91</v>
      </c>
      <c r="O741" s="5" t="s">
        <v>91</v>
      </c>
      <c r="P741" s="5" t="s">
        <v>91</v>
      </c>
      <c r="Q741" s="6"/>
      <c r="R741" s="6" t="s">
        <v>295</v>
      </c>
      <c r="S741" s="6"/>
      <c r="T741" s="6"/>
      <c r="U741" s="5"/>
      <c r="V741" s="6" t="s">
        <v>290</v>
      </c>
      <c r="W741" s="6" t="s">
        <v>296</v>
      </c>
      <c r="X741" s="6"/>
      <c r="Y741" s="22"/>
      <c r="Z741" s="6"/>
      <c r="AA741" s="21"/>
      <c r="AB741" s="23">
        <v>44071</v>
      </c>
      <c r="AC741" s="21" t="s">
        <v>33</v>
      </c>
      <c r="AD741" s="24" t="s">
        <v>292</v>
      </c>
      <c r="AE741" s="6" t="s">
        <v>31</v>
      </c>
      <c r="AF741" s="6"/>
      <c r="AG741" s="6" t="s">
        <v>3042</v>
      </c>
    </row>
    <row r="742" spans="1:33" ht="7.5" customHeight="1" x14ac:dyDescent="0.25">
      <c r="A742" s="27"/>
      <c r="B742" s="39"/>
      <c r="C742" s="39"/>
      <c r="D742" s="39"/>
      <c r="E742" s="28"/>
      <c r="F742" s="27"/>
      <c r="G742" s="27"/>
      <c r="H742" s="27"/>
      <c r="I742" s="27"/>
      <c r="J742" s="30"/>
      <c r="K742" s="30"/>
      <c r="L742" s="29"/>
      <c r="M742" s="27"/>
      <c r="N742" s="27"/>
      <c r="O742" s="27"/>
      <c r="P742" s="27"/>
      <c r="Q742" s="29"/>
      <c r="R742" s="29"/>
      <c r="S742" s="29"/>
      <c r="T742" s="29"/>
      <c r="U742" s="27"/>
      <c r="V742" s="29"/>
      <c r="W742" s="29"/>
      <c r="X742" s="29"/>
      <c r="Y742" s="31"/>
      <c r="Z742" s="29"/>
      <c r="AA742" s="30"/>
      <c r="AB742" s="32"/>
      <c r="AC742" s="30"/>
      <c r="AD742" s="33"/>
      <c r="AE742" s="29"/>
      <c r="AF742" s="29"/>
      <c r="AG742" s="29"/>
    </row>
    <row r="743" spans="1:33" ht="15" customHeight="1" x14ac:dyDescent="0.25">
      <c r="A743" s="5">
        <v>42</v>
      </c>
      <c r="B743" s="38">
        <v>44117</v>
      </c>
      <c r="C743" s="38">
        <v>44096</v>
      </c>
      <c r="D743" s="38">
        <v>44089</v>
      </c>
      <c r="E743" s="37">
        <v>44117</v>
      </c>
      <c r="F743" s="5">
        <v>3093</v>
      </c>
      <c r="G743" s="5" t="s">
        <v>91</v>
      </c>
      <c r="H743" s="5" t="s">
        <v>40</v>
      </c>
      <c r="I743" s="5" t="s">
        <v>92</v>
      </c>
      <c r="J743" s="21" t="s">
        <v>93</v>
      </c>
      <c r="K743" s="21" t="s">
        <v>1954</v>
      </c>
      <c r="L743" s="6" t="s">
        <v>1955</v>
      </c>
      <c r="M743" s="5">
        <v>4</v>
      </c>
      <c r="N743" s="5" t="s">
        <v>91</v>
      </c>
      <c r="O743" s="5" t="s">
        <v>91</v>
      </c>
      <c r="P743" s="5" t="s">
        <v>91</v>
      </c>
      <c r="Q743" s="6" t="s">
        <v>105</v>
      </c>
      <c r="R743" s="6" t="s">
        <v>264</v>
      </c>
      <c r="S743" s="6" t="s">
        <v>244</v>
      </c>
      <c r="T743" s="6"/>
      <c r="U743" s="5"/>
      <c r="V743" s="6"/>
      <c r="W743" s="6" t="s">
        <v>1956</v>
      </c>
      <c r="X743" s="6" t="s">
        <v>1957</v>
      </c>
      <c r="Y743" s="22"/>
      <c r="Z743" s="6"/>
      <c r="AA743" s="21">
        <v>10190</v>
      </c>
      <c r="AB743" s="23">
        <v>44096</v>
      </c>
      <c r="AC743" s="21" t="s">
        <v>30</v>
      </c>
      <c r="AD743" s="24" t="s">
        <v>1958</v>
      </c>
      <c r="AE743" s="6" t="s">
        <v>36</v>
      </c>
      <c r="AF743" s="6"/>
      <c r="AG743" s="6" t="s">
        <v>3042</v>
      </c>
    </row>
    <row r="744" spans="1:33" ht="7.5" customHeight="1" x14ac:dyDescent="0.25">
      <c r="A744" s="27"/>
      <c r="B744" s="39"/>
      <c r="C744" s="39"/>
      <c r="D744" s="39"/>
      <c r="E744" s="28"/>
      <c r="F744" s="27"/>
      <c r="G744" s="27"/>
      <c r="H744" s="27"/>
      <c r="I744" s="27"/>
      <c r="J744" s="30"/>
      <c r="K744" s="30"/>
      <c r="L744" s="29"/>
      <c r="M744" s="27"/>
      <c r="N744" s="27"/>
      <c r="O744" s="27"/>
      <c r="P744" s="27"/>
      <c r="Q744" s="29"/>
      <c r="R744" s="29"/>
      <c r="S744" s="29"/>
      <c r="T744" s="29"/>
      <c r="U744" s="27"/>
      <c r="V744" s="29"/>
      <c r="W744" s="29"/>
      <c r="X744" s="29"/>
      <c r="Y744" s="31"/>
      <c r="Z744" s="29"/>
      <c r="AA744" s="30"/>
      <c r="AB744" s="32"/>
      <c r="AC744" s="30"/>
      <c r="AD744" s="33"/>
      <c r="AE744" s="29"/>
      <c r="AF744" s="29"/>
      <c r="AG744" s="29"/>
    </row>
    <row r="745" spans="1:33" ht="15" customHeight="1" x14ac:dyDescent="0.25">
      <c r="A745" s="5">
        <v>40</v>
      </c>
      <c r="B745" s="38">
        <v>44105</v>
      </c>
      <c r="C745" s="38">
        <v>44096</v>
      </c>
      <c r="D745" s="38">
        <v>44056</v>
      </c>
      <c r="E745" s="36">
        <v>44105</v>
      </c>
      <c r="F745" s="5">
        <v>4820</v>
      </c>
      <c r="G745" s="5" t="s">
        <v>91</v>
      </c>
      <c r="H745" s="5" t="s">
        <v>41</v>
      </c>
      <c r="I745" s="5" t="s">
        <v>92</v>
      </c>
      <c r="J745" s="21" t="s">
        <v>109</v>
      </c>
      <c r="K745" s="21" t="s">
        <v>494</v>
      </c>
      <c r="L745" s="6" t="s">
        <v>1741</v>
      </c>
      <c r="M745" s="5">
        <v>0</v>
      </c>
      <c r="N745" s="5" t="s">
        <v>91</v>
      </c>
      <c r="O745" s="5" t="s">
        <v>91</v>
      </c>
      <c r="P745" s="5" t="s">
        <v>91</v>
      </c>
      <c r="Q745" s="6"/>
      <c r="R745" s="6" t="s">
        <v>112</v>
      </c>
      <c r="S745" s="6"/>
      <c r="T745" s="6"/>
      <c r="U745" s="5"/>
      <c r="V745" s="6"/>
      <c r="W745" s="6" t="s">
        <v>1742</v>
      </c>
      <c r="X745" s="6"/>
      <c r="Y745" s="22"/>
      <c r="Z745" s="6">
        <v>0</v>
      </c>
      <c r="AA745" s="21">
        <v>15435</v>
      </c>
      <c r="AB745" s="23">
        <v>44063</v>
      </c>
      <c r="AC745" s="21" t="s">
        <v>32</v>
      </c>
      <c r="AD745" s="24" t="s">
        <v>1743</v>
      </c>
      <c r="AE745" s="6" t="s">
        <v>31</v>
      </c>
      <c r="AF745" s="6"/>
      <c r="AG745" s="6" t="s">
        <v>3042</v>
      </c>
    </row>
    <row r="746" spans="1:33" ht="7.5" customHeight="1" x14ac:dyDescent="0.25">
      <c r="A746" s="27"/>
      <c r="B746" s="39"/>
      <c r="C746" s="39"/>
      <c r="D746" s="39"/>
      <c r="E746" s="28"/>
      <c r="F746" s="27"/>
      <c r="G746" s="27"/>
      <c r="H746" s="27"/>
      <c r="I746" s="27"/>
      <c r="J746" s="30"/>
      <c r="K746" s="30"/>
      <c r="L746" s="29"/>
      <c r="M746" s="27"/>
      <c r="N746" s="27"/>
      <c r="O746" s="27"/>
      <c r="P746" s="27"/>
      <c r="Q746" s="29"/>
      <c r="R746" s="29"/>
      <c r="S746" s="29"/>
      <c r="T746" s="29"/>
      <c r="U746" s="27"/>
      <c r="V746" s="29"/>
      <c r="W746" s="29"/>
      <c r="X746" s="29"/>
      <c r="Y746" s="31"/>
      <c r="Z746" s="29"/>
      <c r="AA746" s="30"/>
      <c r="AB746" s="32"/>
      <c r="AC746" s="30"/>
      <c r="AD746" s="33"/>
      <c r="AE746" s="29"/>
      <c r="AF746" s="29"/>
      <c r="AG746" s="29"/>
    </row>
    <row r="747" spans="1:33" ht="15" customHeight="1" x14ac:dyDescent="0.25">
      <c r="A747" s="5">
        <v>41</v>
      </c>
      <c r="B747" s="38">
        <v>44111</v>
      </c>
      <c r="C747" s="38">
        <v>44097</v>
      </c>
      <c r="D747" s="38">
        <v>44090</v>
      </c>
      <c r="E747" s="28">
        <v>44111</v>
      </c>
      <c r="F747" s="5">
        <v>10693</v>
      </c>
      <c r="G747" s="5" t="s">
        <v>91</v>
      </c>
      <c r="H747" s="5" t="s">
        <v>43</v>
      </c>
      <c r="I747" s="5" t="s">
        <v>92</v>
      </c>
      <c r="J747" s="21" t="s">
        <v>170</v>
      </c>
      <c r="K747" s="21" t="s">
        <v>1835</v>
      </c>
      <c r="L747" s="6" t="s">
        <v>1836</v>
      </c>
      <c r="M747" s="5">
        <v>11</v>
      </c>
      <c r="N747" s="5" t="s">
        <v>91</v>
      </c>
      <c r="O747" s="5" t="s">
        <v>91</v>
      </c>
      <c r="P747" s="5" t="s">
        <v>91</v>
      </c>
      <c r="Q747" s="6" t="s">
        <v>96</v>
      </c>
      <c r="R747" s="6" t="s">
        <v>112</v>
      </c>
      <c r="S747" s="6"/>
      <c r="T747" s="6"/>
      <c r="U747" s="5"/>
      <c r="V747" s="6"/>
      <c r="W747" s="6" t="s">
        <v>1832</v>
      </c>
      <c r="X747" s="6" t="s">
        <v>251</v>
      </c>
      <c r="Y747" s="22"/>
      <c r="Z747" s="6">
        <v>4.5999999999999996</v>
      </c>
      <c r="AA747" s="21" t="s">
        <v>1837</v>
      </c>
      <c r="AB747" s="23">
        <v>44089</v>
      </c>
      <c r="AC747" s="21" t="s">
        <v>30</v>
      </c>
      <c r="AD747" s="24" t="s">
        <v>1838</v>
      </c>
      <c r="AE747" s="6" t="s">
        <v>31</v>
      </c>
      <c r="AF747" s="6"/>
      <c r="AG747" s="6" t="s">
        <v>3040</v>
      </c>
    </row>
    <row r="748" spans="1:33" ht="15" customHeight="1" x14ac:dyDescent="0.25">
      <c r="A748" s="5">
        <v>41</v>
      </c>
      <c r="B748" s="38">
        <v>44111</v>
      </c>
      <c r="C748" s="38">
        <v>44097</v>
      </c>
      <c r="D748" s="38">
        <v>44090</v>
      </c>
      <c r="E748" s="28">
        <v>44111</v>
      </c>
      <c r="F748" s="5">
        <v>10695</v>
      </c>
      <c r="G748" s="5" t="s">
        <v>91</v>
      </c>
      <c r="H748" s="5" t="s">
        <v>41</v>
      </c>
      <c r="I748" s="5" t="s">
        <v>92</v>
      </c>
      <c r="J748" s="21" t="s">
        <v>170</v>
      </c>
      <c r="K748" s="21" t="s">
        <v>1839</v>
      </c>
      <c r="L748" s="6" t="s">
        <v>1840</v>
      </c>
      <c r="M748" s="5">
        <v>14</v>
      </c>
      <c r="N748" s="5" t="s">
        <v>91</v>
      </c>
      <c r="O748" s="5" t="s">
        <v>91</v>
      </c>
      <c r="P748" s="5" t="s">
        <v>91</v>
      </c>
      <c r="Q748" s="6" t="s">
        <v>105</v>
      </c>
      <c r="R748" s="6" t="s">
        <v>123</v>
      </c>
      <c r="S748" s="6"/>
      <c r="T748" s="6"/>
      <c r="U748" s="5"/>
      <c r="V748" s="6"/>
      <c r="W748" s="6" t="s">
        <v>1841</v>
      </c>
      <c r="X748" s="6" t="s">
        <v>1842</v>
      </c>
      <c r="Y748" s="22"/>
      <c r="Z748" s="6">
        <v>5.4</v>
      </c>
      <c r="AA748" s="21" t="s">
        <v>1843</v>
      </c>
      <c r="AB748" s="23">
        <v>44091</v>
      </c>
      <c r="AC748" s="21" t="s">
        <v>32</v>
      </c>
      <c r="AD748" s="24" t="s">
        <v>1844</v>
      </c>
      <c r="AE748" s="6" t="s">
        <v>31</v>
      </c>
      <c r="AF748" s="6"/>
      <c r="AG748" s="6" t="s">
        <v>3041</v>
      </c>
    </row>
    <row r="749" spans="1:33" ht="15" customHeight="1" x14ac:dyDescent="0.25">
      <c r="A749" s="5">
        <v>41</v>
      </c>
      <c r="B749" s="38">
        <v>44111</v>
      </c>
      <c r="C749" s="38">
        <v>44097</v>
      </c>
      <c r="D749" s="38">
        <v>44090</v>
      </c>
      <c r="E749" s="28">
        <v>44111</v>
      </c>
      <c r="F749" s="5">
        <v>3085</v>
      </c>
      <c r="G749" s="5" t="s">
        <v>91</v>
      </c>
      <c r="H749" s="5" t="s">
        <v>41</v>
      </c>
      <c r="I749" s="5" t="s">
        <v>92</v>
      </c>
      <c r="J749" s="21" t="s">
        <v>93</v>
      </c>
      <c r="K749" s="21" t="s">
        <v>1845</v>
      </c>
      <c r="L749" s="6" t="s">
        <v>306</v>
      </c>
      <c r="M749" s="5">
        <v>13</v>
      </c>
      <c r="N749" s="5" t="s">
        <v>91</v>
      </c>
      <c r="O749" s="5" t="s">
        <v>91</v>
      </c>
      <c r="P749" s="5" t="s">
        <v>91</v>
      </c>
      <c r="Q749" s="6"/>
      <c r="R749" s="6" t="s">
        <v>1506</v>
      </c>
      <c r="S749" s="6" t="s">
        <v>265</v>
      </c>
      <c r="T749" s="6"/>
      <c r="U749" s="5"/>
      <c r="V749" s="6" t="s">
        <v>266</v>
      </c>
      <c r="W749" s="6" t="s">
        <v>1846</v>
      </c>
      <c r="X749" s="6" t="s">
        <v>1847</v>
      </c>
      <c r="Y749" s="22"/>
      <c r="Z749" s="6"/>
      <c r="AA749" s="21">
        <v>10173</v>
      </c>
      <c r="AB749" s="23">
        <v>44090</v>
      </c>
      <c r="AC749" s="21" t="s">
        <v>30</v>
      </c>
      <c r="AD749" s="24" t="s">
        <v>1848</v>
      </c>
      <c r="AE749" s="6" t="s">
        <v>36</v>
      </c>
      <c r="AF749" s="6"/>
      <c r="AG749" s="6" t="s">
        <v>3042</v>
      </c>
    </row>
    <row r="750" spans="1:33" ht="15" customHeight="1" x14ac:dyDescent="0.25">
      <c r="A750" s="5">
        <v>41</v>
      </c>
      <c r="B750" s="38">
        <v>44111</v>
      </c>
      <c r="C750" s="38">
        <v>44097</v>
      </c>
      <c r="D750" s="38">
        <v>44090</v>
      </c>
      <c r="E750" s="28">
        <v>44111</v>
      </c>
      <c r="F750" s="5">
        <v>3109</v>
      </c>
      <c r="G750" s="5" t="s">
        <v>91</v>
      </c>
      <c r="H750" s="5" t="s">
        <v>41</v>
      </c>
      <c r="I750" s="5" t="s">
        <v>92</v>
      </c>
      <c r="J750" s="21" t="s">
        <v>93</v>
      </c>
      <c r="K750" s="21" t="s">
        <v>1849</v>
      </c>
      <c r="L750" s="6" t="s">
        <v>1850</v>
      </c>
      <c r="M750" s="5">
        <v>0</v>
      </c>
      <c r="N750" s="5" t="s">
        <v>91</v>
      </c>
      <c r="O750" s="5" t="s">
        <v>91</v>
      </c>
      <c r="P750" s="5" t="s">
        <v>91</v>
      </c>
      <c r="Q750" s="6" t="s">
        <v>105</v>
      </c>
      <c r="R750" s="6" t="s">
        <v>106</v>
      </c>
      <c r="S750" s="6"/>
      <c r="T750" s="6"/>
      <c r="U750" s="5"/>
      <c r="V750" s="6" t="s">
        <v>1851</v>
      </c>
      <c r="W750" s="6" t="s">
        <v>106</v>
      </c>
      <c r="X750" s="6"/>
      <c r="Y750" s="22"/>
      <c r="Z750" s="6"/>
      <c r="AA750" s="21"/>
      <c r="AB750" s="23">
        <v>44109</v>
      </c>
      <c r="AC750" s="21" t="s">
        <v>32</v>
      </c>
      <c r="AD750" s="24" t="s">
        <v>1852</v>
      </c>
      <c r="AE750" s="6" t="s">
        <v>31</v>
      </c>
      <c r="AF750" s="6"/>
      <c r="AG750" s="6" t="s">
        <v>3039</v>
      </c>
    </row>
    <row r="751" spans="1:33" ht="15" customHeight="1" x14ac:dyDescent="0.25">
      <c r="A751" s="5">
        <v>41</v>
      </c>
      <c r="B751" s="38">
        <v>44111</v>
      </c>
      <c r="C751" s="38">
        <v>44097</v>
      </c>
      <c r="D751" s="38">
        <v>44090</v>
      </c>
      <c r="E751" s="28">
        <v>44111</v>
      </c>
      <c r="F751" s="5">
        <v>4837</v>
      </c>
      <c r="G751" s="5" t="s">
        <v>91</v>
      </c>
      <c r="H751" s="5" t="s">
        <v>41</v>
      </c>
      <c r="I751" s="5" t="s">
        <v>92</v>
      </c>
      <c r="J751" s="21" t="s">
        <v>109</v>
      </c>
      <c r="K751" s="21" t="s">
        <v>1859</v>
      </c>
      <c r="L751" s="6" t="s">
        <v>1860</v>
      </c>
      <c r="M751" s="5">
        <v>4</v>
      </c>
      <c r="N751" s="5" t="s">
        <v>91</v>
      </c>
      <c r="O751" s="5" t="s">
        <v>91</v>
      </c>
      <c r="P751" s="5" t="s">
        <v>91</v>
      </c>
      <c r="Q751" s="6" t="s">
        <v>105</v>
      </c>
      <c r="R751" s="6" t="s">
        <v>112</v>
      </c>
      <c r="S751" s="6"/>
      <c r="T751" s="6"/>
      <c r="U751" s="5"/>
      <c r="V751" s="6"/>
      <c r="W751" s="6" t="s">
        <v>1861</v>
      </c>
      <c r="X751" s="6"/>
      <c r="Y751" s="22"/>
      <c r="Z751" s="6">
        <v>1</v>
      </c>
      <c r="AA751" s="21">
        <v>15537</v>
      </c>
      <c r="AB751" s="23">
        <v>44092</v>
      </c>
      <c r="AC751" s="21" t="s">
        <v>30</v>
      </c>
      <c r="AD751" s="24" t="s">
        <v>1862</v>
      </c>
      <c r="AE751" s="6" t="s">
        <v>31</v>
      </c>
      <c r="AF751" s="6"/>
      <c r="AG751" s="6" t="s">
        <v>3042</v>
      </c>
    </row>
    <row r="752" spans="1:33" ht="15" customHeight="1" x14ac:dyDescent="0.25">
      <c r="A752" s="5">
        <v>41</v>
      </c>
      <c r="B752" s="38">
        <v>44111</v>
      </c>
      <c r="C752" s="38">
        <v>44097</v>
      </c>
      <c r="D752" s="38">
        <v>44090</v>
      </c>
      <c r="E752" s="28">
        <v>44111</v>
      </c>
      <c r="F752" s="5">
        <v>4841</v>
      </c>
      <c r="G752" s="5" t="s">
        <v>91</v>
      </c>
      <c r="H752" s="5" t="s">
        <v>43</v>
      </c>
      <c r="I752" s="5" t="s">
        <v>92</v>
      </c>
      <c r="J752" s="21" t="s">
        <v>109</v>
      </c>
      <c r="K752" s="21" t="s">
        <v>1863</v>
      </c>
      <c r="L752" s="6" t="s">
        <v>1864</v>
      </c>
      <c r="M752" s="5">
        <v>5</v>
      </c>
      <c r="N752" s="5" t="s">
        <v>91</v>
      </c>
      <c r="O752" s="5" t="s">
        <v>91</v>
      </c>
      <c r="P752" s="5" t="s">
        <v>91</v>
      </c>
      <c r="Q752" s="6" t="s">
        <v>105</v>
      </c>
      <c r="R752" s="6" t="s">
        <v>112</v>
      </c>
      <c r="S752" s="6"/>
      <c r="T752" s="6"/>
      <c r="U752" s="5"/>
      <c r="V752" s="6"/>
      <c r="W752" s="6" t="s">
        <v>1865</v>
      </c>
      <c r="X752" s="6"/>
      <c r="Y752" s="22"/>
      <c r="Z752" s="6">
        <v>1.6</v>
      </c>
      <c r="AA752" s="21">
        <v>15533</v>
      </c>
      <c r="AB752" s="23">
        <v>44098</v>
      </c>
      <c r="AC752" s="21" t="s">
        <v>32</v>
      </c>
      <c r="AD752" s="24" t="s">
        <v>1866</v>
      </c>
      <c r="AE752" s="6" t="s">
        <v>36</v>
      </c>
      <c r="AF752" s="6"/>
      <c r="AG752" s="6" t="s">
        <v>3039</v>
      </c>
    </row>
    <row r="753" spans="1:33" ht="15" customHeight="1" x14ac:dyDescent="0.25">
      <c r="A753" s="5">
        <v>41</v>
      </c>
      <c r="B753" s="38">
        <v>44111</v>
      </c>
      <c r="C753" s="38">
        <v>44097</v>
      </c>
      <c r="D753" s="38">
        <v>44090</v>
      </c>
      <c r="E753" s="28">
        <v>44111</v>
      </c>
      <c r="F753" s="5">
        <v>5672</v>
      </c>
      <c r="G753" s="5" t="s">
        <v>91</v>
      </c>
      <c r="H753" s="5" t="s">
        <v>43</v>
      </c>
      <c r="I753" s="5" t="s">
        <v>92</v>
      </c>
      <c r="J753" s="21" t="s">
        <v>131</v>
      </c>
      <c r="K753" s="21" t="s">
        <v>1869</v>
      </c>
      <c r="L753" s="6" t="s">
        <v>1870</v>
      </c>
      <c r="M753" s="5">
        <v>7</v>
      </c>
      <c r="N753" s="5" t="s">
        <v>91</v>
      </c>
      <c r="O753" s="5" t="s">
        <v>91</v>
      </c>
      <c r="P753" s="5" t="s">
        <v>91</v>
      </c>
      <c r="Q753" s="6" t="s">
        <v>105</v>
      </c>
      <c r="R753" s="6" t="s">
        <v>123</v>
      </c>
      <c r="S753" s="6"/>
      <c r="T753" s="6"/>
      <c r="U753" s="5"/>
      <c r="V753" s="6"/>
      <c r="W753" s="6" t="s">
        <v>429</v>
      </c>
      <c r="X753" s="6"/>
      <c r="Y753" s="22"/>
      <c r="Z753" s="6">
        <v>2</v>
      </c>
      <c r="AA753" s="21"/>
      <c r="AB753" s="23">
        <v>44092</v>
      </c>
      <c r="AC753" s="21" t="s">
        <v>30</v>
      </c>
      <c r="AD753" s="24" t="s">
        <v>1819</v>
      </c>
      <c r="AE753" s="6" t="s">
        <v>37</v>
      </c>
      <c r="AF753" s="6"/>
      <c r="AG753" s="6" t="s">
        <v>3041</v>
      </c>
    </row>
    <row r="754" spans="1:33" ht="15" customHeight="1" x14ac:dyDescent="0.25">
      <c r="A754" s="5">
        <v>41</v>
      </c>
      <c r="B754" s="38">
        <v>44111</v>
      </c>
      <c r="C754" s="38">
        <v>44097</v>
      </c>
      <c r="D754" s="38">
        <v>44090</v>
      </c>
      <c r="E754" s="28">
        <v>44111</v>
      </c>
      <c r="F754" s="5">
        <v>5673</v>
      </c>
      <c r="G754" s="5" t="s">
        <v>91</v>
      </c>
      <c r="H754" s="5" t="s">
        <v>41</v>
      </c>
      <c r="I754" s="5" t="s">
        <v>92</v>
      </c>
      <c r="J754" s="21" t="s">
        <v>131</v>
      </c>
      <c r="K754" s="21" t="s">
        <v>1871</v>
      </c>
      <c r="L754" s="6" t="s">
        <v>722</v>
      </c>
      <c r="M754" s="5">
        <v>13</v>
      </c>
      <c r="N754" s="5" t="s">
        <v>91</v>
      </c>
      <c r="O754" s="5" t="s">
        <v>91</v>
      </c>
      <c r="P754" s="5" t="s">
        <v>91</v>
      </c>
      <c r="Q754" s="6" t="s">
        <v>105</v>
      </c>
      <c r="R754" s="6" t="s">
        <v>112</v>
      </c>
      <c r="S754" s="6"/>
      <c r="T754" s="6"/>
      <c r="U754" s="5"/>
      <c r="V754" s="6"/>
      <c r="W754" s="6" t="s">
        <v>1872</v>
      </c>
      <c r="X754" s="6"/>
      <c r="Y754" s="22"/>
      <c r="Z754" s="6">
        <v>5</v>
      </c>
      <c r="AA754" s="21"/>
      <c r="AB754" s="23">
        <v>44092</v>
      </c>
      <c r="AC754" s="21" t="s">
        <v>30</v>
      </c>
      <c r="AD754" s="24" t="s">
        <v>1873</v>
      </c>
      <c r="AE754" s="6" t="s">
        <v>38</v>
      </c>
      <c r="AF754" s="6"/>
      <c r="AG754" s="6" t="s">
        <v>3042</v>
      </c>
    </row>
    <row r="755" spans="1:33" ht="7.5" customHeight="1" x14ac:dyDescent="0.25">
      <c r="A755" s="27"/>
      <c r="B755" s="39"/>
      <c r="C755" s="39"/>
      <c r="D755" s="39"/>
      <c r="E755" s="28"/>
      <c r="F755" s="27"/>
      <c r="G755" s="27"/>
      <c r="H755" s="27"/>
      <c r="I755" s="27"/>
      <c r="J755" s="30"/>
      <c r="K755" s="30"/>
      <c r="L755" s="29"/>
      <c r="M755" s="27"/>
      <c r="N755" s="27"/>
      <c r="O755" s="27"/>
      <c r="P755" s="27"/>
      <c r="Q755" s="29"/>
      <c r="R755" s="29"/>
      <c r="S755" s="29"/>
      <c r="T755" s="29"/>
      <c r="U755" s="27"/>
      <c r="V755" s="29"/>
      <c r="W755" s="29"/>
      <c r="X755" s="29"/>
      <c r="Y755" s="31"/>
      <c r="Z755" s="29"/>
      <c r="AA755" s="30"/>
      <c r="AB755" s="32"/>
      <c r="AC755" s="30"/>
      <c r="AD755" s="33"/>
      <c r="AE755" s="29"/>
      <c r="AF755" s="29"/>
      <c r="AG755" s="29"/>
    </row>
    <row r="756" spans="1:33" ht="15" customHeight="1" x14ac:dyDescent="0.25">
      <c r="A756" s="5">
        <v>41</v>
      </c>
      <c r="B756" s="38">
        <v>44112</v>
      </c>
      <c r="C756" s="38">
        <v>44098</v>
      </c>
      <c r="D756" s="38">
        <v>44091</v>
      </c>
      <c r="E756" s="28">
        <v>44112</v>
      </c>
      <c r="F756" s="5">
        <v>4831</v>
      </c>
      <c r="G756" s="5" t="s">
        <v>91</v>
      </c>
      <c r="H756" s="5" t="s">
        <v>40</v>
      </c>
      <c r="I756" s="5" t="s">
        <v>92</v>
      </c>
      <c r="J756" s="21" t="s">
        <v>109</v>
      </c>
      <c r="K756" s="21" t="s">
        <v>1880</v>
      </c>
      <c r="L756" s="6" t="s">
        <v>1881</v>
      </c>
      <c r="M756" s="5">
        <v>10</v>
      </c>
      <c r="N756" s="5" t="s">
        <v>91</v>
      </c>
      <c r="O756" s="5" t="s">
        <v>91</v>
      </c>
      <c r="P756" s="5" t="s">
        <v>91</v>
      </c>
      <c r="Q756" s="6" t="s">
        <v>105</v>
      </c>
      <c r="R756" s="6" t="s">
        <v>112</v>
      </c>
      <c r="S756" s="6"/>
      <c r="T756" s="6"/>
      <c r="U756" s="5"/>
      <c r="V756" s="6"/>
      <c r="W756" s="6" t="s">
        <v>1882</v>
      </c>
      <c r="X756" s="6"/>
      <c r="Y756" s="22"/>
      <c r="Z756" s="6">
        <v>4.4000000000000004</v>
      </c>
      <c r="AA756" s="21">
        <v>15390</v>
      </c>
      <c r="AB756" s="23">
        <v>44082</v>
      </c>
      <c r="AC756" s="21" t="s">
        <v>32</v>
      </c>
      <c r="AD756" s="24" t="s">
        <v>1883</v>
      </c>
      <c r="AE756" s="6" t="s">
        <v>35</v>
      </c>
      <c r="AF756" s="6"/>
      <c r="AG756" s="6" t="s">
        <v>3040</v>
      </c>
    </row>
    <row r="757" spans="1:33" ht="7.5" customHeight="1" x14ac:dyDescent="0.25">
      <c r="A757" s="27"/>
      <c r="B757" s="39"/>
      <c r="C757" s="39"/>
      <c r="D757" s="39"/>
      <c r="E757" s="28"/>
      <c r="F757" s="27"/>
      <c r="G757" s="27"/>
      <c r="H757" s="27"/>
      <c r="I757" s="27"/>
      <c r="J757" s="30"/>
      <c r="K757" s="30"/>
      <c r="L757" s="29"/>
      <c r="M757" s="27"/>
      <c r="N757" s="27"/>
      <c r="O757" s="27"/>
      <c r="P757" s="27"/>
      <c r="Q757" s="29"/>
      <c r="R757" s="29"/>
      <c r="S757" s="29"/>
      <c r="T757" s="29"/>
      <c r="U757" s="27"/>
      <c r="V757" s="29"/>
      <c r="W757" s="29"/>
      <c r="X757" s="29"/>
      <c r="Y757" s="31"/>
      <c r="Z757" s="29"/>
      <c r="AA757" s="30"/>
      <c r="AB757" s="32"/>
      <c r="AC757" s="30"/>
      <c r="AD757" s="33"/>
      <c r="AE757" s="29"/>
      <c r="AF757" s="29"/>
      <c r="AG757" s="29"/>
    </row>
    <row r="758" spans="1:33" ht="15" customHeight="1" x14ac:dyDescent="0.25">
      <c r="A758" s="5">
        <v>42</v>
      </c>
      <c r="B758" s="38">
        <v>44116</v>
      </c>
      <c r="C758" s="38">
        <v>44098</v>
      </c>
      <c r="D758" s="38">
        <v>44090</v>
      </c>
      <c r="E758" s="37">
        <v>44116</v>
      </c>
      <c r="F758" s="5">
        <v>4835</v>
      </c>
      <c r="G758" s="5" t="s">
        <v>91</v>
      </c>
      <c r="H758" s="5" t="s">
        <v>43</v>
      </c>
      <c r="I758" s="5" t="s">
        <v>92</v>
      </c>
      <c r="J758" s="21" t="s">
        <v>109</v>
      </c>
      <c r="K758" s="21" t="s">
        <v>1907</v>
      </c>
      <c r="L758" s="6" t="s">
        <v>1908</v>
      </c>
      <c r="M758" s="5">
        <v>14</v>
      </c>
      <c r="N758" s="5" t="s">
        <v>91</v>
      </c>
      <c r="O758" s="5" t="s">
        <v>91</v>
      </c>
      <c r="P758" s="5" t="s">
        <v>91</v>
      </c>
      <c r="Q758" s="6" t="s">
        <v>105</v>
      </c>
      <c r="R758" s="6" t="s">
        <v>112</v>
      </c>
      <c r="S758" s="6"/>
      <c r="T758" s="6"/>
      <c r="U758" s="5"/>
      <c r="V758" s="6"/>
      <c r="W758" s="6" t="s">
        <v>1909</v>
      </c>
      <c r="X758" s="6"/>
      <c r="Y758" s="22"/>
      <c r="Z758" s="6">
        <v>7.5</v>
      </c>
      <c r="AA758" s="21">
        <v>15057</v>
      </c>
      <c r="AB758" s="23">
        <v>44088</v>
      </c>
      <c r="AC758" s="21" t="s">
        <v>30</v>
      </c>
      <c r="AD758" s="24" t="s">
        <v>1910</v>
      </c>
      <c r="AE758" s="6" t="s">
        <v>37</v>
      </c>
      <c r="AF758" s="6"/>
      <c r="AG758" s="6" t="s">
        <v>3041</v>
      </c>
    </row>
    <row r="759" spans="1:33" ht="7.5" customHeight="1" x14ac:dyDescent="0.25">
      <c r="A759" s="27"/>
      <c r="B759" s="39"/>
      <c r="C759" s="39"/>
      <c r="D759" s="39"/>
      <c r="E759" s="28"/>
      <c r="F759" s="27"/>
      <c r="G759" s="27"/>
      <c r="H759" s="27"/>
      <c r="I759" s="27"/>
      <c r="J759" s="30"/>
      <c r="K759" s="30"/>
      <c r="L759" s="29"/>
      <c r="M759" s="27"/>
      <c r="N759" s="27"/>
      <c r="O759" s="27"/>
      <c r="P759" s="27"/>
      <c r="Q759" s="29"/>
      <c r="R759" s="29"/>
      <c r="S759" s="29"/>
      <c r="T759" s="29"/>
      <c r="U759" s="27"/>
      <c r="V759" s="29"/>
      <c r="W759" s="29"/>
      <c r="X759" s="29"/>
      <c r="Y759" s="31"/>
      <c r="Z759" s="29"/>
      <c r="AA759" s="30"/>
      <c r="AB759" s="32"/>
      <c r="AC759" s="30"/>
      <c r="AD759" s="33"/>
      <c r="AE759" s="29"/>
      <c r="AF759" s="29"/>
      <c r="AG759" s="29"/>
    </row>
    <row r="760" spans="1:33" ht="15" customHeight="1" x14ac:dyDescent="0.25">
      <c r="A760" s="5">
        <v>41</v>
      </c>
      <c r="B760" s="38">
        <v>44109</v>
      </c>
      <c r="C760" s="38">
        <v>44098</v>
      </c>
      <c r="D760" s="38">
        <v>44081</v>
      </c>
      <c r="E760" s="28">
        <v>44109</v>
      </c>
      <c r="F760" s="5">
        <v>5682</v>
      </c>
      <c r="G760" s="5" t="s">
        <v>91</v>
      </c>
      <c r="H760" s="5" t="s">
        <v>40</v>
      </c>
      <c r="I760" s="5" t="s">
        <v>92</v>
      </c>
      <c r="J760" s="21" t="s">
        <v>131</v>
      </c>
      <c r="K760" s="21" t="s">
        <v>1789</v>
      </c>
      <c r="L760" s="6" t="s">
        <v>1790</v>
      </c>
      <c r="M760" s="5">
        <v>0</v>
      </c>
      <c r="N760" s="5" t="s">
        <v>91</v>
      </c>
      <c r="O760" s="5" t="s">
        <v>91</v>
      </c>
      <c r="P760" s="5" t="s">
        <v>91</v>
      </c>
      <c r="Q760" s="6"/>
      <c r="R760" s="6" t="s">
        <v>112</v>
      </c>
      <c r="S760" s="6"/>
      <c r="T760" s="6"/>
      <c r="U760" s="5"/>
      <c r="V760" s="6"/>
      <c r="W760" s="6" t="s">
        <v>1791</v>
      </c>
      <c r="X760" s="6"/>
      <c r="Y760" s="22"/>
      <c r="Z760" s="6"/>
      <c r="AA760" s="21"/>
      <c r="AB760" s="23">
        <v>44098</v>
      </c>
      <c r="AC760" s="21" t="s">
        <v>33</v>
      </c>
      <c r="AD760" s="24" t="s">
        <v>1792</v>
      </c>
      <c r="AE760" s="6" t="s">
        <v>31</v>
      </c>
      <c r="AF760" s="6"/>
      <c r="AG760" s="6" t="s">
        <v>3042</v>
      </c>
    </row>
    <row r="761" spans="1:33" ht="15" customHeight="1" x14ac:dyDescent="0.25">
      <c r="A761" s="5">
        <v>41</v>
      </c>
      <c r="B761" s="38">
        <v>44109</v>
      </c>
      <c r="C761" s="38">
        <v>44098</v>
      </c>
      <c r="D761" s="38">
        <v>44074</v>
      </c>
      <c r="E761" s="28">
        <v>44109</v>
      </c>
      <c r="F761" s="5">
        <v>6720</v>
      </c>
      <c r="G761" s="5" t="s">
        <v>91</v>
      </c>
      <c r="H761" s="5" t="s">
        <v>43</v>
      </c>
      <c r="I761" s="5" t="s">
        <v>92</v>
      </c>
      <c r="J761" s="21" t="s">
        <v>191</v>
      </c>
      <c r="K761" s="21" t="s">
        <v>1796</v>
      </c>
      <c r="L761" s="6" t="s">
        <v>345</v>
      </c>
      <c r="M761" s="5">
        <v>0</v>
      </c>
      <c r="N761" s="5" t="s">
        <v>91</v>
      </c>
      <c r="O761" s="5" t="s">
        <v>91</v>
      </c>
      <c r="P761" s="5" t="s">
        <v>91</v>
      </c>
      <c r="Q761" s="6"/>
      <c r="R761" s="6" t="s">
        <v>194</v>
      </c>
      <c r="S761" s="6"/>
      <c r="T761" s="6"/>
      <c r="U761" s="5"/>
      <c r="V761" s="6" t="s">
        <v>346</v>
      </c>
      <c r="W761" s="6" t="s">
        <v>347</v>
      </c>
      <c r="X761" s="6"/>
      <c r="Y761" s="22"/>
      <c r="Z761" s="6"/>
      <c r="AA761" s="21"/>
      <c r="AB761" s="23">
        <v>44071</v>
      </c>
      <c r="AC761" s="21" t="s">
        <v>30</v>
      </c>
      <c r="AD761" s="24" t="s">
        <v>115</v>
      </c>
      <c r="AE761" s="6" t="s">
        <v>31</v>
      </c>
      <c r="AF761" s="6"/>
      <c r="AG761" s="6" t="s">
        <v>3040</v>
      </c>
    </row>
    <row r="762" spans="1:33" ht="15" customHeight="1" x14ac:dyDescent="0.25">
      <c r="A762" s="5">
        <v>41</v>
      </c>
      <c r="B762" s="38">
        <v>44109</v>
      </c>
      <c r="C762" s="38">
        <v>44098</v>
      </c>
      <c r="D762" s="38">
        <v>44088</v>
      </c>
      <c r="E762" s="28">
        <v>44109</v>
      </c>
      <c r="F762" s="5">
        <v>7786</v>
      </c>
      <c r="G762" s="5" t="s">
        <v>91</v>
      </c>
      <c r="H762" s="5" t="s">
        <v>41</v>
      </c>
      <c r="I762" s="5" t="s">
        <v>92</v>
      </c>
      <c r="J762" s="21" t="s">
        <v>214</v>
      </c>
      <c r="K762" s="21" t="s">
        <v>1814</v>
      </c>
      <c r="L762" s="6" t="s">
        <v>152</v>
      </c>
      <c r="M762" s="5">
        <v>3</v>
      </c>
      <c r="N762" s="5" t="s">
        <v>91</v>
      </c>
      <c r="O762" s="5" t="s">
        <v>91</v>
      </c>
      <c r="P762" s="5" t="s">
        <v>91</v>
      </c>
      <c r="Q762" s="6" t="s">
        <v>105</v>
      </c>
      <c r="R762" s="6" t="s">
        <v>217</v>
      </c>
      <c r="S762" s="6"/>
      <c r="T762" s="6"/>
      <c r="U762" s="5"/>
      <c r="V762" s="6"/>
      <c r="W762" s="6" t="s">
        <v>1815</v>
      </c>
      <c r="X762" s="6">
        <v>36158448</v>
      </c>
      <c r="Y762" s="22"/>
      <c r="Z762" s="6">
        <v>1.58</v>
      </c>
      <c r="AA762" s="21" t="s">
        <v>1816</v>
      </c>
      <c r="AB762" s="23">
        <v>44090</v>
      </c>
      <c r="AC762" s="21" t="s">
        <v>30</v>
      </c>
      <c r="AD762" s="24" t="s">
        <v>1817</v>
      </c>
      <c r="AE762" s="6" t="s">
        <v>38</v>
      </c>
      <c r="AF762" s="6"/>
      <c r="AG762" s="6" t="s">
        <v>3040</v>
      </c>
    </row>
    <row r="763" spans="1:33" ht="15" customHeight="1" x14ac:dyDescent="0.25">
      <c r="A763" s="5">
        <v>41</v>
      </c>
      <c r="B763" s="38">
        <v>44109</v>
      </c>
      <c r="C763" s="38">
        <v>44098</v>
      </c>
      <c r="D763" s="38">
        <v>44096</v>
      </c>
      <c r="E763" s="28">
        <v>44109</v>
      </c>
      <c r="F763" s="5">
        <v>8759</v>
      </c>
      <c r="G763" s="5" t="s">
        <v>91</v>
      </c>
      <c r="H763" s="5" t="s">
        <v>40</v>
      </c>
      <c r="I763" s="5" t="s">
        <v>92</v>
      </c>
      <c r="J763" s="21" t="s">
        <v>147</v>
      </c>
      <c r="K763" s="21" t="s">
        <v>293</v>
      </c>
      <c r="L763" s="6" t="s">
        <v>294</v>
      </c>
      <c r="M763" s="5">
        <v>24</v>
      </c>
      <c r="N763" s="5" t="s">
        <v>91</v>
      </c>
      <c r="O763" s="5" t="s">
        <v>91</v>
      </c>
      <c r="P763" s="5" t="s">
        <v>91</v>
      </c>
      <c r="Q763" s="6"/>
      <c r="R763" s="6" t="s">
        <v>112</v>
      </c>
      <c r="S763" s="6"/>
      <c r="T763" s="6"/>
      <c r="U763" s="5"/>
      <c r="V763" s="6"/>
      <c r="W763" s="6" t="s">
        <v>1818</v>
      </c>
      <c r="X763" s="6"/>
      <c r="Y763" s="22"/>
      <c r="Z763" s="6"/>
      <c r="AA763" s="21"/>
      <c r="AB763" s="23">
        <v>44071</v>
      </c>
      <c r="AC763" s="21" t="s">
        <v>30</v>
      </c>
      <c r="AD763" s="24" t="s">
        <v>1819</v>
      </c>
      <c r="AE763" s="6" t="s">
        <v>31</v>
      </c>
      <c r="AF763" s="6"/>
      <c r="AG763" s="6" t="s">
        <v>3041</v>
      </c>
    </row>
    <row r="764" spans="1:33" ht="15" customHeight="1" x14ac:dyDescent="0.25">
      <c r="A764" s="5">
        <v>41</v>
      </c>
      <c r="B764" s="38">
        <v>44109</v>
      </c>
      <c r="C764" s="38">
        <v>44098</v>
      </c>
      <c r="D764" s="38">
        <v>44089</v>
      </c>
      <c r="E764" s="28">
        <v>44109</v>
      </c>
      <c r="F764" s="5">
        <v>8760</v>
      </c>
      <c r="G764" s="5" t="s">
        <v>91</v>
      </c>
      <c r="H764" s="5" t="s">
        <v>40</v>
      </c>
      <c r="I764" s="5" t="s">
        <v>92</v>
      </c>
      <c r="J764" s="21" t="s">
        <v>147</v>
      </c>
      <c r="K764" s="21" t="s">
        <v>1820</v>
      </c>
      <c r="L764" s="6" t="s">
        <v>1821</v>
      </c>
      <c r="M764" s="5">
        <v>25</v>
      </c>
      <c r="N764" s="5" t="s">
        <v>91</v>
      </c>
      <c r="O764" s="5" t="s">
        <v>91</v>
      </c>
      <c r="P764" s="5" t="s">
        <v>91</v>
      </c>
      <c r="Q764" s="6"/>
      <c r="R764" s="6" t="s">
        <v>112</v>
      </c>
      <c r="S764" s="6" t="s">
        <v>668</v>
      </c>
      <c r="T764" s="6"/>
      <c r="U764" s="5"/>
      <c r="V764" s="6"/>
      <c r="W764" s="6" t="s">
        <v>1818</v>
      </c>
      <c r="X764" s="6"/>
      <c r="Y764" s="22"/>
      <c r="Z764" s="6"/>
      <c r="AA764" s="21"/>
      <c r="AB764" s="23">
        <v>44071</v>
      </c>
      <c r="AC764" s="21" t="s">
        <v>30</v>
      </c>
      <c r="AD764" s="24" t="s">
        <v>1819</v>
      </c>
      <c r="AE764" s="6" t="s">
        <v>35</v>
      </c>
      <c r="AF764" s="6"/>
      <c r="AG764" s="6" t="s">
        <v>3042</v>
      </c>
    </row>
    <row r="765" spans="1:33" ht="7.5" customHeight="1" x14ac:dyDescent="0.25">
      <c r="A765" s="27"/>
      <c r="B765" s="39"/>
      <c r="C765" s="39"/>
      <c r="D765" s="39"/>
      <c r="E765" s="28"/>
      <c r="F765" s="27"/>
      <c r="G765" s="27"/>
      <c r="H765" s="27"/>
      <c r="I765" s="27"/>
      <c r="J765" s="30"/>
      <c r="K765" s="30"/>
      <c r="L765" s="29"/>
      <c r="M765" s="27"/>
      <c r="N765" s="27"/>
      <c r="O765" s="27"/>
      <c r="P765" s="27"/>
      <c r="Q765" s="29"/>
      <c r="R765" s="29"/>
      <c r="S765" s="29"/>
      <c r="T765" s="29"/>
      <c r="U765" s="27"/>
      <c r="V765" s="29"/>
      <c r="W765" s="29"/>
      <c r="X765" s="29"/>
      <c r="Y765" s="31"/>
      <c r="Z765" s="29"/>
      <c r="AA765" s="30"/>
      <c r="AB765" s="32"/>
      <c r="AC765" s="30"/>
      <c r="AD765" s="33"/>
      <c r="AE765" s="29"/>
      <c r="AF765" s="29"/>
      <c r="AG765" s="29"/>
    </row>
    <row r="766" spans="1:33" ht="15" customHeight="1" x14ac:dyDescent="0.25">
      <c r="A766" s="5">
        <v>41</v>
      </c>
      <c r="B766" s="38">
        <v>44112</v>
      </c>
      <c r="C766" s="38">
        <v>44098</v>
      </c>
      <c r="D766" s="38">
        <v>44091</v>
      </c>
      <c r="E766" s="28">
        <v>44112</v>
      </c>
      <c r="F766" s="5">
        <v>8773</v>
      </c>
      <c r="G766" s="5" t="s">
        <v>91</v>
      </c>
      <c r="H766" s="5" t="s">
        <v>43</v>
      </c>
      <c r="I766" s="5" t="s">
        <v>92</v>
      </c>
      <c r="J766" s="21" t="s">
        <v>147</v>
      </c>
      <c r="K766" s="21" t="s">
        <v>1884</v>
      </c>
      <c r="L766" s="6" t="s">
        <v>1885</v>
      </c>
      <c r="M766" s="5">
        <v>1</v>
      </c>
      <c r="N766" s="5" t="s">
        <v>91</v>
      </c>
      <c r="O766" s="5" t="s">
        <v>91</v>
      </c>
      <c r="P766" s="5" t="s">
        <v>91</v>
      </c>
      <c r="Q766" s="6" t="s">
        <v>105</v>
      </c>
      <c r="R766" s="6" t="s">
        <v>106</v>
      </c>
      <c r="S766" s="6" t="s">
        <v>155</v>
      </c>
      <c r="T766" s="6"/>
      <c r="U766" s="5"/>
      <c r="V766" s="6"/>
      <c r="W766" s="6" t="s">
        <v>106</v>
      </c>
      <c r="X766" s="6"/>
      <c r="Y766" s="22"/>
      <c r="Z766" s="6"/>
      <c r="AA766" s="21"/>
      <c r="AB766" s="23">
        <v>44090</v>
      </c>
      <c r="AC766" s="21" t="s">
        <v>32</v>
      </c>
      <c r="AD766" s="24" t="s">
        <v>1886</v>
      </c>
      <c r="AE766" s="6" t="s">
        <v>34</v>
      </c>
      <c r="AF766" s="6"/>
      <c r="AG766" s="6" t="s">
        <v>3041</v>
      </c>
    </row>
    <row r="767" spans="1:33" ht="7.5" customHeight="1" x14ac:dyDescent="0.25">
      <c r="A767" s="27"/>
      <c r="B767" s="39"/>
      <c r="C767" s="39"/>
      <c r="D767" s="39"/>
      <c r="E767" s="28"/>
      <c r="F767" s="27"/>
      <c r="G767" s="27"/>
      <c r="H767" s="27"/>
      <c r="I767" s="27"/>
      <c r="J767" s="30"/>
      <c r="K767" s="30"/>
      <c r="L767" s="29"/>
      <c r="M767" s="27"/>
      <c r="N767" s="27"/>
      <c r="O767" s="27"/>
      <c r="P767" s="27"/>
      <c r="Q767" s="29"/>
      <c r="R767" s="29"/>
      <c r="S767" s="29"/>
      <c r="T767" s="29"/>
      <c r="U767" s="27"/>
      <c r="V767" s="29"/>
      <c r="W767" s="29"/>
      <c r="X767" s="29"/>
      <c r="Y767" s="31"/>
      <c r="Z767" s="29"/>
      <c r="AA767" s="30"/>
      <c r="AB767" s="32"/>
      <c r="AC767" s="30"/>
      <c r="AD767" s="33"/>
      <c r="AE767" s="29"/>
      <c r="AF767" s="29"/>
      <c r="AG767" s="29"/>
    </row>
    <row r="768" spans="1:33" ht="15" customHeight="1" x14ac:dyDescent="0.25">
      <c r="A768" s="5">
        <v>42</v>
      </c>
      <c r="B768" s="38">
        <v>44119</v>
      </c>
      <c r="C768" s="38">
        <v>44098</v>
      </c>
      <c r="D768" s="38">
        <v>44098</v>
      </c>
      <c r="E768" s="37">
        <v>44119</v>
      </c>
      <c r="F768" s="5">
        <v>8780</v>
      </c>
      <c r="G768" s="5" t="s">
        <v>91</v>
      </c>
      <c r="H768" s="5" t="s">
        <v>40</v>
      </c>
      <c r="I768" s="5" t="s">
        <v>92</v>
      </c>
      <c r="J768" s="21" t="s">
        <v>147</v>
      </c>
      <c r="K768" s="21" t="s">
        <v>1744</v>
      </c>
      <c r="L768" s="6" t="s">
        <v>2051</v>
      </c>
      <c r="M768" s="5">
        <v>14</v>
      </c>
      <c r="N768" s="5" t="s">
        <v>91</v>
      </c>
      <c r="O768" s="5" t="s">
        <v>91</v>
      </c>
      <c r="P768" s="5" t="s">
        <v>91</v>
      </c>
      <c r="Q768" s="6"/>
      <c r="R768" s="6" t="s">
        <v>107</v>
      </c>
      <c r="S768" s="6"/>
      <c r="T768" s="6"/>
      <c r="U768" s="5"/>
      <c r="V768" s="6"/>
      <c r="W768" s="6" t="s">
        <v>107</v>
      </c>
      <c r="X768" s="6" t="s">
        <v>1746</v>
      </c>
      <c r="Y768" s="22"/>
      <c r="Z768" s="6"/>
      <c r="AA768" s="21"/>
      <c r="AB768" s="23">
        <v>44099</v>
      </c>
      <c r="AC768" s="21" t="s">
        <v>30</v>
      </c>
      <c r="AD768" s="24" t="s">
        <v>1747</v>
      </c>
      <c r="AE768" s="6" t="s">
        <v>31</v>
      </c>
      <c r="AF768" s="6"/>
      <c r="AG768" s="6" t="s">
        <v>3042</v>
      </c>
    </row>
    <row r="769" spans="1:33" ht="7.5" customHeight="1" x14ac:dyDescent="0.25">
      <c r="A769" s="27"/>
      <c r="B769" s="39"/>
      <c r="C769" s="39"/>
      <c r="D769" s="39"/>
      <c r="E769" s="28"/>
      <c r="F769" s="27"/>
      <c r="G769" s="27"/>
      <c r="H769" s="27"/>
      <c r="I769" s="27"/>
      <c r="J769" s="30"/>
      <c r="K769" s="30"/>
      <c r="L769" s="29"/>
      <c r="M769" s="27"/>
      <c r="N769" s="27"/>
      <c r="O769" s="27"/>
      <c r="P769" s="27"/>
      <c r="Q769" s="29"/>
      <c r="R769" s="29"/>
      <c r="S769" s="29"/>
      <c r="T769" s="29"/>
      <c r="U769" s="27"/>
      <c r="V769" s="29"/>
      <c r="W769" s="29"/>
      <c r="X769" s="29"/>
      <c r="Y769" s="31"/>
      <c r="Z769" s="29"/>
      <c r="AA769" s="30"/>
      <c r="AB769" s="32"/>
      <c r="AC769" s="30"/>
      <c r="AD769" s="33"/>
      <c r="AE769" s="29"/>
      <c r="AF769" s="29"/>
      <c r="AG769" s="29"/>
    </row>
    <row r="770" spans="1:33" ht="15" customHeight="1" x14ac:dyDescent="0.25">
      <c r="A770" s="5">
        <v>41</v>
      </c>
      <c r="B770" s="38">
        <v>44113</v>
      </c>
      <c r="C770" s="38">
        <v>44099</v>
      </c>
      <c r="D770" s="38">
        <v>44092</v>
      </c>
      <c r="E770" s="28">
        <v>44113</v>
      </c>
      <c r="F770" s="5">
        <v>4843</v>
      </c>
      <c r="G770" s="5" t="s">
        <v>91</v>
      </c>
      <c r="H770" s="5" t="s">
        <v>43</v>
      </c>
      <c r="I770" s="5" t="s">
        <v>92</v>
      </c>
      <c r="J770" s="21" t="s">
        <v>109</v>
      </c>
      <c r="K770" s="21" t="s">
        <v>1893</v>
      </c>
      <c r="L770" s="6" t="s">
        <v>1894</v>
      </c>
      <c r="M770" s="5">
        <v>11</v>
      </c>
      <c r="N770" s="5" t="s">
        <v>91</v>
      </c>
      <c r="O770" s="5" t="s">
        <v>91</v>
      </c>
      <c r="P770" s="5" t="s">
        <v>91</v>
      </c>
      <c r="Q770" s="6" t="s">
        <v>105</v>
      </c>
      <c r="R770" s="6" t="s">
        <v>112</v>
      </c>
      <c r="S770" s="6"/>
      <c r="T770" s="6"/>
      <c r="U770" s="5"/>
      <c r="V770" s="6"/>
      <c r="W770" s="6" t="s">
        <v>1895</v>
      </c>
      <c r="X770" s="6"/>
      <c r="Y770" s="22"/>
      <c r="Z770" s="6">
        <v>3.4</v>
      </c>
      <c r="AA770" s="21">
        <v>15187</v>
      </c>
      <c r="AB770" s="23">
        <v>44099</v>
      </c>
      <c r="AC770" s="21" t="s">
        <v>32</v>
      </c>
      <c r="AD770" s="24" t="s">
        <v>1896</v>
      </c>
      <c r="AE770" s="6" t="s">
        <v>38</v>
      </c>
      <c r="AF770" s="6"/>
      <c r="AG770" s="6" t="s">
        <v>3040</v>
      </c>
    </row>
    <row r="771" spans="1:33" ht="7.5" customHeight="1" x14ac:dyDescent="0.25">
      <c r="A771" s="27"/>
      <c r="B771" s="39"/>
      <c r="C771" s="39"/>
      <c r="D771" s="39"/>
      <c r="E771" s="28"/>
      <c r="F771" s="27"/>
      <c r="G771" s="27"/>
      <c r="H771" s="27"/>
      <c r="I771" s="27"/>
      <c r="J771" s="30"/>
      <c r="K771" s="30"/>
      <c r="L771" s="29"/>
      <c r="M771" s="27"/>
      <c r="N771" s="27"/>
      <c r="O771" s="27"/>
      <c r="P771" s="27"/>
      <c r="Q771" s="29"/>
      <c r="R771" s="29"/>
      <c r="S771" s="29"/>
      <c r="T771" s="29"/>
      <c r="U771" s="27"/>
      <c r="V771" s="29"/>
      <c r="W771" s="29"/>
      <c r="X771" s="29"/>
      <c r="Y771" s="31"/>
      <c r="Z771" s="29"/>
      <c r="AA771" s="30"/>
      <c r="AB771" s="32"/>
      <c r="AC771" s="30"/>
      <c r="AD771" s="33"/>
      <c r="AE771" s="29"/>
      <c r="AF771" s="29"/>
      <c r="AG771" s="29"/>
    </row>
    <row r="772" spans="1:33" ht="15" customHeight="1" x14ac:dyDescent="0.25">
      <c r="A772" s="5">
        <v>42</v>
      </c>
      <c r="B772" s="38">
        <v>44120</v>
      </c>
      <c r="C772" s="38">
        <v>44099</v>
      </c>
      <c r="D772" s="38">
        <v>44099</v>
      </c>
      <c r="E772" s="37">
        <v>44120</v>
      </c>
      <c r="F772" s="5">
        <v>8776</v>
      </c>
      <c r="G772" s="5" t="s">
        <v>91</v>
      </c>
      <c r="H772" s="5" t="s">
        <v>41</v>
      </c>
      <c r="I772" s="5" t="s">
        <v>92</v>
      </c>
      <c r="J772" s="21" t="s">
        <v>147</v>
      </c>
      <c r="K772" s="21" t="s">
        <v>2074</v>
      </c>
      <c r="L772" s="6" t="s">
        <v>95</v>
      </c>
      <c r="M772" s="5">
        <v>10</v>
      </c>
      <c r="N772" s="5" t="s">
        <v>91</v>
      </c>
      <c r="O772" s="5" t="s">
        <v>91</v>
      </c>
      <c r="P772" s="5" t="s">
        <v>91</v>
      </c>
      <c r="Q772" s="6"/>
      <c r="R772" s="6" t="s">
        <v>2075</v>
      </c>
      <c r="S772" s="6" t="s">
        <v>1478</v>
      </c>
      <c r="T772" s="6"/>
      <c r="U772" s="5"/>
      <c r="V772" s="6"/>
      <c r="W772" s="6" t="s">
        <v>2076</v>
      </c>
      <c r="X772" s="6" t="s">
        <v>2077</v>
      </c>
      <c r="Y772" s="22"/>
      <c r="Z772" s="6"/>
      <c r="AA772" s="21"/>
      <c r="AB772" s="23">
        <v>44095</v>
      </c>
      <c r="AC772" s="21" t="s">
        <v>32</v>
      </c>
      <c r="AD772" s="24" t="s">
        <v>2078</v>
      </c>
      <c r="AE772" s="6" t="s">
        <v>35</v>
      </c>
      <c r="AF772" s="6"/>
      <c r="AG772" s="6" t="s">
        <v>3039</v>
      </c>
    </row>
    <row r="773" spans="1:33" ht="15" customHeight="1" x14ac:dyDescent="0.25">
      <c r="A773" s="5">
        <v>42</v>
      </c>
      <c r="B773" s="38">
        <v>44120</v>
      </c>
      <c r="C773" s="38">
        <v>44099</v>
      </c>
      <c r="D773" s="38">
        <v>44092</v>
      </c>
      <c r="E773" s="37">
        <v>44120</v>
      </c>
      <c r="F773" s="5">
        <v>8779</v>
      </c>
      <c r="G773" s="5" t="s">
        <v>91</v>
      </c>
      <c r="H773" s="5" t="s">
        <v>41</v>
      </c>
      <c r="I773" s="5" t="s">
        <v>92</v>
      </c>
      <c r="J773" s="21" t="s">
        <v>147</v>
      </c>
      <c r="K773" s="21" t="s">
        <v>2079</v>
      </c>
      <c r="L773" s="6" t="s">
        <v>1894</v>
      </c>
      <c r="M773" s="5">
        <v>5</v>
      </c>
      <c r="N773" s="5" t="s">
        <v>91</v>
      </c>
      <c r="O773" s="5" t="s">
        <v>91</v>
      </c>
      <c r="P773" s="5" t="s">
        <v>91</v>
      </c>
      <c r="Q773" s="6" t="s">
        <v>105</v>
      </c>
      <c r="R773" s="6" t="s">
        <v>380</v>
      </c>
      <c r="S773" s="6" t="s">
        <v>1287</v>
      </c>
      <c r="T773" s="6" t="s">
        <v>2080</v>
      </c>
      <c r="U773" s="5"/>
      <c r="V773" s="6"/>
      <c r="W773" s="6" t="s">
        <v>2081</v>
      </c>
      <c r="X773" s="6" t="s">
        <v>1746</v>
      </c>
      <c r="Y773" s="22"/>
      <c r="Z773" s="6"/>
      <c r="AA773" s="21"/>
      <c r="AB773" s="23">
        <v>44098</v>
      </c>
      <c r="AC773" s="21" t="s">
        <v>32</v>
      </c>
      <c r="AD773" s="24" t="s">
        <v>2082</v>
      </c>
      <c r="AE773" s="6" t="s">
        <v>34</v>
      </c>
      <c r="AF773" s="6"/>
      <c r="AG773" s="6" t="s">
        <v>3040</v>
      </c>
    </row>
    <row r="774" spans="1:33" ht="7.5" customHeight="1" x14ac:dyDescent="0.25">
      <c r="A774" s="27"/>
      <c r="B774" s="39"/>
      <c r="C774" s="39"/>
      <c r="D774" s="39"/>
      <c r="E774" s="28"/>
      <c r="F774" s="27"/>
      <c r="G774" s="27"/>
      <c r="H774" s="27"/>
      <c r="I774" s="27"/>
      <c r="J774" s="30"/>
      <c r="K774" s="30"/>
      <c r="L774" s="29"/>
      <c r="M774" s="27"/>
      <c r="N774" s="27"/>
      <c r="O774" s="27"/>
      <c r="P774" s="27"/>
      <c r="Q774" s="29"/>
      <c r="R774" s="29"/>
      <c r="S774" s="29"/>
      <c r="T774" s="29"/>
      <c r="U774" s="27"/>
      <c r="V774" s="29"/>
      <c r="W774" s="29"/>
      <c r="X774" s="29"/>
      <c r="Y774" s="31"/>
      <c r="Z774" s="29"/>
      <c r="AA774" s="30"/>
      <c r="AB774" s="32"/>
      <c r="AC774" s="30"/>
      <c r="AD774" s="33"/>
      <c r="AE774" s="29"/>
      <c r="AF774" s="29"/>
      <c r="AG774" s="29"/>
    </row>
    <row r="775" spans="1:33" ht="15" customHeight="1" x14ac:dyDescent="0.25">
      <c r="A775" s="5">
        <v>42</v>
      </c>
      <c r="B775" s="38">
        <v>44118</v>
      </c>
      <c r="C775" s="38">
        <v>44102</v>
      </c>
      <c r="D775" s="38">
        <v>44020</v>
      </c>
      <c r="E775" s="37">
        <v>44118</v>
      </c>
      <c r="F775" s="5">
        <v>2378</v>
      </c>
      <c r="G775" s="5" t="s">
        <v>91</v>
      </c>
      <c r="H775" s="5" t="s">
        <v>43</v>
      </c>
      <c r="I775" s="5" t="s">
        <v>92</v>
      </c>
      <c r="J775" s="21" t="s">
        <v>231</v>
      </c>
      <c r="K775" s="21" t="s">
        <v>1977</v>
      </c>
      <c r="L775" s="6" t="s">
        <v>1978</v>
      </c>
      <c r="M775" s="5">
        <v>29</v>
      </c>
      <c r="N775" s="5" t="s">
        <v>91</v>
      </c>
      <c r="O775" s="5" t="s">
        <v>91</v>
      </c>
      <c r="P775" s="5" t="s">
        <v>91</v>
      </c>
      <c r="Q775" s="6" t="s">
        <v>748</v>
      </c>
      <c r="R775" s="6" t="s">
        <v>734</v>
      </c>
      <c r="S775" s="6" t="s">
        <v>265</v>
      </c>
      <c r="T775" s="6" t="s">
        <v>1979</v>
      </c>
      <c r="U775" s="5"/>
      <c r="V775" s="6"/>
      <c r="W775" s="6" t="s">
        <v>1980</v>
      </c>
      <c r="X775" s="6" t="s">
        <v>1981</v>
      </c>
      <c r="Y775" s="22"/>
      <c r="Z775" s="6"/>
      <c r="AA775" s="21" t="s">
        <v>1982</v>
      </c>
      <c r="AB775" s="23">
        <v>44006</v>
      </c>
      <c r="AC775" s="21" t="s">
        <v>32</v>
      </c>
      <c r="AD775" s="24" t="s">
        <v>1983</v>
      </c>
      <c r="AE775" s="6" t="s">
        <v>36</v>
      </c>
      <c r="AF775" s="6"/>
      <c r="AG775" s="6" t="s">
        <v>3040</v>
      </c>
    </row>
    <row r="776" spans="1:33" ht="7.5" customHeight="1" x14ac:dyDescent="0.25">
      <c r="A776" s="27"/>
      <c r="B776" s="39"/>
      <c r="C776" s="39"/>
      <c r="D776" s="39"/>
      <c r="E776" s="28"/>
      <c r="F776" s="27"/>
      <c r="G776" s="27"/>
      <c r="H776" s="27"/>
      <c r="I776" s="27"/>
      <c r="J776" s="30"/>
      <c r="K776" s="30"/>
      <c r="L776" s="29"/>
      <c r="M776" s="27"/>
      <c r="N776" s="27"/>
      <c r="O776" s="27"/>
      <c r="P776" s="27"/>
      <c r="Q776" s="29"/>
      <c r="R776" s="29"/>
      <c r="S776" s="29"/>
      <c r="T776" s="29"/>
      <c r="U776" s="27"/>
      <c r="V776" s="29"/>
      <c r="W776" s="29"/>
      <c r="X776" s="29"/>
      <c r="Y776" s="31"/>
      <c r="Z776" s="29"/>
      <c r="AA776" s="30"/>
      <c r="AB776" s="32"/>
      <c r="AC776" s="30"/>
      <c r="AD776" s="33"/>
      <c r="AE776" s="29"/>
      <c r="AF776" s="29"/>
      <c r="AG776" s="29"/>
    </row>
    <row r="777" spans="1:33" ht="15" customHeight="1" x14ac:dyDescent="0.25">
      <c r="A777" s="5">
        <v>41</v>
      </c>
      <c r="B777" s="38">
        <v>44111</v>
      </c>
      <c r="C777" s="38">
        <v>44102</v>
      </c>
      <c r="D777" s="38">
        <v>44076</v>
      </c>
      <c r="E777" s="28">
        <v>44111</v>
      </c>
      <c r="F777" s="5">
        <v>10685</v>
      </c>
      <c r="G777" s="5" t="s">
        <v>91</v>
      </c>
      <c r="H777" s="5" t="s">
        <v>43</v>
      </c>
      <c r="I777" s="5" t="s">
        <v>92</v>
      </c>
      <c r="J777" s="21" t="s">
        <v>170</v>
      </c>
      <c r="K777" s="21" t="s">
        <v>1830</v>
      </c>
      <c r="L777" s="6" t="s">
        <v>1831</v>
      </c>
      <c r="M777" s="5">
        <v>20</v>
      </c>
      <c r="N777" s="5" t="s">
        <v>91</v>
      </c>
      <c r="O777" s="5" t="s">
        <v>91</v>
      </c>
      <c r="P777" s="5" t="s">
        <v>91</v>
      </c>
      <c r="Q777" s="6" t="s">
        <v>105</v>
      </c>
      <c r="R777" s="6" t="s">
        <v>123</v>
      </c>
      <c r="S777" s="6"/>
      <c r="T777" s="6"/>
      <c r="U777" s="5"/>
      <c r="V777" s="6"/>
      <c r="W777" s="6" t="s">
        <v>1832</v>
      </c>
      <c r="X777" s="6" t="s">
        <v>251</v>
      </c>
      <c r="Y777" s="22"/>
      <c r="Z777" s="6">
        <v>7.2</v>
      </c>
      <c r="AA777" s="21" t="s">
        <v>1833</v>
      </c>
      <c r="AB777" s="23">
        <v>44070</v>
      </c>
      <c r="AC777" s="21" t="s">
        <v>30</v>
      </c>
      <c r="AD777" s="24" t="s">
        <v>1834</v>
      </c>
      <c r="AE777" s="6" t="s">
        <v>35</v>
      </c>
      <c r="AF777" s="6"/>
      <c r="AG777" s="6" t="s">
        <v>3042</v>
      </c>
    </row>
    <row r="778" spans="1:33" ht="7.5" customHeight="1" x14ac:dyDescent="0.25">
      <c r="A778" s="27"/>
      <c r="B778" s="39"/>
      <c r="C778" s="39"/>
      <c r="D778" s="39"/>
      <c r="E778" s="28"/>
      <c r="F778" s="27"/>
      <c r="G778" s="27"/>
      <c r="H778" s="27"/>
      <c r="I778" s="27"/>
      <c r="J778" s="30"/>
      <c r="K778" s="30"/>
      <c r="L778" s="29"/>
      <c r="M778" s="27"/>
      <c r="N778" s="27"/>
      <c r="O778" s="27"/>
      <c r="P778" s="27"/>
      <c r="Q778" s="29"/>
      <c r="R778" s="29"/>
      <c r="S778" s="29"/>
      <c r="T778" s="29"/>
      <c r="U778" s="27"/>
      <c r="V778" s="29"/>
      <c r="W778" s="29"/>
      <c r="X778" s="29"/>
      <c r="Y778" s="31"/>
      <c r="Z778" s="29"/>
      <c r="AA778" s="30"/>
      <c r="AB778" s="32"/>
      <c r="AC778" s="30"/>
      <c r="AD778" s="33"/>
      <c r="AE778" s="29"/>
      <c r="AF778" s="29"/>
      <c r="AG778" s="29"/>
    </row>
    <row r="779" spans="1:33" ht="15" customHeight="1" x14ac:dyDescent="0.25">
      <c r="A779" s="5">
        <v>42</v>
      </c>
      <c r="B779" s="38">
        <v>44116</v>
      </c>
      <c r="C779" s="38">
        <v>44102</v>
      </c>
      <c r="D779" s="38">
        <v>44095</v>
      </c>
      <c r="E779" s="37">
        <v>44116</v>
      </c>
      <c r="F779" s="5">
        <v>3087</v>
      </c>
      <c r="G779" s="5" t="s">
        <v>91</v>
      </c>
      <c r="H779" s="5" t="s">
        <v>43</v>
      </c>
      <c r="I779" s="5" t="s">
        <v>92</v>
      </c>
      <c r="J779" s="21" t="s">
        <v>93</v>
      </c>
      <c r="K779" s="21" t="s">
        <v>1899</v>
      </c>
      <c r="L779" s="6" t="s">
        <v>198</v>
      </c>
      <c r="M779" s="5">
        <v>7</v>
      </c>
      <c r="N779" s="5" t="s">
        <v>91</v>
      </c>
      <c r="O779" s="5" t="s">
        <v>91</v>
      </c>
      <c r="P779" s="5" t="s">
        <v>91</v>
      </c>
      <c r="Q779" s="6" t="s">
        <v>105</v>
      </c>
      <c r="R779" s="6" t="s">
        <v>264</v>
      </c>
      <c r="S779" s="6" t="s">
        <v>1287</v>
      </c>
      <c r="T779" s="6"/>
      <c r="U779" s="5"/>
      <c r="V779" s="6"/>
      <c r="W779" s="6" t="s">
        <v>1900</v>
      </c>
      <c r="X779" s="6" t="s">
        <v>1901</v>
      </c>
      <c r="Y779" s="22"/>
      <c r="Z779" s="6"/>
      <c r="AA779" s="21">
        <v>10181</v>
      </c>
      <c r="AB779" s="23">
        <v>44091</v>
      </c>
      <c r="AC779" s="21" t="s">
        <v>30</v>
      </c>
      <c r="AD779" s="24" t="s">
        <v>1430</v>
      </c>
      <c r="AE779" s="6" t="s">
        <v>37</v>
      </c>
      <c r="AF779" s="6"/>
      <c r="AG779" s="6" t="s">
        <v>3042</v>
      </c>
    </row>
    <row r="780" spans="1:33" ht="7.5" customHeight="1" x14ac:dyDescent="0.25">
      <c r="A780" s="27"/>
      <c r="B780" s="39"/>
      <c r="C780" s="39"/>
      <c r="D780" s="39"/>
      <c r="E780" s="28"/>
      <c r="F780" s="27"/>
      <c r="G780" s="27"/>
      <c r="H780" s="27"/>
      <c r="I780" s="27"/>
      <c r="J780" s="30"/>
      <c r="K780" s="30"/>
      <c r="L780" s="29"/>
      <c r="M780" s="27"/>
      <c r="N780" s="27"/>
      <c r="O780" s="27"/>
      <c r="P780" s="27"/>
      <c r="Q780" s="29"/>
      <c r="R780" s="29"/>
      <c r="S780" s="29"/>
      <c r="T780" s="29"/>
      <c r="U780" s="27"/>
      <c r="V780" s="29"/>
      <c r="W780" s="29"/>
      <c r="X780" s="29"/>
      <c r="Y780" s="31"/>
      <c r="Z780" s="29"/>
      <c r="AA780" s="30"/>
      <c r="AB780" s="32"/>
      <c r="AC780" s="30"/>
      <c r="AD780" s="33"/>
      <c r="AE780" s="29"/>
      <c r="AF780" s="29"/>
      <c r="AG780" s="29"/>
    </row>
    <row r="781" spans="1:33" ht="15" customHeight="1" x14ac:dyDescent="0.25">
      <c r="A781" s="5">
        <v>41</v>
      </c>
      <c r="B781" s="38">
        <v>44111</v>
      </c>
      <c r="C781" s="38">
        <v>44102</v>
      </c>
      <c r="D781" s="38">
        <v>44088</v>
      </c>
      <c r="E781" s="28">
        <v>44111</v>
      </c>
      <c r="F781" s="5">
        <v>12094</v>
      </c>
      <c r="G781" s="5" t="s">
        <v>91</v>
      </c>
      <c r="H781" s="5" t="s">
        <v>43</v>
      </c>
      <c r="I781" s="5" t="s">
        <v>92</v>
      </c>
      <c r="J781" s="21" t="s">
        <v>275</v>
      </c>
      <c r="K781" s="21" t="s">
        <v>1853</v>
      </c>
      <c r="L781" s="6" t="s">
        <v>1100</v>
      </c>
      <c r="M781" s="5">
        <v>0</v>
      </c>
      <c r="N781" s="5" t="s">
        <v>91</v>
      </c>
      <c r="O781" s="5" t="s">
        <v>91</v>
      </c>
      <c r="P781" s="5" t="s">
        <v>91</v>
      </c>
      <c r="Q781" s="6" t="s">
        <v>96</v>
      </c>
      <c r="R781" s="6" t="s">
        <v>123</v>
      </c>
      <c r="S781" s="6"/>
      <c r="T781" s="6"/>
      <c r="U781" s="5"/>
      <c r="V781" s="6" t="s">
        <v>113</v>
      </c>
      <c r="W781" s="6" t="s">
        <v>1854</v>
      </c>
      <c r="X781" s="6"/>
      <c r="Y781" s="22"/>
      <c r="Z781" s="6"/>
      <c r="AA781" s="21"/>
      <c r="AB781" s="23">
        <v>44104</v>
      </c>
      <c r="AC781" s="21" t="s">
        <v>32</v>
      </c>
      <c r="AD781" s="24" t="s">
        <v>1855</v>
      </c>
      <c r="AE781" s="6" t="s">
        <v>31</v>
      </c>
      <c r="AF781" s="6"/>
      <c r="AG781" s="6" t="s">
        <v>3040</v>
      </c>
    </row>
    <row r="782" spans="1:33" ht="7.5" customHeight="1" x14ac:dyDescent="0.25">
      <c r="A782" s="27"/>
      <c r="B782" s="39"/>
      <c r="C782" s="39"/>
      <c r="D782" s="39"/>
      <c r="E782" s="28"/>
      <c r="F782" s="27"/>
      <c r="G782" s="27"/>
      <c r="H782" s="27"/>
      <c r="I782" s="27"/>
      <c r="J782" s="30"/>
      <c r="K782" s="30"/>
      <c r="L782" s="29"/>
      <c r="M782" s="27"/>
      <c r="N782" s="27"/>
      <c r="O782" s="27"/>
      <c r="P782" s="27"/>
      <c r="Q782" s="29"/>
      <c r="R782" s="29"/>
      <c r="S782" s="29"/>
      <c r="T782" s="29"/>
      <c r="U782" s="27"/>
      <c r="V782" s="29"/>
      <c r="W782" s="29"/>
      <c r="X782" s="29"/>
      <c r="Y782" s="31"/>
      <c r="Z782" s="29"/>
      <c r="AA782" s="30"/>
      <c r="AB782" s="32"/>
      <c r="AC782" s="30"/>
      <c r="AD782" s="33"/>
      <c r="AE782" s="29"/>
      <c r="AF782" s="29"/>
      <c r="AG782" s="29"/>
    </row>
    <row r="783" spans="1:33" ht="15" customHeight="1" x14ac:dyDescent="0.25">
      <c r="A783" s="5">
        <v>42</v>
      </c>
      <c r="B783" s="38">
        <v>44116</v>
      </c>
      <c r="C783" s="38">
        <v>44102</v>
      </c>
      <c r="D783" s="38">
        <v>44095</v>
      </c>
      <c r="E783" s="37">
        <v>44116</v>
      </c>
      <c r="F783" s="5">
        <v>12090</v>
      </c>
      <c r="G783" s="5" t="s">
        <v>91</v>
      </c>
      <c r="H783" s="5" t="s">
        <v>40</v>
      </c>
      <c r="I783" s="5" t="s">
        <v>92</v>
      </c>
      <c r="J783" s="21" t="s">
        <v>275</v>
      </c>
      <c r="K783" s="21" t="s">
        <v>1902</v>
      </c>
      <c r="L783" s="6" t="s">
        <v>95</v>
      </c>
      <c r="M783" s="5">
        <v>10</v>
      </c>
      <c r="N783" s="5" t="s">
        <v>91</v>
      </c>
      <c r="O783" s="5" t="s">
        <v>91</v>
      </c>
      <c r="P783" s="5" t="s">
        <v>91</v>
      </c>
      <c r="Q783" s="6" t="s">
        <v>105</v>
      </c>
      <c r="R783" s="6" t="s">
        <v>112</v>
      </c>
      <c r="S783" s="6"/>
      <c r="T783" s="6"/>
      <c r="U783" s="5"/>
      <c r="V783" s="6"/>
      <c r="W783" s="6" t="s">
        <v>1903</v>
      </c>
      <c r="X783" s="6"/>
      <c r="Y783" s="22"/>
      <c r="Z783" s="6"/>
      <c r="AA783" s="21"/>
      <c r="AB783" s="23">
        <v>44097</v>
      </c>
      <c r="AC783" s="21" t="s">
        <v>39</v>
      </c>
      <c r="AD783" s="24" t="s">
        <v>1904</v>
      </c>
      <c r="AE783" s="6" t="s">
        <v>31</v>
      </c>
      <c r="AF783" s="6"/>
      <c r="AG783" s="6" t="s">
        <v>3039</v>
      </c>
    </row>
    <row r="784" spans="1:33" ht="15" customHeight="1" x14ac:dyDescent="0.25">
      <c r="A784" s="5">
        <v>42</v>
      </c>
      <c r="B784" s="38">
        <v>44116</v>
      </c>
      <c r="C784" s="38">
        <v>44102</v>
      </c>
      <c r="D784" s="38">
        <v>44095</v>
      </c>
      <c r="E784" s="37">
        <v>44116</v>
      </c>
      <c r="F784" s="5">
        <v>12096</v>
      </c>
      <c r="G784" s="5" t="s">
        <v>91</v>
      </c>
      <c r="H784" s="5" t="s">
        <v>43</v>
      </c>
      <c r="I784" s="5" t="s">
        <v>92</v>
      </c>
      <c r="J784" s="21" t="s">
        <v>275</v>
      </c>
      <c r="K784" s="21" t="s">
        <v>1905</v>
      </c>
      <c r="L784" s="6" t="s">
        <v>95</v>
      </c>
      <c r="M784" s="5">
        <v>1</v>
      </c>
      <c r="N784" s="5" t="s">
        <v>91</v>
      </c>
      <c r="O784" s="5" t="s">
        <v>91</v>
      </c>
      <c r="P784" s="5" t="s">
        <v>91</v>
      </c>
      <c r="Q784" s="6" t="s">
        <v>105</v>
      </c>
      <c r="R784" s="6" t="s">
        <v>112</v>
      </c>
      <c r="S784" s="6"/>
      <c r="T784" s="6"/>
      <c r="U784" s="5"/>
      <c r="V784" s="6"/>
      <c r="W784" s="6" t="s">
        <v>282</v>
      </c>
      <c r="X784" s="6"/>
      <c r="Y784" s="22"/>
      <c r="Z784" s="6"/>
      <c r="AA784" s="21"/>
      <c r="AB784" s="23">
        <v>44105</v>
      </c>
      <c r="AC784" s="21" t="s">
        <v>30</v>
      </c>
      <c r="AD784" s="24" t="s">
        <v>1906</v>
      </c>
      <c r="AE784" s="6" t="s">
        <v>31</v>
      </c>
      <c r="AF784" s="6"/>
      <c r="AG784" s="6" t="s">
        <v>3040</v>
      </c>
    </row>
    <row r="785" spans="1:33" ht="7.5" customHeight="1" x14ac:dyDescent="0.25">
      <c r="A785" s="27"/>
      <c r="B785" s="39"/>
      <c r="C785" s="39"/>
      <c r="D785" s="39"/>
      <c r="E785" s="28"/>
      <c r="F785" s="27"/>
      <c r="G785" s="27"/>
      <c r="H785" s="27"/>
      <c r="I785" s="27"/>
      <c r="J785" s="30"/>
      <c r="K785" s="30"/>
      <c r="L785" s="29"/>
      <c r="M785" s="27"/>
      <c r="N785" s="27"/>
      <c r="O785" s="27"/>
      <c r="P785" s="27"/>
      <c r="Q785" s="29"/>
      <c r="R785" s="29"/>
      <c r="S785" s="29"/>
      <c r="T785" s="29"/>
      <c r="U785" s="27"/>
      <c r="V785" s="29"/>
      <c r="W785" s="29"/>
      <c r="X785" s="29"/>
      <c r="Y785" s="31"/>
      <c r="Z785" s="29"/>
      <c r="AA785" s="30"/>
      <c r="AB785" s="32"/>
      <c r="AC785" s="30"/>
      <c r="AD785" s="33"/>
      <c r="AE785" s="29"/>
      <c r="AF785" s="29"/>
      <c r="AG785" s="29"/>
    </row>
    <row r="786" spans="1:33" ht="15" customHeight="1" x14ac:dyDescent="0.25">
      <c r="A786" s="5">
        <v>41</v>
      </c>
      <c r="B786" s="38">
        <v>44111</v>
      </c>
      <c r="C786" s="38">
        <v>44102</v>
      </c>
      <c r="D786" s="38">
        <v>44084</v>
      </c>
      <c r="E786" s="28">
        <v>44111</v>
      </c>
      <c r="F786" s="5">
        <v>4840</v>
      </c>
      <c r="G786" s="5" t="s">
        <v>91</v>
      </c>
      <c r="H786" s="5" t="s">
        <v>41</v>
      </c>
      <c r="I786" s="5" t="s">
        <v>92</v>
      </c>
      <c r="J786" s="21" t="s">
        <v>109</v>
      </c>
      <c r="K786" s="21" t="s">
        <v>1856</v>
      </c>
      <c r="L786" s="6" t="s">
        <v>1857</v>
      </c>
      <c r="M786" s="5">
        <v>1</v>
      </c>
      <c r="N786" s="5" t="s">
        <v>91</v>
      </c>
      <c r="O786" s="5" t="s">
        <v>91</v>
      </c>
      <c r="P786" s="5" t="s">
        <v>91</v>
      </c>
      <c r="Q786" s="6" t="s">
        <v>96</v>
      </c>
      <c r="R786" s="6" t="s">
        <v>112</v>
      </c>
      <c r="S786" s="6"/>
      <c r="T786" s="6"/>
      <c r="U786" s="5"/>
      <c r="V786" s="6"/>
      <c r="W786" s="6" t="s">
        <v>536</v>
      </c>
      <c r="X786" s="6"/>
      <c r="Y786" s="22"/>
      <c r="Z786" s="6">
        <v>0.15</v>
      </c>
      <c r="AA786" s="21">
        <v>15657</v>
      </c>
      <c r="AB786" s="23">
        <v>44097</v>
      </c>
      <c r="AC786" s="21" t="s">
        <v>32</v>
      </c>
      <c r="AD786" s="24" t="s">
        <v>1858</v>
      </c>
      <c r="AE786" s="6" t="s">
        <v>38</v>
      </c>
      <c r="AF786" s="6"/>
      <c r="AG786" s="6" t="s">
        <v>3041</v>
      </c>
    </row>
    <row r="787" spans="1:33" ht="7.5" customHeight="1" x14ac:dyDescent="0.25">
      <c r="A787" s="27"/>
      <c r="B787" s="39"/>
      <c r="C787" s="39"/>
      <c r="D787" s="39"/>
      <c r="E787" s="28"/>
      <c r="F787" s="27"/>
      <c r="G787" s="27"/>
      <c r="H787" s="27"/>
      <c r="I787" s="27"/>
      <c r="J787" s="30"/>
      <c r="K787" s="30"/>
      <c r="L787" s="29"/>
      <c r="M787" s="27"/>
      <c r="N787" s="27"/>
      <c r="O787" s="27"/>
      <c r="P787" s="27"/>
      <c r="Q787" s="29"/>
      <c r="R787" s="29"/>
      <c r="S787" s="29"/>
      <c r="T787" s="29"/>
      <c r="U787" s="27"/>
      <c r="V787" s="29"/>
      <c r="W787" s="29"/>
      <c r="X787" s="29"/>
      <c r="Y787" s="31"/>
      <c r="Z787" s="29"/>
      <c r="AA787" s="30"/>
      <c r="AB787" s="32"/>
      <c r="AC787" s="30"/>
      <c r="AD787" s="33"/>
      <c r="AE787" s="29"/>
      <c r="AF787" s="29"/>
      <c r="AG787" s="29"/>
    </row>
    <row r="788" spans="1:33" ht="15" customHeight="1" x14ac:dyDescent="0.25">
      <c r="A788" s="5">
        <v>42</v>
      </c>
      <c r="B788" s="38">
        <v>44116</v>
      </c>
      <c r="C788" s="38">
        <v>44102</v>
      </c>
      <c r="D788" s="38">
        <v>44095</v>
      </c>
      <c r="E788" s="37">
        <v>44116</v>
      </c>
      <c r="F788" s="5">
        <v>4838</v>
      </c>
      <c r="G788" s="5" t="s">
        <v>91</v>
      </c>
      <c r="H788" s="5" t="s">
        <v>43</v>
      </c>
      <c r="I788" s="5" t="s">
        <v>92</v>
      </c>
      <c r="J788" s="21" t="s">
        <v>109</v>
      </c>
      <c r="K788" s="21" t="s">
        <v>1911</v>
      </c>
      <c r="L788" s="6" t="s">
        <v>1912</v>
      </c>
      <c r="M788" s="5">
        <v>13</v>
      </c>
      <c r="N788" s="5" t="s">
        <v>91</v>
      </c>
      <c r="O788" s="5" t="s">
        <v>91</v>
      </c>
      <c r="P788" s="5" t="s">
        <v>91</v>
      </c>
      <c r="Q788" s="6" t="s">
        <v>105</v>
      </c>
      <c r="R788" s="6" t="s">
        <v>112</v>
      </c>
      <c r="S788" s="6"/>
      <c r="T788" s="6"/>
      <c r="U788" s="5"/>
      <c r="V788" s="6"/>
      <c r="W788" s="6" t="s">
        <v>1913</v>
      </c>
      <c r="X788" s="6"/>
      <c r="Y788" s="22"/>
      <c r="Z788" s="6">
        <v>4.8</v>
      </c>
      <c r="AA788" s="21">
        <v>13904</v>
      </c>
      <c r="AB788" s="23">
        <v>44096</v>
      </c>
      <c r="AC788" s="21" t="s">
        <v>30</v>
      </c>
      <c r="AD788" s="24" t="s">
        <v>1914</v>
      </c>
      <c r="AE788" s="6" t="s">
        <v>36</v>
      </c>
      <c r="AF788" s="6"/>
      <c r="AG788" s="6" t="s">
        <v>3042</v>
      </c>
    </row>
    <row r="789" spans="1:33" ht="15" customHeight="1" x14ac:dyDescent="0.25">
      <c r="A789" s="5">
        <v>42</v>
      </c>
      <c r="B789" s="38">
        <v>44116</v>
      </c>
      <c r="C789" s="38">
        <v>44102</v>
      </c>
      <c r="D789" s="38">
        <v>44095</v>
      </c>
      <c r="E789" s="37">
        <v>44116</v>
      </c>
      <c r="F789" s="5">
        <v>5674</v>
      </c>
      <c r="G789" s="5" t="s">
        <v>91</v>
      </c>
      <c r="H789" s="5" t="s">
        <v>43</v>
      </c>
      <c r="I789" s="5" t="s">
        <v>92</v>
      </c>
      <c r="J789" s="21" t="s">
        <v>131</v>
      </c>
      <c r="K789" s="21" t="s">
        <v>1918</v>
      </c>
      <c r="L789" s="6" t="s">
        <v>216</v>
      </c>
      <c r="M789" s="5">
        <v>9</v>
      </c>
      <c r="N789" s="5" t="s">
        <v>91</v>
      </c>
      <c r="O789" s="5" t="s">
        <v>91</v>
      </c>
      <c r="P789" s="5" t="s">
        <v>91</v>
      </c>
      <c r="Q789" s="6" t="s">
        <v>105</v>
      </c>
      <c r="R789" s="6" t="s">
        <v>112</v>
      </c>
      <c r="S789" s="6"/>
      <c r="T789" s="6"/>
      <c r="U789" s="5"/>
      <c r="V789" s="6"/>
      <c r="W789" s="6" t="s">
        <v>1919</v>
      </c>
      <c r="X789" s="6"/>
      <c r="Y789" s="22"/>
      <c r="Z789" s="6">
        <v>4.5</v>
      </c>
      <c r="AA789" s="21"/>
      <c r="AB789" s="23">
        <v>44096</v>
      </c>
      <c r="AC789" s="21" t="s">
        <v>32</v>
      </c>
      <c r="AD789" s="24" t="s">
        <v>1920</v>
      </c>
      <c r="AE789" s="6" t="s">
        <v>31</v>
      </c>
      <c r="AF789" s="6"/>
      <c r="AG789" s="6" t="s">
        <v>3040</v>
      </c>
    </row>
    <row r="790" spans="1:33" ht="15" customHeight="1" x14ac:dyDescent="0.25">
      <c r="A790" s="5">
        <v>42</v>
      </c>
      <c r="B790" s="38">
        <v>44116</v>
      </c>
      <c r="C790" s="38">
        <v>44102</v>
      </c>
      <c r="D790" s="38">
        <v>44095</v>
      </c>
      <c r="E790" s="37">
        <v>44116</v>
      </c>
      <c r="F790" s="5">
        <v>5696</v>
      </c>
      <c r="G790" s="5" t="s">
        <v>91</v>
      </c>
      <c r="H790" s="5" t="s">
        <v>43</v>
      </c>
      <c r="I790" s="5" t="s">
        <v>92</v>
      </c>
      <c r="J790" s="21" t="s">
        <v>131</v>
      </c>
      <c r="K790" s="21" t="s">
        <v>1921</v>
      </c>
      <c r="L790" s="6" t="s">
        <v>640</v>
      </c>
      <c r="M790" s="5">
        <v>0</v>
      </c>
      <c r="N790" s="5" t="s">
        <v>91</v>
      </c>
      <c r="O790" s="5" t="s">
        <v>91</v>
      </c>
      <c r="P790" s="5" t="s">
        <v>91</v>
      </c>
      <c r="Q790" s="6" t="s">
        <v>96</v>
      </c>
      <c r="R790" s="6" t="s">
        <v>112</v>
      </c>
      <c r="S790" s="6"/>
      <c r="T790" s="6"/>
      <c r="U790" s="5"/>
      <c r="V790" s="6" t="s">
        <v>190</v>
      </c>
      <c r="W790" s="6" t="s">
        <v>502</v>
      </c>
      <c r="X790" s="6"/>
      <c r="Y790" s="22"/>
      <c r="Z790" s="6"/>
      <c r="AA790" s="21"/>
      <c r="AB790" s="23">
        <v>44111</v>
      </c>
      <c r="AC790" s="21" t="s">
        <v>32</v>
      </c>
      <c r="AD790" s="24" t="s">
        <v>1922</v>
      </c>
      <c r="AE790" s="6" t="s">
        <v>35</v>
      </c>
      <c r="AF790" s="6"/>
      <c r="AG790" s="6" t="s">
        <v>3041</v>
      </c>
    </row>
    <row r="791" spans="1:33" ht="7.5" customHeight="1" x14ac:dyDescent="0.25">
      <c r="A791" s="27"/>
      <c r="B791" s="39"/>
      <c r="C791" s="39"/>
      <c r="D791" s="39"/>
      <c r="E791" s="28"/>
      <c r="F791" s="27"/>
      <c r="G791" s="27"/>
      <c r="H791" s="27"/>
      <c r="I791" s="27"/>
      <c r="J791" s="30"/>
      <c r="K791" s="30"/>
      <c r="L791" s="29"/>
      <c r="M791" s="27"/>
      <c r="N791" s="27"/>
      <c r="O791" s="27"/>
      <c r="P791" s="27"/>
      <c r="Q791" s="29"/>
      <c r="R791" s="29"/>
      <c r="S791" s="29"/>
      <c r="T791" s="29"/>
      <c r="U791" s="27"/>
      <c r="V791" s="29"/>
      <c r="W791" s="29"/>
      <c r="X791" s="29"/>
      <c r="Y791" s="31"/>
      <c r="Z791" s="29"/>
      <c r="AA791" s="30"/>
      <c r="AB791" s="32"/>
      <c r="AC791" s="30"/>
      <c r="AD791" s="33"/>
      <c r="AE791" s="29"/>
      <c r="AF791" s="29"/>
      <c r="AG791" s="29"/>
    </row>
    <row r="792" spans="1:33" ht="15" customHeight="1" x14ac:dyDescent="0.25">
      <c r="A792" s="5">
        <v>42</v>
      </c>
      <c r="B792" s="38">
        <v>44118</v>
      </c>
      <c r="C792" s="38">
        <v>44102</v>
      </c>
      <c r="D792" s="38">
        <v>44083</v>
      </c>
      <c r="E792" s="37">
        <v>44118</v>
      </c>
      <c r="F792" s="5">
        <v>5671</v>
      </c>
      <c r="G792" s="5" t="s">
        <v>91</v>
      </c>
      <c r="H792" s="5" t="s">
        <v>40</v>
      </c>
      <c r="I792" s="5" t="s">
        <v>92</v>
      </c>
      <c r="J792" s="21" t="s">
        <v>131</v>
      </c>
      <c r="K792" s="21" t="s">
        <v>2013</v>
      </c>
      <c r="L792" s="6" t="s">
        <v>878</v>
      </c>
      <c r="M792" s="5">
        <v>0</v>
      </c>
      <c r="N792" s="5" t="s">
        <v>91</v>
      </c>
      <c r="O792" s="5" t="s">
        <v>91</v>
      </c>
      <c r="P792" s="5" t="s">
        <v>91</v>
      </c>
      <c r="Q792" s="6"/>
      <c r="R792" s="6"/>
      <c r="S792" s="6"/>
      <c r="T792" s="6"/>
      <c r="U792" s="5"/>
      <c r="V792" s="6"/>
      <c r="W792" s="6" t="s">
        <v>183</v>
      </c>
      <c r="X792" s="6"/>
      <c r="Y792" s="22"/>
      <c r="Z792" s="6">
        <v>0</v>
      </c>
      <c r="AA792" s="21"/>
      <c r="AB792" s="23">
        <v>44091</v>
      </c>
      <c r="AC792" s="21" t="s">
        <v>30</v>
      </c>
      <c r="AD792" s="24" t="s">
        <v>115</v>
      </c>
      <c r="AE792" s="6" t="s">
        <v>36</v>
      </c>
      <c r="AF792" s="6"/>
      <c r="AG792" s="6" t="s">
        <v>3041</v>
      </c>
    </row>
    <row r="793" spans="1:33" ht="7.5" customHeight="1" x14ac:dyDescent="0.25">
      <c r="A793" s="27"/>
      <c r="B793" s="39"/>
      <c r="C793" s="39"/>
      <c r="D793" s="39"/>
      <c r="E793" s="28"/>
      <c r="F793" s="27"/>
      <c r="G793" s="27"/>
      <c r="H793" s="27"/>
      <c r="I793" s="27"/>
      <c r="J793" s="30"/>
      <c r="K793" s="30"/>
      <c r="L793" s="29"/>
      <c r="M793" s="27"/>
      <c r="N793" s="27"/>
      <c r="O793" s="27"/>
      <c r="P793" s="27"/>
      <c r="Q793" s="29"/>
      <c r="R793" s="29"/>
      <c r="S793" s="29"/>
      <c r="T793" s="29"/>
      <c r="U793" s="27"/>
      <c r="V793" s="29"/>
      <c r="W793" s="29"/>
      <c r="X793" s="29"/>
      <c r="Y793" s="31"/>
      <c r="Z793" s="29"/>
      <c r="AA793" s="30"/>
      <c r="AB793" s="32"/>
      <c r="AC793" s="30"/>
      <c r="AD793" s="33"/>
      <c r="AE793" s="29"/>
      <c r="AF793" s="29"/>
      <c r="AG793" s="29"/>
    </row>
    <row r="794" spans="1:33" ht="15" customHeight="1" x14ac:dyDescent="0.25">
      <c r="A794" s="5">
        <v>43</v>
      </c>
      <c r="B794" s="38">
        <v>44123</v>
      </c>
      <c r="C794" s="38">
        <v>44102</v>
      </c>
      <c r="D794" s="38">
        <v>44095</v>
      </c>
      <c r="E794" s="34">
        <v>44123</v>
      </c>
      <c r="F794" s="5">
        <v>5687</v>
      </c>
      <c r="G794" s="5" t="s">
        <v>91</v>
      </c>
      <c r="H794" s="5" t="s">
        <v>40</v>
      </c>
      <c r="I794" s="5" t="s">
        <v>92</v>
      </c>
      <c r="J794" s="21" t="s">
        <v>131</v>
      </c>
      <c r="K794" s="21" t="s">
        <v>2113</v>
      </c>
      <c r="L794" s="6" t="s">
        <v>924</v>
      </c>
      <c r="M794" s="5">
        <v>12</v>
      </c>
      <c r="N794" s="5" t="s">
        <v>91</v>
      </c>
      <c r="O794" s="5" t="s">
        <v>91</v>
      </c>
      <c r="P794" s="5" t="s">
        <v>91</v>
      </c>
      <c r="Q794" s="6"/>
      <c r="R794" s="6" t="s">
        <v>2106</v>
      </c>
      <c r="S794" s="6"/>
      <c r="T794" s="6"/>
      <c r="U794" s="5"/>
      <c r="V794" s="6" t="s">
        <v>2114</v>
      </c>
      <c r="W794" s="6" t="s">
        <v>1919</v>
      </c>
      <c r="X794" s="6"/>
      <c r="Y794" s="22"/>
      <c r="Z794" s="6">
        <v>4.5</v>
      </c>
      <c r="AA794" s="21"/>
      <c r="AB794" s="23">
        <v>44102</v>
      </c>
      <c r="AC794" s="21" t="s">
        <v>30</v>
      </c>
      <c r="AD794" s="24" t="s">
        <v>2115</v>
      </c>
      <c r="AE794" s="6" t="s">
        <v>31</v>
      </c>
      <c r="AF794" s="6"/>
      <c r="AG794" s="6" t="s">
        <v>3041</v>
      </c>
    </row>
    <row r="795" spans="1:33" ht="7.5" customHeight="1" x14ac:dyDescent="0.25">
      <c r="A795" s="27"/>
      <c r="B795" s="39"/>
      <c r="C795" s="39"/>
      <c r="D795" s="39"/>
      <c r="E795" s="28"/>
      <c r="F795" s="27"/>
      <c r="G795" s="27"/>
      <c r="H795" s="27"/>
      <c r="I795" s="27"/>
      <c r="J795" s="30"/>
      <c r="K795" s="30"/>
      <c r="L795" s="29"/>
      <c r="M795" s="27"/>
      <c r="N795" s="27"/>
      <c r="O795" s="27"/>
      <c r="P795" s="27"/>
      <c r="Q795" s="29"/>
      <c r="R795" s="29"/>
      <c r="S795" s="29"/>
      <c r="T795" s="29"/>
      <c r="U795" s="27"/>
      <c r="V795" s="29"/>
      <c r="W795" s="29"/>
      <c r="X795" s="29"/>
      <c r="Y795" s="31"/>
      <c r="Z795" s="29"/>
      <c r="AA795" s="30"/>
      <c r="AB795" s="32"/>
      <c r="AC795" s="30"/>
      <c r="AD795" s="33"/>
      <c r="AE795" s="29"/>
      <c r="AF795" s="29"/>
      <c r="AG795" s="29"/>
    </row>
    <row r="796" spans="1:33" ht="15" customHeight="1" x14ac:dyDescent="0.25">
      <c r="A796" s="5">
        <v>41</v>
      </c>
      <c r="B796" s="38">
        <v>44111</v>
      </c>
      <c r="C796" s="38">
        <v>44102</v>
      </c>
      <c r="D796" s="38">
        <v>44083</v>
      </c>
      <c r="E796" s="28">
        <v>44111</v>
      </c>
      <c r="F796" s="5">
        <v>7787</v>
      </c>
      <c r="G796" s="5" t="s">
        <v>91</v>
      </c>
      <c r="H796" s="5" t="s">
        <v>41</v>
      </c>
      <c r="I796" s="5" t="s">
        <v>92</v>
      </c>
      <c r="J796" s="21" t="s">
        <v>214</v>
      </c>
      <c r="K796" s="21" t="s">
        <v>1874</v>
      </c>
      <c r="L796" s="6" t="s">
        <v>1875</v>
      </c>
      <c r="M796" s="5">
        <v>14</v>
      </c>
      <c r="N796" s="5" t="s">
        <v>91</v>
      </c>
      <c r="O796" s="5" t="s">
        <v>91</v>
      </c>
      <c r="P796" s="5" t="s">
        <v>91</v>
      </c>
      <c r="Q796" s="6" t="s">
        <v>105</v>
      </c>
      <c r="R796" s="6" t="s">
        <v>223</v>
      </c>
      <c r="S796" s="6"/>
      <c r="T796" s="6"/>
      <c r="U796" s="5"/>
      <c r="V796" s="6"/>
      <c r="W796" s="6" t="s">
        <v>1876</v>
      </c>
      <c r="X796" s="6" t="s">
        <v>1877</v>
      </c>
      <c r="Y796" s="22"/>
      <c r="Z796" s="6">
        <v>3.86</v>
      </c>
      <c r="AA796" s="21" t="s">
        <v>1878</v>
      </c>
      <c r="AB796" s="23">
        <v>44091</v>
      </c>
      <c r="AC796" s="21" t="s">
        <v>30</v>
      </c>
      <c r="AD796" s="24" t="s">
        <v>1879</v>
      </c>
      <c r="AE796" s="6" t="s">
        <v>31</v>
      </c>
      <c r="AF796" s="6"/>
      <c r="AG796" s="6" t="s">
        <v>3039</v>
      </c>
    </row>
    <row r="797" spans="1:33" ht="7.5" customHeight="1" x14ac:dyDescent="0.25">
      <c r="A797" s="27"/>
      <c r="B797" s="39"/>
      <c r="C797" s="39"/>
      <c r="D797" s="39"/>
      <c r="E797" s="28"/>
      <c r="F797" s="27"/>
      <c r="G797" s="27"/>
      <c r="H797" s="27"/>
      <c r="I797" s="27"/>
      <c r="J797" s="30"/>
      <c r="K797" s="30"/>
      <c r="L797" s="29"/>
      <c r="M797" s="27"/>
      <c r="N797" s="27"/>
      <c r="O797" s="27"/>
      <c r="P797" s="27"/>
      <c r="Q797" s="29"/>
      <c r="R797" s="29"/>
      <c r="S797" s="29"/>
      <c r="T797" s="29"/>
      <c r="U797" s="27"/>
      <c r="V797" s="29"/>
      <c r="W797" s="29"/>
      <c r="X797" s="29"/>
      <c r="Y797" s="31"/>
      <c r="Z797" s="29"/>
      <c r="AA797" s="30"/>
      <c r="AB797" s="32"/>
      <c r="AC797" s="30"/>
      <c r="AD797" s="33"/>
      <c r="AE797" s="29"/>
      <c r="AF797" s="29"/>
      <c r="AG797" s="29"/>
    </row>
    <row r="798" spans="1:33" ht="15" customHeight="1" x14ac:dyDescent="0.25">
      <c r="A798" s="5">
        <v>42</v>
      </c>
      <c r="B798" s="38">
        <v>44116</v>
      </c>
      <c r="C798" s="38">
        <v>44102</v>
      </c>
      <c r="D798" s="38">
        <v>44095</v>
      </c>
      <c r="E798" s="37">
        <v>44116</v>
      </c>
      <c r="F798" s="5">
        <v>7790</v>
      </c>
      <c r="G798" s="5" t="s">
        <v>91</v>
      </c>
      <c r="H798" s="5" t="s">
        <v>43</v>
      </c>
      <c r="I798" s="5" t="s">
        <v>92</v>
      </c>
      <c r="J798" s="21" t="s">
        <v>214</v>
      </c>
      <c r="K798" s="21" t="s">
        <v>1935</v>
      </c>
      <c r="L798" s="6" t="s">
        <v>339</v>
      </c>
      <c r="M798" s="5">
        <v>8</v>
      </c>
      <c r="N798" s="5" t="s">
        <v>91</v>
      </c>
      <c r="O798" s="5" t="s">
        <v>91</v>
      </c>
      <c r="P798" s="5" t="s">
        <v>91</v>
      </c>
      <c r="Q798" s="6"/>
      <c r="R798" s="6" t="s">
        <v>217</v>
      </c>
      <c r="S798" s="6"/>
      <c r="T798" s="6"/>
      <c r="U798" s="5"/>
      <c r="V798" s="6"/>
      <c r="W798" s="6" t="s">
        <v>1936</v>
      </c>
      <c r="X798" s="6">
        <v>297761959</v>
      </c>
      <c r="Y798" s="22"/>
      <c r="Z798" s="6">
        <v>3.4</v>
      </c>
      <c r="AA798" s="21" t="s">
        <v>1937</v>
      </c>
      <c r="AB798" s="23">
        <v>44098</v>
      </c>
      <c r="AC798" s="21" t="s">
        <v>32</v>
      </c>
      <c r="AD798" s="24" t="s">
        <v>1938</v>
      </c>
      <c r="AE798" s="6" t="s">
        <v>38</v>
      </c>
      <c r="AF798" s="6"/>
      <c r="AG798" s="6" t="s">
        <v>3042</v>
      </c>
    </row>
    <row r="799" spans="1:33" ht="7.5" customHeight="1" x14ac:dyDescent="0.25">
      <c r="A799" s="27"/>
      <c r="B799" s="39"/>
      <c r="C799" s="39"/>
      <c r="D799" s="39"/>
      <c r="E799" s="28"/>
      <c r="F799" s="27"/>
      <c r="G799" s="27"/>
      <c r="H799" s="27"/>
      <c r="I799" s="27"/>
      <c r="J799" s="30"/>
      <c r="K799" s="30"/>
      <c r="L799" s="29"/>
      <c r="M799" s="27"/>
      <c r="N799" s="27"/>
      <c r="O799" s="27"/>
      <c r="P799" s="27"/>
      <c r="Q799" s="29"/>
      <c r="R799" s="29"/>
      <c r="S799" s="29"/>
      <c r="T799" s="29"/>
      <c r="U799" s="27"/>
      <c r="V799" s="29"/>
      <c r="W799" s="29"/>
      <c r="X799" s="29"/>
      <c r="Y799" s="31"/>
      <c r="Z799" s="29"/>
      <c r="AA799" s="30"/>
      <c r="AB799" s="32"/>
      <c r="AC799" s="30"/>
      <c r="AD799" s="33"/>
      <c r="AE799" s="29"/>
      <c r="AF799" s="29"/>
      <c r="AG799" s="29"/>
    </row>
    <row r="800" spans="1:33" ht="15" customHeight="1" x14ac:dyDescent="0.25">
      <c r="A800" s="5">
        <v>43</v>
      </c>
      <c r="B800" s="38">
        <v>44124</v>
      </c>
      <c r="C800" s="38">
        <v>44103</v>
      </c>
      <c r="D800" s="38">
        <v>44096</v>
      </c>
      <c r="E800" s="34">
        <v>44124</v>
      </c>
      <c r="F800" s="5">
        <v>3103</v>
      </c>
      <c r="G800" s="5" t="s">
        <v>91</v>
      </c>
      <c r="H800" s="5" t="s">
        <v>43</v>
      </c>
      <c r="I800" s="5" t="s">
        <v>92</v>
      </c>
      <c r="J800" s="21" t="s">
        <v>93</v>
      </c>
      <c r="K800" s="21" t="s">
        <v>2147</v>
      </c>
      <c r="L800" s="6" t="s">
        <v>422</v>
      </c>
      <c r="M800" s="5">
        <v>32</v>
      </c>
      <c r="N800" s="5" t="s">
        <v>91</v>
      </c>
      <c r="O800" s="5" t="s">
        <v>91</v>
      </c>
      <c r="P800" s="5" t="s">
        <v>91</v>
      </c>
      <c r="Q800" s="6" t="s">
        <v>105</v>
      </c>
      <c r="R800" s="6" t="s">
        <v>1506</v>
      </c>
      <c r="S800" s="6" t="s">
        <v>1287</v>
      </c>
      <c r="T800" s="6"/>
      <c r="U800" s="5"/>
      <c r="V800" s="6"/>
      <c r="W800" s="6" t="s">
        <v>2148</v>
      </c>
      <c r="X800" s="6" t="s">
        <v>2149</v>
      </c>
      <c r="Y800" s="22"/>
      <c r="Z800" s="6"/>
      <c r="AA800" s="21">
        <v>10152</v>
      </c>
      <c r="AB800" s="23">
        <v>44103</v>
      </c>
      <c r="AC800" s="21" t="s">
        <v>33</v>
      </c>
      <c r="AD800" s="24" t="s">
        <v>2150</v>
      </c>
      <c r="AE800" s="6" t="s">
        <v>31</v>
      </c>
      <c r="AF800" s="6"/>
      <c r="AG800" s="6" t="s">
        <v>3041</v>
      </c>
    </row>
    <row r="801" spans="1:33" ht="7.5" customHeight="1" x14ac:dyDescent="0.25">
      <c r="A801" s="27"/>
      <c r="B801" s="39"/>
      <c r="C801" s="39"/>
      <c r="D801" s="39"/>
      <c r="E801" s="28"/>
      <c r="F801" s="27"/>
      <c r="G801" s="27"/>
      <c r="H801" s="27"/>
      <c r="I801" s="27"/>
      <c r="J801" s="30"/>
      <c r="K801" s="30"/>
      <c r="L801" s="29"/>
      <c r="M801" s="27"/>
      <c r="N801" s="27"/>
      <c r="O801" s="27"/>
      <c r="P801" s="27"/>
      <c r="Q801" s="29"/>
      <c r="R801" s="29"/>
      <c r="S801" s="29"/>
      <c r="T801" s="29"/>
      <c r="U801" s="27"/>
      <c r="V801" s="29"/>
      <c r="W801" s="29"/>
      <c r="X801" s="29"/>
      <c r="Y801" s="31"/>
      <c r="Z801" s="29"/>
      <c r="AA801" s="30"/>
      <c r="AB801" s="32"/>
      <c r="AC801" s="30"/>
      <c r="AD801" s="33"/>
      <c r="AE801" s="29"/>
      <c r="AF801" s="29"/>
      <c r="AG801" s="29"/>
    </row>
    <row r="802" spans="1:33" ht="15" customHeight="1" x14ac:dyDescent="0.25">
      <c r="A802" s="5">
        <v>42</v>
      </c>
      <c r="B802" s="38">
        <v>44117</v>
      </c>
      <c r="C802" s="38">
        <v>44103</v>
      </c>
      <c r="D802" s="38">
        <v>44096</v>
      </c>
      <c r="E802" s="37">
        <v>44117</v>
      </c>
      <c r="F802" s="5">
        <v>4842</v>
      </c>
      <c r="G802" s="5" t="s">
        <v>91</v>
      </c>
      <c r="H802" s="5" t="s">
        <v>41</v>
      </c>
      <c r="I802" s="5" t="s">
        <v>92</v>
      </c>
      <c r="J802" s="21" t="s">
        <v>109</v>
      </c>
      <c r="K802" s="21" t="s">
        <v>1959</v>
      </c>
      <c r="L802" s="6" t="s">
        <v>95</v>
      </c>
      <c r="M802" s="5">
        <v>10</v>
      </c>
      <c r="N802" s="5" t="s">
        <v>91</v>
      </c>
      <c r="O802" s="5" t="s">
        <v>91</v>
      </c>
      <c r="P802" s="5" t="s">
        <v>91</v>
      </c>
      <c r="Q802" s="6" t="s">
        <v>96</v>
      </c>
      <c r="R802" s="6" t="s">
        <v>112</v>
      </c>
      <c r="S802" s="6"/>
      <c r="T802" s="6"/>
      <c r="U802" s="5"/>
      <c r="V802" s="6"/>
      <c r="W802" s="6" t="s">
        <v>1960</v>
      </c>
      <c r="X802" s="6"/>
      <c r="Y802" s="22"/>
      <c r="Z802" s="6">
        <v>3.4</v>
      </c>
      <c r="AA802" s="21">
        <v>15471</v>
      </c>
      <c r="AB802" s="23">
        <v>44099</v>
      </c>
      <c r="AC802" s="21" t="s">
        <v>33</v>
      </c>
      <c r="AD802" s="24" t="s">
        <v>1961</v>
      </c>
      <c r="AE802" s="6" t="s">
        <v>31</v>
      </c>
      <c r="AF802" s="6"/>
      <c r="AG802" s="6" t="s">
        <v>3039</v>
      </c>
    </row>
    <row r="803" spans="1:33" ht="15" customHeight="1" x14ac:dyDescent="0.25">
      <c r="A803" s="5">
        <v>42</v>
      </c>
      <c r="B803" s="38">
        <v>44117</v>
      </c>
      <c r="C803" s="38">
        <v>44103</v>
      </c>
      <c r="D803" s="38">
        <v>44096</v>
      </c>
      <c r="E803" s="37">
        <v>44117</v>
      </c>
      <c r="F803" s="5">
        <v>4844</v>
      </c>
      <c r="G803" s="5" t="s">
        <v>91</v>
      </c>
      <c r="H803" s="5" t="s">
        <v>41</v>
      </c>
      <c r="I803" s="5" t="s">
        <v>92</v>
      </c>
      <c r="J803" s="21" t="s">
        <v>109</v>
      </c>
      <c r="K803" s="21" t="s">
        <v>1962</v>
      </c>
      <c r="L803" s="6" t="s">
        <v>1963</v>
      </c>
      <c r="M803" s="5">
        <v>9</v>
      </c>
      <c r="N803" s="5" t="s">
        <v>91</v>
      </c>
      <c r="O803" s="5" t="s">
        <v>91</v>
      </c>
      <c r="P803" s="5" t="s">
        <v>91</v>
      </c>
      <c r="Q803" s="6" t="s">
        <v>105</v>
      </c>
      <c r="R803" s="6" t="s">
        <v>123</v>
      </c>
      <c r="S803" s="6"/>
      <c r="T803" s="6"/>
      <c r="U803" s="5"/>
      <c r="V803" s="6"/>
      <c r="W803" s="6" t="s">
        <v>1964</v>
      </c>
      <c r="X803" s="6"/>
      <c r="Y803" s="22"/>
      <c r="Z803" s="6">
        <v>6</v>
      </c>
      <c r="AA803" s="21">
        <v>15613</v>
      </c>
      <c r="AB803" s="23">
        <v>44102</v>
      </c>
      <c r="AC803" s="21" t="s">
        <v>32</v>
      </c>
      <c r="AD803" s="24" t="s">
        <v>1965</v>
      </c>
      <c r="AE803" s="6" t="s">
        <v>31</v>
      </c>
      <c r="AF803" s="6"/>
      <c r="AG803" s="6" t="s">
        <v>3040</v>
      </c>
    </row>
    <row r="804" spans="1:33" ht="15" customHeight="1" x14ac:dyDescent="0.25">
      <c r="A804" s="5">
        <v>42</v>
      </c>
      <c r="B804" s="38">
        <v>44117</v>
      </c>
      <c r="C804" s="38">
        <v>44103</v>
      </c>
      <c r="D804" s="38">
        <v>44096</v>
      </c>
      <c r="E804" s="37">
        <v>44117</v>
      </c>
      <c r="F804" s="5">
        <v>8770</v>
      </c>
      <c r="G804" s="5" t="s">
        <v>91</v>
      </c>
      <c r="H804" s="5" t="s">
        <v>43</v>
      </c>
      <c r="I804" s="5" t="s">
        <v>92</v>
      </c>
      <c r="J804" s="21" t="s">
        <v>147</v>
      </c>
      <c r="K804" s="21" t="s">
        <v>1970</v>
      </c>
      <c r="L804" s="6" t="s">
        <v>1971</v>
      </c>
      <c r="M804" s="5">
        <v>8</v>
      </c>
      <c r="N804" s="5" t="s">
        <v>91</v>
      </c>
      <c r="O804" s="5" t="s">
        <v>91</v>
      </c>
      <c r="P804" s="5" t="s">
        <v>91</v>
      </c>
      <c r="Q804" s="6" t="s">
        <v>105</v>
      </c>
      <c r="R804" s="6" t="s">
        <v>106</v>
      </c>
      <c r="S804" s="6"/>
      <c r="T804" s="6"/>
      <c r="U804" s="5"/>
      <c r="V804" s="6"/>
      <c r="W804" s="6" t="s">
        <v>107</v>
      </c>
      <c r="X804" s="6" t="s">
        <v>1972</v>
      </c>
      <c r="Y804" s="22"/>
      <c r="Z804" s="6"/>
      <c r="AA804" s="21"/>
      <c r="AB804" s="23">
        <v>44090</v>
      </c>
      <c r="AC804" s="21" t="s">
        <v>30</v>
      </c>
      <c r="AD804" s="24" t="s">
        <v>1973</v>
      </c>
      <c r="AE804" s="6" t="s">
        <v>38</v>
      </c>
      <c r="AF804" s="6"/>
      <c r="AG804" s="6" t="s">
        <v>3042</v>
      </c>
    </row>
    <row r="805" spans="1:33" ht="7.5" customHeight="1" x14ac:dyDescent="0.25">
      <c r="A805" s="27"/>
      <c r="B805" s="39"/>
      <c r="C805" s="39"/>
      <c r="D805" s="39"/>
      <c r="E805" s="28"/>
      <c r="F805" s="27"/>
      <c r="G805" s="27"/>
      <c r="H805" s="27"/>
      <c r="I805" s="27"/>
      <c r="J805" s="30"/>
      <c r="K805" s="30"/>
      <c r="L805" s="29"/>
      <c r="M805" s="27"/>
      <c r="N805" s="27"/>
      <c r="O805" s="27"/>
      <c r="P805" s="27"/>
      <c r="Q805" s="29"/>
      <c r="R805" s="29"/>
      <c r="S805" s="29"/>
      <c r="T805" s="29"/>
      <c r="U805" s="27"/>
      <c r="V805" s="29"/>
      <c r="W805" s="29"/>
      <c r="X805" s="29"/>
      <c r="Y805" s="31"/>
      <c r="Z805" s="29"/>
      <c r="AA805" s="30"/>
      <c r="AB805" s="32"/>
      <c r="AC805" s="30"/>
      <c r="AD805" s="33"/>
      <c r="AE805" s="29"/>
      <c r="AF805" s="29"/>
      <c r="AG805" s="29"/>
    </row>
    <row r="806" spans="1:33" ht="15" customHeight="1" x14ac:dyDescent="0.25">
      <c r="A806" s="5">
        <v>42</v>
      </c>
      <c r="B806" s="38">
        <v>44118</v>
      </c>
      <c r="C806" s="38">
        <v>44104</v>
      </c>
      <c r="D806" s="38">
        <v>44097</v>
      </c>
      <c r="E806" s="37">
        <v>44118</v>
      </c>
      <c r="F806" s="5">
        <v>10698</v>
      </c>
      <c r="G806" s="5" t="s">
        <v>91</v>
      </c>
      <c r="H806" s="5" t="s">
        <v>41</v>
      </c>
      <c r="I806" s="5" t="s">
        <v>92</v>
      </c>
      <c r="J806" s="21" t="s">
        <v>170</v>
      </c>
      <c r="K806" s="21" t="s">
        <v>1984</v>
      </c>
      <c r="L806" s="6" t="s">
        <v>1985</v>
      </c>
      <c r="M806" s="5">
        <v>4</v>
      </c>
      <c r="N806" s="5" t="s">
        <v>91</v>
      </c>
      <c r="O806" s="5" t="s">
        <v>91</v>
      </c>
      <c r="P806" s="5" t="s">
        <v>91</v>
      </c>
      <c r="Q806" s="6" t="s">
        <v>105</v>
      </c>
      <c r="R806" s="6" t="s">
        <v>123</v>
      </c>
      <c r="S806" s="6"/>
      <c r="T806" s="6"/>
      <c r="U806" s="5"/>
      <c r="V806" s="6"/>
      <c r="W806" s="6" t="s">
        <v>1986</v>
      </c>
      <c r="X806" s="6" t="s">
        <v>1987</v>
      </c>
      <c r="Y806" s="22"/>
      <c r="Z806" s="6">
        <v>1</v>
      </c>
      <c r="AA806" s="21" t="s">
        <v>1988</v>
      </c>
      <c r="AB806" s="23">
        <v>44097</v>
      </c>
      <c r="AC806" s="21" t="s">
        <v>33</v>
      </c>
      <c r="AD806" s="24" t="s">
        <v>1989</v>
      </c>
      <c r="AE806" s="6" t="s">
        <v>31</v>
      </c>
      <c r="AF806" s="6"/>
      <c r="AG806" s="6" t="s">
        <v>3041</v>
      </c>
    </row>
    <row r="807" spans="1:33" ht="7.5" customHeight="1" x14ac:dyDescent="0.25">
      <c r="A807" s="27"/>
      <c r="B807" s="39"/>
      <c r="C807" s="39"/>
      <c r="D807" s="39"/>
      <c r="E807" s="28"/>
      <c r="F807" s="27"/>
      <c r="G807" s="27"/>
      <c r="H807" s="27"/>
      <c r="I807" s="27"/>
      <c r="J807" s="30"/>
      <c r="K807" s="30"/>
      <c r="L807" s="29"/>
      <c r="M807" s="27"/>
      <c r="N807" s="27"/>
      <c r="O807" s="27"/>
      <c r="P807" s="27"/>
      <c r="Q807" s="29"/>
      <c r="R807" s="29"/>
      <c r="S807" s="29"/>
      <c r="T807" s="29"/>
      <c r="U807" s="27"/>
      <c r="V807" s="29"/>
      <c r="W807" s="29"/>
      <c r="X807" s="29"/>
      <c r="Y807" s="31"/>
      <c r="Z807" s="29"/>
      <c r="AA807" s="30"/>
      <c r="AB807" s="32"/>
      <c r="AC807" s="30"/>
      <c r="AD807" s="33"/>
      <c r="AE807" s="29"/>
      <c r="AF807" s="29"/>
      <c r="AG807" s="29"/>
    </row>
    <row r="808" spans="1:33" ht="15" customHeight="1" x14ac:dyDescent="0.25">
      <c r="A808" s="5">
        <v>41</v>
      </c>
      <c r="B808" s="38">
        <v>44113</v>
      </c>
      <c r="C808" s="38">
        <v>44104</v>
      </c>
      <c r="D808" s="38">
        <v>44089</v>
      </c>
      <c r="E808" s="28">
        <v>44113</v>
      </c>
      <c r="F808" s="5">
        <v>3104</v>
      </c>
      <c r="G808" s="5" t="s">
        <v>91</v>
      </c>
      <c r="H808" s="5" t="s">
        <v>43</v>
      </c>
      <c r="I808" s="5" t="s">
        <v>92</v>
      </c>
      <c r="J808" s="21" t="s">
        <v>93</v>
      </c>
      <c r="K808" s="21" t="s">
        <v>1887</v>
      </c>
      <c r="L808" s="6" t="s">
        <v>95</v>
      </c>
      <c r="M808" s="5">
        <v>0</v>
      </c>
      <c r="N808" s="5" t="s">
        <v>91</v>
      </c>
      <c r="O808" s="5" t="s">
        <v>91</v>
      </c>
      <c r="P808" s="5" t="s">
        <v>91</v>
      </c>
      <c r="Q808" s="6" t="s">
        <v>96</v>
      </c>
      <c r="R808" s="6" t="s">
        <v>106</v>
      </c>
      <c r="S808" s="6"/>
      <c r="T808" s="6"/>
      <c r="U808" s="5"/>
      <c r="V808" s="6"/>
      <c r="W808" s="6" t="s">
        <v>106</v>
      </c>
      <c r="X808" s="6"/>
      <c r="Y808" s="22"/>
      <c r="Z808" s="6"/>
      <c r="AA808" s="21" t="s">
        <v>1888</v>
      </c>
      <c r="AB808" s="23">
        <v>44104</v>
      </c>
      <c r="AC808" s="21" t="s">
        <v>32</v>
      </c>
      <c r="AD808" s="24" t="s">
        <v>1889</v>
      </c>
      <c r="AE808" s="6" t="s">
        <v>31</v>
      </c>
      <c r="AF808" s="6"/>
      <c r="AG808" s="6" t="s">
        <v>3042</v>
      </c>
    </row>
    <row r="809" spans="1:33" ht="7.5" customHeight="1" x14ac:dyDescent="0.25">
      <c r="A809" s="27"/>
      <c r="B809" s="39"/>
      <c r="C809" s="39"/>
      <c r="D809" s="39"/>
      <c r="E809" s="28"/>
      <c r="F809" s="27"/>
      <c r="G809" s="27"/>
      <c r="H809" s="27"/>
      <c r="I809" s="27"/>
      <c r="J809" s="30"/>
      <c r="K809" s="30"/>
      <c r="L809" s="29"/>
      <c r="M809" s="27"/>
      <c r="N809" s="27"/>
      <c r="O809" s="27"/>
      <c r="P809" s="27"/>
      <c r="Q809" s="29"/>
      <c r="R809" s="29"/>
      <c r="S809" s="29"/>
      <c r="T809" s="29"/>
      <c r="U809" s="27"/>
      <c r="V809" s="29"/>
      <c r="W809" s="29"/>
      <c r="X809" s="29"/>
      <c r="Y809" s="31"/>
      <c r="Z809" s="29"/>
      <c r="AA809" s="30"/>
      <c r="AB809" s="32"/>
      <c r="AC809" s="30"/>
      <c r="AD809" s="33"/>
      <c r="AE809" s="29"/>
      <c r="AF809" s="29"/>
      <c r="AG809" s="29"/>
    </row>
    <row r="810" spans="1:33" ht="15" customHeight="1" x14ac:dyDescent="0.25">
      <c r="A810" s="5">
        <v>42</v>
      </c>
      <c r="B810" s="38">
        <v>44118</v>
      </c>
      <c r="C810" s="38">
        <v>44104</v>
      </c>
      <c r="D810" s="38">
        <v>44097</v>
      </c>
      <c r="E810" s="37">
        <v>44118</v>
      </c>
      <c r="F810" s="5">
        <v>3094</v>
      </c>
      <c r="G810" s="5" t="s">
        <v>91</v>
      </c>
      <c r="H810" s="5" t="s">
        <v>40</v>
      </c>
      <c r="I810" s="5" t="s">
        <v>92</v>
      </c>
      <c r="J810" s="21" t="s">
        <v>93</v>
      </c>
      <c r="K810" s="21" t="s">
        <v>1998</v>
      </c>
      <c r="L810" s="6" t="s">
        <v>1999</v>
      </c>
      <c r="M810" s="5">
        <v>14</v>
      </c>
      <c r="N810" s="5" t="s">
        <v>91</v>
      </c>
      <c r="O810" s="5" t="s">
        <v>91</v>
      </c>
      <c r="P810" s="5" t="s">
        <v>91</v>
      </c>
      <c r="Q810" s="6" t="s">
        <v>105</v>
      </c>
      <c r="R810" s="6" t="s">
        <v>529</v>
      </c>
      <c r="S810" s="6" t="s">
        <v>1287</v>
      </c>
      <c r="T810" s="6"/>
      <c r="U810" s="5"/>
      <c r="V810" s="6" t="s">
        <v>2000</v>
      </c>
      <c r="W810" s="6" t="s">
        <v>2001</v>
      </c>
      <c r="X810" s="6" t="s">
        <v>2002</v>
      </c>
      <c r="Y810" s="22"/>
      <c r="Z810" s="6"/>
      <c r="AA810" s="21">
        <v>10189</v>
      </c>
      <c r="AB810" s="23">
        <v>44097</v>
      </c>
      <c r="AC810" s="21" t="s">
        <v>30</v>
      </c>
      <c r="AD810" s="24" t="s">
        <v>2003</v>
      </c>
      <c r="AE810" s="6" t="s">
        <v>34</v>
      </c>
      <c r="AF810" s="6"/>
      <c r="AG810" s="6" t="s">
        <v>3040</v>
      </c>
    </row>
    <row r="811" spans="1:33" ht="15" customHeight="1" x14ac:dyDescent="0.25">
      <c r="A811" s="5">
        <v>42</v>
      </c>
      <c r="B811" s="38">
        <v>44118</v>
      </c>
      <c r="C811" s="38">
        <v>44104</v>
      </c>
      <c r="D811" s="38">
        <v>44097</v>
      </c>
      <c r="E811" s="37">
        <v>44118</v>
      </c>
      <c r="F811" s="5">
        <v>3116</v>
      </c>
      <c r="G811" s="5" t="s">
        <v>91</v>
      </c>
      <c r="H811" s="5" t="s">
        <v>43</v>
      </c>
      <c r="I811" s="5" t="s">
        <v>92</v>
      </c>
      <c r="J811" s="21" t="s">
        <v>93</v>
      </c>
      <c r="K811" s="21" t="s">
        <v>2004</v>
      </c>
      <c r="L811" s="6" t="s">
        <v>152</v>
      </c>
      <c r="M811" s="5">
        <v>0</v>
      </c>
      <c r="N811" s="5" t="s">
        <v>91</v>
      </c>
      <c r="O811" s="5" t="s">
        <v>91</v>
      </c>
      <c r="P811" s="5" t="s">
        <v>91</v>
      </c>
      <c r="Q811" s="6" t="s">
        <v>2005</v>
      </c>
      <c r="R811" s="6"/>
      <c r="S811" s="6"/>
      <c r="T811" s="6"/>
      <c r="U811" s="5"/>
      <c r="V811" s="6"/>
      <c r="W811" s="6" t="s">
        <v>106</v>
      </c>
      <c r="X811" s="6"/>
      <c r="Y811" s="22"/>
      <c r="Z811" s="6"/>
      <c r="AA811" s="21">
        <v>1017300</v>
      </c>
      <c r="AB811" s="23">
        <v>44116</v>
      </c>
      <c r="AC811" s="21" t="s">
        <v>30</v>
      </c>
      <c r="AD811" s="24" t="s">
        <v>2006</v>
      </c>
      <c r="AE811" s="6" t="s">
        <v>31</v>
      </c>
      <c r="AF811" s="6"/>
      <c r="AG811" s="6" t="s">
        <v>3041</v>
      </c>
    </row>
    <row r="812" spans="1:33" ht="15" customHeight="1" x14ac:dyDescent="0.25">
      <c r="A812" s="5">
        <v>42</v>
      </c>
      <c r="B812" s="38">
        <v>44118</v>
      </c>
      <c r="C812" s="38">
        <v>44104</v>
      </c>
      <c r="D812" s="38">
        <v>44097</v>
      </c>
      <c r="E812" s="37">
        <v>44118</v>
      </c>
      <c r="F812" s="5">
        <v>4846</v>
      </c>
      <c r="G812" s="5" t="s">
        <v>91</v>
      </c>
      <c r="H812" s="5" t="s">
        <v>40</v>
      </c>
      <c r="I812" s="5" t="s">
        <v>92</v>
      </c>
      <c r="J812" s="21" t="s">
        <v>109</v>
      </c>
      <c r="K812" s="21" t="s">
        <v>2007</v>
      </c>
      <c r="L812" s="6" t="s">
        <v>1963</v>
      </c>
      <c r="M812" s="5">
        <v>4</v>
      </c>
      <c r="N812" s="5" t="s">
        <v>91</v>
      </c>
      <c r="O812" s="5" t="s">
        <v>91</v>
      </c>
      <c r="P812" s="5" t="s">
        <v>91</v>
      </c>
      <c r="Q812" s="6" t="s">
        <v>105</v>
      </c>
      <c r="R812" s="6" t="s">
        <v>123</v>
      </c>
      <c r="S812" s="6"/>
      <c r="T812" s="6"/>
      <c r="U812" s="5"/>
      <c r="V812" s="6"/>
      <c r="W812" s="6" t="s">
        <v>1964</v>
      </c>
      <c r="X812" s="6"/>
      <c r="Y812" s="22"/>
      <c r="Z812" s="6"/>
      <c r="AA812" s="21">
        <v>13441</v>
      </c>
      <c r="AB812" s="23">
        <v>44103</v>
      </c>
      <c r="AC812" s="21" t="s">
        <v>30</v>
      </c>
      <c r="AD812" s="24" t="s">
        <v>2008</v>
      </c>
      <c r="AE812" s="6" t="s">
        <v>35</v>
      </c>
      <c r="AF812" s="6"/>
      <c r="AG812" s="6" t="s">
        <v>3042</v>
      </c>
    </row>
    <row r="813" spans="1:33" ht="15" customHeight="1" x14ac:dyDescent="0.25">
      <c r="A813" s="5">
        <v>42</v>
      </c>
      <c r="B813" s="38">
        <v>44118</v>
      </c>
      <c r="C813" s="38">
        <v>44104</v>
      </c>
      <c r="D813" s="38">
        <v>44097</v>
      </c>
      <c r="E813" s="37">
        <v>44118</v>
      </c>
      <c r="F813" s="5">
        <v>6730</v>
      </c>
      <c r="G813" s="5" t="s">
        <v>91</v>
      </c>
      <c r="H813" s="5" t="s">
        <v>41</v>
      </c>
      <c r="I813" s="5" t="s">
        <v>92</v>
      </c>
      <c r="J813" s="21" t="s">
        <v>191</v>
      </c>
      <c r="K813" s="21" t="s">
        <v>2014</v>
      </c>
      <c r="L813" s="6" t="s">
        <v>2015</v>
      </c>
      <c r="M813" s="5">
        <v>6</v>
      </c>
      <c r="N813" s="5" t="s">
        <v>91</v>
      </c>
      <c r="O813" s="5" t="s">
        <v>91</v>
      </c>
      <c r="P813" s="5" t="s">
        <v>91</v>
      </c>
      <c r="Q813" s="6" t="s">
        <v>105</v>
      </c>
      <c r="R813" s="6" t="s">
        <v>194</v>
      </c>
      <c r="S813" s="6"/>
      <c r="T813" s="6"/>
      <c r="U813" s="5"/>
      <c r="V813" s="6"/>
      <c r="W813" s="6" t="s">
        <v>672</v>
      </c>
      <c r="X813" s="6"/>
      <c r="Y813" s="22"/>
      <c r="Z813" s="6">
        <v>2</v>
      </c>
      <c r="AA813" s="21"/>
      <c r="AB813" s="23">
        <v>44090</v>
      </c>
      <c r="AC813" s="21" t="s">
        <v>30</v>
      </c>
      <c r="AD813" s="24" t="s">
        <v>2016</v>
      </c>
      <c r="AE813" s="6" t="s">
        <v>31</v>
      </c>
      <c r="AF813" s="6"/>
      <c r="AG813" s="6" t="s">
        <v>3042</v>
      </c>
    </row>
    <row r="814" spans="1:33" ht="15" customHeight="1" x14ac:dyDescent="0.25">
      <c r="A814" s="5">
        <v>42</v>
      </c>
      <c r="B814" s="38">
        <v>44118</v>
      </c>
      <c r="C814" s="38">
        <v>44104</v>
      </c>
      <c r="D814" s="38">
        <v>44097</v>
      </c>
      <c r="E814" s="37">
        <v>44118</v>
      </c>
      <c r="F814" s="5">
        <v>6735</v>
      </c>
      <c r="G814" s="5" t="s">
        <v>91</v>
      </c>
      <c r="H814" s="5" t="s">
        <v>43</v>
      </c>
      <c r="I814" s="5" t="s">
        <v>92</v>
      </c>
      <c r="J814" s="21" t="s">
        <v>191</v>
      </c>
      <c r="K814" s="21" t="s">
        <v>2017</v>
      </c>
      <c r="L814" s="6" t="s">
        <v>2018</v>
      </c>
      <c r="M814" s="5">
        <v>12</v>
      </c>
      <c r="N814" s="5" t="s">
        <v>91</v>
      </c>
      <c r="O814" s="5" t="s">
        <v>91</v>
      </c>
      <c r="P814" s="5" t="s">
        <v>91</v>
      </c>
      <c r="Q814" s="6" t="s">
        <v>96</v>
      </c>
      <c r="R814" s="6" t="s">
        <v>194</v>
      </c>
      <c r="S814" s="6"/>
      <c r="T814" s="6"/>
      <c r="U814" s="5"/>
      <c r="V814" s="6"/>
      <c r="W814" s="6" t="s">
        <v>871</v>
      </c>
      <c r="X814" s="6"/>
      <c r="Y814" s="22"/>
      <c r="Z814" s="6">
        <v>3</v>
      </c>
      <c r="AA814" s="21"/>
      <c r="AB814" s="23">
        <v>44097</v>
      </c>
      <c r="AC814" s="21" t="s">
        <v>30</v>
      </c>
      <c r="AD814" s="24" t="s">
        <v>2019</v>
      </c>
      <c r="AE814" s="6" t="s">
        <v>31</v>
      </c>
      <c r="AF814" s="6"/>
      <c r="AG814" s="6" t="s">
        <v>3039</v>
      </c>
    </row>
    <row r="815" spans="1:33" ht="15" customHeight="1" x14ac:dyDescent="0.25">
      <c r="A815" s="5">
        <v>42</v>
      </c>
      <c r="B815" s="38">
        <v>44118</v>
      </c>
      <c r="C815" s="38">
        <v>44104</v>
      </c>
      <c r="D815" s="38">
        <v>44097</v>
      </c>
      <c r="E815" s="37">
        <v>44118</v>
      </c>
      <c r="F815" s="5">
        <v>6746</v>
      </c>
      <c r="G815" s="5" t="s">
        <v>91</v>
      </c>
      <c r="H815" s="5" t="s">
        <v>43</v>
      </c>
      <c r="I815" s="5" t="s">
        <v>92</v>
      </c>
      <c r="J815" s="21" t="s">
        <v>191</v>
      </c>
      <c r="K815" s="21" t="s">
        <v>2020</v>
      </c>
      <c r="L815" s="6" t="s">
        <v>2021</v>
      </c>
      <c r="M815" s="5">
        <v>0</v>
      </c>
      <c r="N815" s="5" t="s">
        <v>91</v>
      </c>
      <c r="O815" s="5" t="s">
        <v>91</v>
      </c>
      <c r="P815" s="5" t="s">
        <v>91</v>
      </c>
      <c r="Q815" s="6" t="s">
        <v>105</v>
      </c>
      <c r="R815" s="6" t="s">
        <v>194</v>
      </c>
      <c r="S815" s="6"/>
      <c r="T815" s="6"/>
      <c r="U815" s="5"/>
      <c r="V815" s="6"/>
      <c r="W815" s="6" t="s">
        <v>2022</v>
      </c>
      <c r="X815" s="6"/>
      <c r="Y815" s="22"/>
      <c r="Z815" s="6"/>
      <c r="AA815" s="21"/>
      <c r="AB815" s="23">
        <v>44116</v>
      </c>
      <c r="AC815" s="21" t="s">
        <v>33</v>
      </c>
      <c r="AD815" s="24">
        <v>181.14</v>
      </c>
      <c r="AE815" s="6" t="s">
        <v>37</v>
      </c>
      <c r="AF815" s="6"/>
      <c r="AG815" s="6" t="s">
        <v>3040</v>
      </c>
    </row>
    <row r="816" spans="1:33" ht="15" customHeight="1" x14ac:dyDescent="0.25">
      <c r="A816" s="5">
        <v>42</v>
      </c>
      <c r="B816" s="38">
        <v>44118</v>
      </c>
      <c r="C816" s="38">
        <v>44104</v>
      </c>
      <c r="D816" s="38">
        <v>44097</v>
      </c>
      <c r="E816" s="37">
        <v>44118</v>
      </c>
      <c r="F816" s="5">
        <v>6748</v>
      </c>
      <c r="G816" s="5" t="s">
        <v>91</v>
      </c>
      <c r="H816" s="5" t="s">
        <v>43</v>
      </c>
      <c r="I816" s="5" t="s">
        <v>92</v>
      </c>
      <c r="J816" s="21" t="s">
        <v>191</v>
      </c>
      <c r="K816" s="21" t="s">
        <v>2023</v>
      </c>
      <c r="L816" s="6" t="s">
        <v>1967</v>
      </c>
      <c r="M816" s="5">
        <v>1</v>
      </c>
      <c r="N816" s="5" t="s">
        <v>91</v>
      </c>
      <c r="O816" s="5" t="s">
        <v>91</v>
      </c>
      <c r="P816" s="5" t="s">
        <v>91</v>
      </c>
      <c r="Q816" s="6" t="s">
        <v>105</v>
      </c>
      <c r="R816" s="6" t="s">
        <v>194</v>
      </c>
      <c r="S816" s="6"/>
      <c r="T816" s="6"/>
      <c r="U816" s="5"/>
      <c r="V816" s="6"/>
      <c r="W816" s="6" t="s">
        <v>672</v>
      </c>
      <c r="X816" s="6"/>
      <c r="Y816" s="22"/>
      <c r="Z816" s="6"/>
      <c r="AA816" s="21"/>
      <c r="AB816" s="23">
        <v>44117</v>
      </c>
      <c r="AC816" s="21" t="s">
        <v>30</v>
      </c>
      <c r="AD816" s="24" t="s">
        <v>296</v>
      </c>
      <c r="AE816" s="6" t="s">
        <v>38</v>
      </c>
      <c r="AF816" s="6"/>
      <c r="AG816" s="6" t="s">
        <v>3041</v>
      </c>
    </row>
    <row r="817" spans="1:33" ht="7.5" customHeight="1" x14ac:dyDescent="0.25">
      <c r="A817" s="27"/>
      <c r="B817" s="39"/>
      <c r="C817" s="39"/>
      <c r="D817" s="39"/>
      <c r="E817" s="28"/>
      <c r="F817" s="27"/>
      <c r="G817" s="27"/>
      <c r="H817" s="27"/>
      <c r="I817" s="27"/>
      <c r="J817" s="30"/>
      <c r="K817" s="30"/>
      <c r="L817" s="29"/>
      <c r="M817" s="27"/>
      <c r="N817" s="27"/>
      <c r="O817" s="27"/>
      <c r="P817" s="27"/>
      <c r="Q817" s="29"/>
      <c r="R817" s="29"/>
      <c r="S817" s="29"/>
      <c r="T817" s="29"/>
      <c r="U817" s="27"/>
      <c r="V817" s="29"/>
      <c r="W817" s="29"/>
      <c r="X817" s="29"/>
      <c r="Y817" s="31"/>
      <c r="Z817" s="29"/>
      <c r="AA817" s="30"/>
      <c r="AB817" s="32"/>
      <c r="AC817" s="30"/>
      <c r="AD817" s="33"/>
      <c r="AE817" s="29"/>
      <c r="AF817" s="29"/>
      <c r="AG817" s="29"/>
    </row>
    <row r="818" spans="1:33" ht="15" customHeight="1" x14ac:dyDescent="0.25">
      <c r="A818" s="5">
        <v>43</v>
      </c>
      <c r="B818" s="38">
        <v>44125</v>
      </c>
      <c r="C818" s="38">
        <v>44104</v>
      </c>
      <c r="D818" s="38">
        <v>44104</v>
      </c>
      <c r="E818" s="34">
        <v>44125</v>
      </c>
      <c r="F818" s="5">
        <v>8781</v>
      </c>
      <c r="G818" s="5" t="s">
        <v>91</v>
      </c>
      <c r="H818" s="5" t="s">
        <v>43</v>
      </c>
      <c r="I818" s="5" t="s">
        <v>92</v>
      </c>
      <c r="J818" s="21" t="s">
        <v>147</v>
      </c>
      <c r="K818" s="21" t="s">
        <v>2203</v>
      </c>
      <c r="L818" s="6" t="s">
        <v>2204</v>
      </c>
      <c r="M818" s="5">
        <v>4</v>
      </c>
      <c r="N818" s="5" t="s">
        <v>91</v>
      </c>
      <c r="O818" s="5" t="s">
        <v>91</v>
      </c>
      <c r="P818" s="5" t="s">
        <v>91</v>
      </c>
      <c r="Q818" s="6" t="s">
        <v>153</v>
      </c>
      <c r="R818" s="6" t="s">
        <v>2075</v>
      </c>
      <c r="S818" s="6" t="s">
        <v>2205</v>
      </c>
      <c r="T818" s="6" t="s">
        <v>2206</v>
      </c>
      <c r="U818" s="5"/>
      <c r="V818" s="6"/>
      <c r="W818" s="6" t="s">
        <v>2207</v>
      </c>
      <c r="X818" s="6" t="s">
        <v>2208</v>
      </c>
      <c r="Y818" s="22"/>
      <c r="Z818" s="6"/>
      <c r="AA818" s="21"/>
      <c r="AB818" s="23">
        <v>44099</v>
      </c>
      <c r="AC818" s="21" t="s">
        <v>30</v>
      </c>
      <c r="AD818" s="24" t="s">
        <v>2104</v>
      </c>
      <c r="AE818" s="6" t="s">
        <v>37</v>
      </c>
      <c r="AF818" s="6"/>
      <c r="AG818" s="6" t="s">
        <v>3042</v>
      </c>
    </row>
    <row r="819" spans="1:33" ht="7.5" customHeight="1" x14ac:dyDescent="0.25">
      <c r="A819" s="27"/>
      <c r="B819" s="39"/>
      <c r="C819" s="39"/>
      <c r="D819" s="39"/>
      <c r="E819" s="28"/>
      <c r="F819" s="27"/>
      <c r="G819" s="27"/>
      <c r="H819" s="27"/>
      <c r="I819" s="27"/>
      <c r="J819" s="30"/>
      <c r="K819" s="30"/>
      <c r="L819" s="29"/>
      <c r="M819" s="27"/>
      <c r="N819" s="27"/>
      <c r="O819" s="27"/>
      <c r="P819" s="27"/>
      <c r="Q819" s="29"/>
      <c r="R819" s="29"/>
      <c r="S819" s="29"/>
      <c r="T819" s="29"/>
      <c r="U819" s="27"/>
      <c r="V819" s="29"/>
      <c r="W819" s="29"/>
      <c r="X819" s="29"/>
      <c r="Y819" s="31"/>
      <c r="Z819" s="29"/>
      <c r="AA819" s="30"/>
      <c r="AB819" s="32"/>
      <c r="AC819" s="30"/>
      <c r="AD819" s="33"/>
      <c r="AE819" s="29"/>
      <c r="AF819" s="29"/>
      <c r="AG819" s="29"/>
    </row>
    <row r="820" spans="1:33" ht="15" customHeight="1" x14ac:dyDescent="0.25">
      <c r="A820" s="5">
        <v>41</v>
      </c>
      <c r="B820" s="38">
        <v>44113</v>
      </c>
      <c r="C820" s="38">
        <v>44104</v>
      </c>
      <c r="D820" s="38">
        <v>44077</v>
      </c>
      <c r="E820" s="28">
        <v>44113</v>
      </c>
      <c r="F820" s="5">
        <v>9689</v>
      </c>
      <c r="G820" s="5" t="s">
        <v>91</v>
      </c>
      <c r="H820" s="5" t="s">
        <v>40</v>
      </c>
      <c r="I820" s="5" t="s">
        <v>92</v>
      </c>
      <c r="J820" s="21" t="s">
        <v>159</v>
      </c>
      <c r="K820" s="21">
        <v>257800</v>
      </c>
      <c r="L820" s="6" t="s">
        <v>152</v>
      </c>
      <c r="M820" s="5">
        <v>50</v>
      </c>
      <c r="N820" s="5" t="s">
        <v>91</v>
      </c>
      <c r="O820" s="5" t="s">
        <v>91</v>
      </c>
      <c r="P820" s="5" t="s">
        <v>91</v>
      </c>
      <c r="Q820" s="6"/>
      <c r="R820" s="6" t="s">
        <v>163</v>
      </c>
      <c r="S820" s="6"/>
      <c r="T820" s="6"/>
      <c r="U820" s="5"/>
      <c r="V820" s="6" t="s">
        <v>164</v>
      </c>
      <c r="W820" s="6" t="s">
        <v>1897</v>
      </c>
      <c r="X820" s="6"/>
      <c r="Y820" s="22"/>
      <c r="Z820" s="6"/>
      <c r="AA820" s="21">
        <v>257800</v>
      </c>
      <c r="AB820" s="23">
        <v>44083</v>
      </c>
      <c r="AC820" s="21" t="s">
        <v>33</v>
      </c>
      <c r="AD820" s="24" t="s">
        <v>1898</v>
      </c>
      <c r="AE820" s="6" t="s">
        <v>31</v>
      </c>
      <c r="AF820" s="6"/>
      <c r="AG820" s="6" t="s">
        <v>3041</v>
      </c>
    </row>
    <row r="821" spans="1:33" ht="7.5" customHeight="1" x14ac:dyDescent="0.25">
      <c r="A821" s="27"/>
      <c r="B821" s="39"/>
      <c r="C821" s="39"/>
      <c r="D821" s="39"/>
      <c r="E821" s="28"/>
      <c r="F821" s="27"/>
      <c r="G821" s="27"/>
      <c r="H821" s="27"/>
      <c r="I821" s="27"/>
      <c r="J821" s="30"/>
      <c r="K821" s="30"/>
      <c r="L821" s="29"/>
      <c r="M821" s="27"/>
      <c r="N821" s="27"/>
      <c r="O821" s="27"/>
      <c r="P821" s="27"/>
      <c r="Q821" s="29"/>
      <c r="R821" s="29"/>
      <c r="S821" s="29"/>
      <c r="T821" s="29"/>
      <c r="U821" s="27"/>
      <c r="V821" s="29"/>
      <c r="W821" s="29"/>
      <c r="X821" s="29"/>
      <c r="Y821" s="31"/>
      <c r="Z821" s="29"/>
      <c r="AA821" s="30"/>
      <c r="AB821" s="32"/>
      <c r="AC821" s="30"/>
      <c r="AD821" s="33"/>
      <c r="AE821" s="29"/>
      <c r="AF821" s="29"/>
      <c r="AG821" s="29"/>
    </row>
    <row r="822" spans="1:33" ht="15" customHeight="1" x14ac:dyDescent="0.25">
      <c r="A822" s="5">
        <v>42</v>
      </c>
      <c r="B822" s="38">
        <v>44118</v>
      </c>
      <c r="C822" s="38">
        <v>44104</v>
      </c>
      <c r="D822" s="38">
        <v>44097</v>
      </c>
      <c r="E822" s="37">
        <v>44118</v>
      </c>
      <c r="F822" s="5">
        <v>9703</v>
      </c>
      <c r="G822" s="5" t="s">
        <v>91</v>
      </c>
      <c r="H822" s="5" t="s">
        <v>40</v>
      </c>
      <c r="I822" s="5" t="s">
        <v>92</v>
      </c>
      <c r="J822" s="21" t="s">
        <v>159</v>
      </c>
      <c r="K822" s="21">
        <v>258050</v>
      </c>
      <c r="L822" s="6" t="s">
        <v>152</v>
      </c>
      <c r="M822" s="5">
        <v>3</v>
      </c>
      <c r="N822" s="5" t="s">
        <v>91</v>
      </c>
      <c r="O822" s="5" t="s">
        <v>91</v>
      </c>
      <c r="P822" s="5" t="s">
        <v>91</v>
      </c>
      <c r="Q822" s="6" t="s">
        <v>105</v>
      </c>
      <c r="R822" s="6" t="s">
        <v>163</v>
      </c>
      <c r="S822" s="6"/>
      <c r="T822" s="6"/>
      <c r="U822" s="5"/>
      <c r="V822" s="6" t="s">
        <v>164</v>
      </c>
      <c r="W822" s="6" t="s">
        <v>2033</v>
      </c>
      <c r="X822" s="6"/>
      <c r="Y822" s="22"/>
      <c r="Z822" s="6"/>
      <c r="AA822" s="21"/>
      <c r="AB822" s="23">
        <v>44103</v>
      </c>
      <c r="AC822" s="21" t="s">
        <v>32</v>
      </c>
      <c r="AD822" s="24" t="s">
        <v>2034</v>
      </c>
      <c r="AE822" s="6" t="s">
        <v>31</v>
      </c>
      <c r="AF822" s="6"/>
      <c r="AG822" s="6" t="s">
        <v>3040</v>
      </c>
    </row>
    <row r="823" spans="1:33" ht="7.5" customHeight="1" x14ac:dyDescent="0.25">
      <c r="A823" s="27"/>
      <c r="B823" s="39"/>
      <c r="C823" s="39"/>
      <c r="D823" s="39"/>
      <c r="E823" s="28"/>
      <c r="F823" s="27"/>
      <c r="G823" s="27"/>
      <c r="H823" s="27"/>
      <c r="I823" s="27"/>
      <c r="J823" s="30"/>
      <c r="K823" s="30"/>
      <c r="L823" s="29"/>
      <c r="M823" s="27"/>
      <c r="N823" s="27"/>
      <c r="O823" s="27"/>
      <c r="P823" s="27"/>
      <c r="Q823" s="29"/>
      <c r="R823" s="29"/>
      <c r="S823" s="29"/>
      <c r="T823" s="29"/>
      <c r="U823" s="27"/>
      <c r="V823" s="29"/>
      <c r="W823" s="29"/>
      <c r="X823" s="29"/>
      <c r="Y823" s="31"/>
      <c r="Z823" s="29"/>
      <c r="AA823" s="30"/>
      <c r="AB823" s="32"/>
      <c r="AC823" s="30"/>
      <c r="AD823" s="33"/>
      <c r="AE823" s="29"/>
      <c r="AF823" s="29"/>
      <c r="AG823" s="29"/>
    </row>
    <row r="824" spans="1:33" ht="15" customHeight="1" x14ac:dyDescent="0.25">
      <c r="A824" s="5">
        <v>42</v>
      </c>
      <c r="B824" s="38">
        <v>44120</v>
      </c>
      <c r="C824" s="38">
        <v>44104</v>
      </c>
      <c r="D824" s="38">
        <v>44084</v>
      </c>
      <c r="E824" s="37">
        <v>44120</v>
      </c>
      <c r="F824" s="5">
        <v>9693</v>
      </c>
      <c r="G824" s="5" t="s">
        <v>91</v>
      </c>
      <c r="H824" s="5" t="s">
        <v>40</v>
      </c>
      <c r="I824" s="5" t="s">
        <v>92</v>
      </c>
      <c r="J824" s="21" t="s">
        <v>159</v>
      </c>
      <c r="K824" s="21">
        <v>257881</v>
      </c>
      <c r="L824" s="6" t="s">
        <v>152</v>
      </c>
      <c r="M824" s="5">
        <v>34</v>
      </c>
      <c r="N824" s="5" t="s">
        <v>91</v>
      </c>
      <c r="O824" s="5" t="s">
        <v>91</v>
      </c>
      <c r="P824" s="5" t="s">
        <v>91</v>
      </c>
      <c r="Q824" s="6"/>
      <c r="R824" s="6" t="s">
        <v>107</v>
      </c>
      <c r="S824" s="6"/>
      <c r="T824" s="6"/>
      <c r="U824" s="5"/>
      <c r="V824" s="6"/>
      <c r="W824" s="6" t="s">
        <v>107</v>
      </c>
      <c r="X824" s="6" t="s">
        <v>2083</v>
      </c>
      <c r="Y824" s="22"/>
      <c r="Z824" s="6"/>
      <c r="AA824" s="21">
        <v>257881</v>
      </c>
      <c r="AB824" s="23">
        <v>44090</v>
      </c>
      <c r="AC824" s="21" t="s">
        <v>33</v>
      </c>
      <c r="AD824" s="24" t="s">
        <v>2084</v>
      </c>
      <c r="AE824" s="6" t="s">
        <v>31</v>
      </c>
      <c r="AF824" s="6"/>
      <c r="AG824" s="6" t="s">
        <v>3041</v>
      </c>
    </row>
    <row r="825" spans="1:33" ht="7.5" customHeight="1" x14ac:dyDescent="0.25">
      <c r="A825" s="27"/>
      <c r="B825" s="39"/>
      <c r="C825" s="39"/>
      <c r="D825" s="39"/>
      <c r="E825" s="28"/>
      <c r="F825" s="27"/>
      <c r="G825" s="27"/>
      <c r="H825" s="27"/>
      <c r="I825" s="27"/>
      <c r="J825" s="30"/>
      <c r="K825" s="30"/>
      <c r="L825" s="29"/>
      <c r="M825" s="27"/>
      <c r="N825" s="27"/>
      <c r="O825" s="27"/>
      <c r="P825" s="27"/>
      <c r="Q825" s="29"/>
      <c r="R825" s="29"/>
      <c r="S825" s="29"/>
      <c r="T825" s="29"/>
      <c r="U825" s="27"/>
      <c r="V825" s="29"/>
      <c r="W825" s="29"/>
      <c r="X825" s="29"/>
      <c r="Y825" s="31"/>
      <c r="Z825" s="29"/>
      <c r="AA825" s="30"/>
      <c r="AB825" s="32"/>
      <c r="AC825" s="30"/>
      <c r="AD825" s="33"/>
      <c r="AE825" s="29"/>
      <c r="AF825" s="29"/>
      <c r="AG825" s="29"/>
    </row>
    <row r="826" spans="1:33" ht="15" customHeight="1" x14ac:dyDescent="0.25">
      <c r="A826" s="5">
        <v>39</v>
      </c>
      <c r="B826" s="38">
        <v>44096</v>
      </c>
      <c r="C826" s="38">
        <v>44105</v>
      </c>
      <c r="D826" s="38">
        <v>44119</v>
      </c>
      <c r="E826" s="35" t="s">
        <v>442</v>
      </c>
      <c r="F826" s="5">
        <v>2390</v>
      </c>
      <c r="G826" s="5" t="s">
        <v>91</v>
      </c>
      <c r="H826" s="5" t="s">
        <v>41</v>
      </c>
      <c r="I826" s="5" t="s">
        <v>92</v>
      </c>
      <c r="J826" s="21" t="s">
        <v>231</v>
      </c>
      <c r="K826" s="21" t="s">
        <v>299</v>
      </c>
      <c r="L826" s="6" t="s">
        <v>300</v>
      </c>
      <c r="M826" s="5">
        <v>0</v>
      </c>
      <c r="N826" s="5" t="s">
        <v>91</v>
      </c>
      <c r="O826" s="5" t="s">
        <v>91</v>
      </c>
      <c r="P826" s="5" t="s">
        <v>91</v>
      </c>
      <c r="Q826" s="6" t="s">
        <v>105</v>
      </c>
      <c r="R826" s="6" t="s">
        <v>112</v>
      </c>
      <c r="S826" s="6"/>
      <c r="T826" s="6"/>
      <c r="U826" s="5"/>
      <c r="V826" s="6" t="s">
        <v>301</v>
      </c>
      <c r="W826" s="6" t="s">
        <v>302</v>
      </c>
      <c r="X826" s="6" t="s">
        <v>235</v>
      </c>
      <c r="Y826" s="22"/>
      <c r="Z826" s="6"/>
      <c r="AA826" s="21" t="s">
        <v>303</v>
      </c>
      <c r="AB826" s="23">
        <v>44085</v>
      </c>
      <c r="AC826" s="21" t="s">
        <v>32</v>
      </c>
      <c r="AD826" s="24" t="s">
        <v>304</v>
      </c>
      <c r="AE826" s="6" t="s">
        <v>31</v>
      </c>
      <c r="AF826" s="6"/>
      <c r="AG826" s="6" t="s">
        <v>3041</v>
      </c>
    </row>
    <row r="827" spans="1:33" ht="7.5" customHeight="1" x14ac:dyDescent="0.25">
      <c r="A827" s="27"/>
      <c r="B827" s="39"/>
      <c r="C827" s="39"/>
      <c r="D827" s="39"/>
      <c r="E827" s="28"/>
      <c r="F827" s="27"/>
      <c r="G827" s="27"/>
      <c r="H827" s="27"/>
      <c r="I827" s="27"/>
      <c r="J827" s="30"/>
      <c r="K827" s="30"/>
      <c r="L827" s="29"/>
      <c r="M827" s="27"/>
      <c r="N827" s="27"/>
      <c r="O827" s="27"/>
      <c r="P827" s="27"/>
      <c r="Q827" s="29"/>
      <c r="R827" s="29"/>
      <c r="S827" s="29"/>
      <c r="T827" s="29"/>
      <c r="U827" s="27"/>
      <c r="V827" s="29"/>
      <c r="W827" s="29"/>
      <c r="X827" s="29"/>
      <c r="Y827" s="31"/>
      <c r="Z827" s="29"/>
      <c r="AA827" s="30"/>
      <c r="AB827" s="32"/>
      <c r="AC827" s="30"/>
      <c r="AD827" s="33"/>
      <c r="AE827" s="29"/>
      <c r="AF827" s="29"/>
      <c r="AG827" s="29"/>
    </row>
    <row r="828" spans="1:33" ht="15" customHeight="1" x14ac:dyDescent="0.25">
      <c r="A828" s="5">
        <v>43</v>
      </c>
      <c r="B828" s="38">
        <v>44126</v>
      </c>
      <c r="C828" s="38">
        <v>44105</v>
      </c>
      <c r="D828" s="38">
        <v>44098</v>
      </c>
      <c r="E828" s="34">
        <v>44126</v>
      </c>
      <c r="F828" s="5">
        <v>3105</v>
      </c>
      <c r="G828" s="5" t="s">
        <v>91</v>
      </c>
      <c r="H828" s="5" t="s">
        <v>41</v>
      </c>
      <c r="I828" s="5" t="s">
        <v>92</v>
      </c>
      <c r="J828" s="21" t="s">
        <v>93</v>
      </c>
      <c r="K828" s="21" t="s">
        <v>2209</v>
      </c>
      <c r="L828" s="6" t="s">
        <v>2210</v>
      </c>
      <c r="M828" s="5">
        <v>11</v>
      </c>
      <c r="N828" s="5" t="s">
        <v>91</v>
      </c>
      <c r="O828" s="5" t="s">
        <v>91</v>
      </c>
      <c r="P828" s="5" t="s">
        <v>91</v>
      </c>
      <c r="Q828" s="6" t="s">
        <v>96</v>
      </c>
      <c r="R828" s="6" t="s">
        <v>97</v>
      </c>
      <c r="S828" s="6" t="s">
        <v>1287</v>
      </c>
      <c r="T828" s="6"/>
      <c r="U828" s="5"/>
      <c r="V828" s="6" t="s">
        <v>266</v>
      </c>
      <c r="W828" s="6" t="s">
        <v>2211</v>
      </c>
      <c r="X828" s="6" t="s">
        <v>2212</v>
      </c>
      <c r="Y828" s="22"/>
      <c r="Z828" s="6"/>
      <c r="AA828" s="21">
        <v>10165</v>
      </c>
      <c r="AB828" s="23">
        <v>44104</v>
      </c>
      <c r="AC828" s="21" t="s">
        <v>30</v>
      </c>
      <c r="AD828" s="24" t="s">
        <v>2213</v>
      </c>
      <c r="AE828" s="6" t="s">
        <v>38</v>
      </c>
      <c r="AF828" s="6"/>
      <c r="AG828" s="6" t="s">
        <v>3039</v>
      </c>
    </row>
    <row r="829" spans="1:33" ht="7.5" customHeight="1" x14ac:dyDescent="0.25">
      <c r="A829" s="27"/>
      <c r="B829" s="39"/>
      <c r="C829" s="39"/>
      <c r="D829" s="39"/>
      <c r="E829" s="28"/>
      <c r="F829" s="27"/>
      <c r="G829" s="27"/>
      <c r="H829" s="27"/>
      <c r="I829" s="27"/>
      <c r="J829" s="30"/>
      <c r="K829" s="30"/>
      <c r="L829" s="29"/>
      <c r="M829" s="27"/>
      <c r="N829" s="27"/>
      <c r="O829" s="27"/>
      <c r="P829" s="27"/>
      <c r="Q829" s="29"/>
      <c r="R829" s="29"/>
      <c r="S829" s="29"/>
      <c r="T829" s="29"/>
      <c r="U829" s="27"/>
      <c r="V829" s="29"/>
      <c r="W829" s="29"/>
      <c r="X829" s="29"/>
      <c r="Y829" s="31"/>
      <c r="Z829" s="29"/>
      <c r="AA829" s="30"/>
      <c r="AB829" s="32"/>
      <c r="AC829" s="30"/>
      <c r="AD829" s="33"/>
      <c r="AE829" s="29"/>
      <c r="AF829" s="29"/>
      <c r="AG829" s="29"/>
    </row>
    <row r="830" spans="1:33" ht="15" customHeight="1" x14ac:dyDescent="0.25">
      <c r="A830" s="5">
        <v>39</v>
      </c>
      <c r="B830" s="38">
        <v>44089</v>
      </c>
      <c r="C830" s="38">
        <v>44105</v>
      </c>
      <c r="D830" s="38">
        <v>44110</v>
      </c>
      <c r="E830" s="35" t="s">
        <v>442</v>
      </c>
      <c r="F830" s="5">
        <v>12083</v>
      </c>
      <c r="G830" s="5" t="s">
        <v>91</v>
      </c>
      <c r="H830" s="5" t="s">
        <v>43</v>
      </c>
      <c r="I830" s="5" t="s">
        <v>92</v>
      </c>
      <c r="J830" s="21" t="s">
        <v>275</v>
      </c>
      <c r="K830" s="21" t="s">
        <v>317</v>
      </c>
      <c r="L830" s="6" t="s">
        <v>95</v>
      </c>
      <c r="M830" s="5">
        <v>17</v>
      </c>
      <c r="N830" s="5" t="s">
        <v>91</v>
      </c>
      <c r="O830" s="5" t="s">
        <v>91</v>
      </c>
      <c r="P830" s="5" t="s">
        <v>91</v>
      </c>
      <c r="Q830" s="6" t="s">
        <v>105</v>
      </c>
      <c r="R830" s="6" t="s">
        <v>112</v>
      </c>
      <c r="S830" s="6"/>
      <c r="T830" s="6"/>
      <c r="U830" s="5"/>
      <c r="V830" s="6"/>
      <c r="W830" s="6" t="s">
        <v>318</v>
      </c>
      <c r="X830" s="6"/>
      <c r="Y830" s="22"/>
      <c r="Z830" s="6">
        <v>4.2</v>
      </c>
      <c r="AA830" s="21"/>
      <c r="AB830" s="23">
        <v>44074</v>
      </c>
      <c r="AC830" s="21" t="s">
        <v>30</v>
      </c>
      <c r="AD830" s="24" t="s">
        <v>319</v>
      </c>
      <c r="AE830" s="6" t="s">
        <v>34</v>
      </c>
      <c r="AF830" s="6"/>
      <c r="AG830" s="6" t="s">
        <v>3040</v>
      </c>
    </row>
    <row r="831" spans="1:33" ht="7.5" customHeight="1" x14ac:dyDescent="0.25">
      <c r="A831" s="27"/>
      <c r="B831" s="39"/>
      <c r="C831" s="39"/>
      <c r="D831" s="39"/>
      <c r="E831" s="28"/>
      <c r="F831" s="27"/>
      <c r="G831" s="27"/>
      <c r="H831" s="27"/>
      <c r="I831" s="27"/>
      <c r="J831" s="30"/>
      <c r="K831" s="30"/>
      <c r="L831" s="29"/>
      <c r="M831" s="27"/>
      <c r="N831" s="27"/>
      <c r="O831" s="27"/>
      <c r="P831" s="27"/>
      <c r="Q831" s="29"/>
      <c r="R831" s="29"/>
      <c r="S831" s="29"/>
      <c r="T831" s="29"/>
      <c r="U831" s="27"/>
      <c r="V831" s="29"/>
      <c r="W831" s="29"/>
      <c r="X831" s="29"/>
      <c r="Y831" s="31"/>
      <c r="Z831" s="29"/>
      <c r="AA831" s="30"/>
      <c r="AB831" s="32"/>
      <c r="AC831" s="30"/>
      <c r="AD831" s="33"/>
      <c r="AE831" s="29"/>
      <c r="AF831" s="29"/>
      <c r="AG831" s="29"/>
    </row>
    <row r="832" spans="1:33" ht="15" customHeight="1" x14ac:dyDescent="0.25">
      <c r="A832" s="5">
        <v>42</v>
      </c>
      <c r="B832" s="38">
        <v>44119</v>
      </c>
      <c r="C832" s="38">
        <v>44105</v>
      </c>
      <c r="D832" s="38">
        <v>44098</v>
      </c>
      <c r="E832" s="37">
        <v>44119</v>
      </c>
      <c r="F832" s="5">
        <v>4839</v>
      </c>
      <c r="G832" s="5" t="s">
        <v>91</v>
      </c>
      <c r="H832" s="5" t="s">
        <v>41</v>
      </c>
      <c r="I832" s="5" t="s">
        <v>92</v>
      </c>
      <c r="J832" s="21" t="s">
        <v>109</v>
      </c>
      <c r="K832" s="21" t="s">
        <v>2040</v>
      </c>
      <c r="L832" s="6" t="s">
        <v>2041</v>
      </c>
      <c r="M832" s="5">
        <v>2</v>
      </c>
      <c r="N832" s="5" t="s">
        <v>91</v>
      </c>
      <c r="O832" s="5" t="s">
        <v>91</v>
      </c>
      <c r="P832" s="5" t="s">
        <v>91</v>
      </c>
      <c r="Q832" s="6" t="s">
        <v>105</v>
      </c>
      <c r="R832" s="6" t="s">
        <v>112</v>
      </c>
      <c r="S832" s="6"/>
      <c r="T832" s="6"/>
      <c r="U832" s="5"/>
      <c r="V832" s="6"/>
      <c r="W832" s="6" t="s">
        <v>2042</v>
      </c>
      <c r="X832" s="6"/>
      <c r="Y832" s="22"/>
      <c r="Z832" s="6">
        <v>2.5</v>
      </c>
      <c r="AA832" s="21">
        <v>15485</v>
      </c>
      <c r="AB832" s="23">
        <v>44097</v>
      </c>
      <c r="AC832" s="21" t="s">
        <v>32</v>
      </c>
      <c r="AD832" s="24" t="s">
        <v>2043</v>
      </c>
      <c r="AE832" s="6" t="s">
        <v>31</v>
      </c>
      <c r="AF832" s="6"/>
      <c r="AG832" s="6" t="s">
        <v>3042</v>
      </c>
    </row>
    <row r="833" spans="1:33" ht="15" customHeight="1" x14ac:dyDescent="0.25">
      <c r="A833" s="5">
        <v>42</v>
      </c>
      <c r="B833" s="38">
        <v>44119</v>
      </c>
      <c r="C833" s="38">
        <v>44105</v>
      </c>
      <c r="D833" s="38">
        <v>44098</v>
      </c>
      <c r="E833" s="37">
        <v>44119</v>
      </c>
      <c r="F833" s="5">
        <v>4847</v>
      </c>
      <c r="G833" s="5" t="s">
        <v>91</v>
      </c>
      <c r="H833" s="5" t="s">
        <v>40</v>
      </c>
      <c r="I833" s="5" t="s">
        <v>92</v>
      </c>
      <c r="J833" s="21" t="s">
        <v>109</v>
      </c>
      <c r="K833" s="21" t="s">
        <v>2044</v>
      </c>
      <c r="L833" s="6" t="s">
        <v>198</v>
      </c>
      <c r="M833" s="5">
        <v>6</v>
      </c>
      <c r="N833" s="5" t="s">
        <v>91</v>
      </c>
      <c r="O833" s="5" t="s">
        <v>91</v>
      </c>
      <c r="P833" s="5" t="s">
        <v>91</v>
      </c>
      <c r="Q833" s="6"/>
      <c r="R833" s="6" t="s">
        <v>112</v>
      </c>
      <c r="S833" s="6"/>
      <c r="T833" s="6"/>
      <c r="U833" s="5"/>
      <c r="V833" s="6" t="s">
        <v>2045</v>
      </c>
      <c r="W833" s="6" t="s">
        <v>2046</v>
      </c>
      <c r="X833" s="6"/>
      <c r="Y833" s="22"/>
      <c r="Z833" s="6">
        <v>1.5</v>
      </c>
      <c r="AA833" s="21">
        <v>15584</v>
      </c>
      <c r="AB833" s="23">
        <v>44105</v>
      </c>
      <c r="AC833" s="21" t="s">
        <v>32</v>
      </c>
      <c r="AD833" s="24" t="s">
        <v>2047</v>
      </c>
      <c r="AE833" s="6" t="s">
        <v>31</v>
      </c>
      <c r="AF833" s="6"/>
      <c r="AG833" s="6" t="s">
        <v>3040</v>
      </c>
    </row>
    <row r="834" spans="1:33" ht="7.5" customHeight="1" x14ac:dyDescent="0.25">
      <c r="A834" s="27"/>
      <c r="B834" s="39"/>
      <c r="C834" s="39"/>
      <c r="D834" s="39"/>
      <c r="E834" s="28"/>
      <c r="F834" s="27"/>
      <c r="G834" s="27"/>
      <c r="H834" s="27"/>
      <c r="I834" s="27"/>
      <c r="J834" s="30"/>
      <c r="K834" s="30"/>
      <c r="L834" s="29"/>
      <c r="M834" s="27"/>
      <c r="N834" s="27"/>
      <c r="O834" s="27"/>
      <c r="P834" s="27"/>
      <c r="Q834" s="29"/>
      <c r="R834" s="29"/>
      <c r="S834" s="29"/>
      <c r="T834" s="29"/>
      <c r="U834" s="27"/>
      <c r="V834" s="29"/>
      <c r="W834" s="29"/>
      <c r="X834" s="29"/>
      <c r="Y834" s="31"/>
      <c r="Z834" s="29"/>
      <c r="AA834" s="30"/>
      <c r="AB834" s="32"/>
      <c r="AC834" s="30"/>
      <c r="AD834" s="33"/>
      <c r="AE834" s="29"/>
      <c r="AF834" s="29"/>
      <c r="AG834" s="29"/>
    </row>
    <row r="835" spans="1:33" ht="15" customHeight="1" x14ac:dyDescent="0.25">
      <c r="A835" s="5">
        <v>39</v>
      </c>
      <c r="B835" s="38">
        <v>44096</v>
      </c>
      <c r="C835" s="38">
        <v>44105</v>
      </c>
      <c r="D835" s="38">
        <v>44119</v>
      </c>
      <c r="E835" s="35" t="s">
        <v>442</v>
      </c>
      <c r="F835" s="5">
        <v>5654</v>
      </c>
      <c r="G835" s="5" t="s">
        <v>91</v>
      </c>
      <c r="H835" s="5" t="s">
        <v>43</v>
      </c>
      <c r="I835" s="5" t="s">
        <v>92</v>
      </c>
      <c r="J835" s="21" t="s">
        <v>131</v>
      </c>
      <c r="K835" s="21" t="s">
        <v>334</v>
      </c>
      <c r="L835" s="6" t="s">
        <v>335</v>
      </c>
      <c r="M835" s="5">
        <v>12</v>
      </c>
      <c r="N835" s="5" t="s">
        <v>91</v>
      </c>
      <c r="O835" s="5" t="s">
        <v>91</v>
      </c>
      <c r="P835" s="5" t="s">
        <v>91</v>
      </c>
      <c r="Q835" s="6" t="s">
        <v>105</v>
      </c>
      <c r="R835" s="6" t="s">
        <v>112</v>
      </c>
      <c r="S835" s="6"/>
      <c r="T835" s="6"/>
      <c r="U835" s="5"/>
      <c r="V835" s="6"/>
      <c r="W835" s="6" t="s">
        <v>183</v>
      </c>
      <c r="X835" s="6"/>
      <c r="Y835" s="22"/>
      <c r="Z835" s="6">
        <v>4</v>
      </c>
      <c r="AA835" s="21" t="s">
        <v>336</v>
      </c>
      <c r="AB835" s="23">
        <v>44071</v>
      </c>
      <c r="AC835" s="21" t="s">
        <v>32</v>
      </c>
      <c r="AD835" s="24" t="s">
        <v>337</v>
      </c>
      <c r="AE835" s="6" t="s">
        <v>36</v>
      </c>
      <c r="AF835" s="6"/>
      <c r="AG835" s="6" t="s">
        <v>3041</v>
      </c>
    </row>
    <row r="836" spans="1:33" ht="7.5" customHeight="1" x14ac:dyDescent="0.25">
      <c r="A836" s="27"/>
      <c r="B836" s="39"/>
      <c r="C836" s="39"/>
      <c r="D836" s="39"/>
      <c r="E836" s="28"/>
      <c r="F836" s="27"/>
      <c r="G836" s="27"/>
      <c r="H836" s="27"/>
      <c r="I836" s="27"/>
      <c r="J836" s="30"/>
      <c r="K836" s="30"/>
      <c r="L836" s="29"/>
      <c r="M836" s="27"/>
      <c r="N836" s="27"/>
      <c r="O836" s="27"/>
      <c r="P836" s="27"/>
      <c r="Q836" s="29"/>
      <c r="R836" s="29"/>
      <c r="S836" s="29"/>
      <c r="T836" s="29"/>
      <c r="U836" s="27"/>
      <c r="V836" s="29"/>
      <c r="W836" s="29"/>
      <c r="X836" s="29"/>
      <c r="Y836" s="31"/>
      <c r="Z836" s="29"/>
      <c r="AA836" s="30"/>
      <c r="AB836" s="32"/>
      <c r="AC836" s="30"/>
      <c r="AD836" s="33"/>
      <c r="AE836" s="29"/>
      <c r="AF836" s="29"/>
      <c r="AG836" s="29"/>
    </row>
    <row r="837" spans="1:33" ht="15" customHeight="1" x14ac:dyDescent="0.25">
      <c r="A837" s="5">
        <v>42</v>
      </c>
      <c r="B837" s="38">
        <v>44116</v>
      </c>
      <c r="C837" s="38">
        <v>44105</v>
      </c>
      <c r="D837" s="38">
        <v>44076</v>
      </c>
      <c r="E837" s="37">
        <v>44116</v>
      </c>
      <c r="F837" s="5">
        <v>5659</v>
      </c>
      <c r="G837" s="5" t="s">
        <v>91</v>
      </c>
      <c r="H837" s="5" t="s">
        <v>43</v>
      </c>
      <c r="I837" s="5" t="s">
        <v>92</v>
      </c>
      <c r="J837" s="21" t="s">
        <v>131</v>
      </c>
      <c r="K837" s="21" t="s">
        <v>1923</v>
      </c>
      <c r="L837" s="6" t="s">
        <v>189</v>
      </c>
      <c r="M837" s="5">
        <v>0</v>
      </c>
      <c r="N837" s="5" t="s">
        <v>91</v>
      </c>
      <c r="O837" s="5" t="s">
        <v>91</v>
      </c>
      <c r="P837" s="5" t="s">
        <v>91</v>
      </c>
      <c r="Q837" s="6"/>
      <c r="R837" s="6" t="s">
        <v>112</v>
      </c>
      <c r="S837" s="6"/>
      <c r="T837" s="6"/>
      <c r="U837" s="5"/>
      <c r="V837" s="6"/>
      <c r="W837" s="6" t="s">
        <v>183</v>
      </c>
      <c r="X837" s="6"/>
      <c r="Y837" s="22"/>
      <c r="Z837" s="6"/>
      <c r="AA837" s="21"/>
      <c r="AB837" s="23">
        <v>44082</v>
      </c>
      <c r="AC837" s="21" t="s">
        <v>33</v>
      </c>
      <c r="AD837" s="24" t="s">
        <v>115</v>
      </c>
      <c r="AE837" s="6" t="s">
        <v>31</v>
      </c>
      <c r="AF837" s="6"/>
      <c r="AG837" s="6" t="s">
        <v>3042</v>
      </c>
    </row>
    <row r="838" spans="1:33" ht="7.5" customHeight="1" x14ac:dyDescent="0.25">
      <c r="A838" s="27"/>
      <c r="B838" s="39"/>
      <c r="C838" s="39"/>
      <c r="D838" s="39"/>
      <c r="E838" s="28"/>
      <c r="F838" s="27"/>
      <c r="G838" s="27"/>
      <c r="H838" s="27"/>
      <c r="I838" s="27"/>
      <c r="J838" s="30"/>
      <c r="K838" s="30"/>
      <c r="L838" s="29"/>
      <c r="M838" s="27"/>
      <c r="N838" s="27"/>
      <c r="O838" s="27"/>
      <c r="P838" s="27"/>
      <c r="Q838" s="29"/>
      <c r="R838" s="29"/>
      <c r="S838" s="29"/>
      <c r="T838" s="29"/>
      <c r="U838" s="27"/>
      <c r="V838" s="29"/>
      <c r="W838" s="29"/>
      <c r="X838" s="29"/>
      <c r="Y838" s="31"/>
      <c r="Z838" s="29"/>
      <c r="AA838" s="30"/>
      <c r="AB838" s="32"/>
      <c r="AC838" s="30"/>
      <c r="AD838" s="33"/>
      <c r="AE838" s="29"/>
      <c r="AF838" s="29"/>
      <c r="AG838" s="29"/>
    </row>
    <row r="839" spans="1:33" ht="15" customHeight="1" x14ac:dyDescent="0.25">
      <c r="A839" s="5">
        <v>43</v>
      </c>
      <c r="B839" s="38">
        <v>44123</v>
      </c>
      <c r="C839" s="38">
        <v>44105</v>
      </c>
      <c r="D839" s="38">
        <v>44097</v>
      </c>
      <c r="E839" s="34">
        <v>44123</v>
      </c>
      <c r="F839" s="5">
        <v>5686</v>
      </c>
      <c r="G839" s="5" t="s">
        <v>91</v>
      </c>
      <c r="H839" s="5" t="s">
        <v>41</v>
      </c>
      <c r="I839" s="5" t="s">
        <v>92</v>
      </c>
      <c r="J839" s="21" t="s">
        <v>131</v>
      </c>
      <c r="K839" s="21" t="s">
        <v>2111</v>
      </c>
      <c r="L839" s="6" t="s">
        <v>122</v>
      </c>
      <c r="M839" s="5">
        <v>13</v>
      </c>
      <c r="N839" s="5" t="s">
        <v>91</v>
      </c>
      <c r="O839" s="5" t="s">
        <v>91</v>
      </c>
      <c r="P839" s="5" t="s">
        <v>91</v>
      </c>
      <c r="Q839" s="6" t="s">
        <v>105</v>
      </c>
      <c r="R839" s="6" t="s">
        <v>2106</v>
      </c>
      <c r="S839" s="6"/>
      <c r="T839" s="6"/>
      <c r="U839" s="5"/>
      <c r="V839" s="6"/>
      <c r="W839" s="6" t="s">
        <v>502</v>
      </c>
      <c r="X839" s="6"/>
      <c r="Y839" s="22"/>
      <c r="Z839" s="6">
        <v>4</v>
      </c>
      <c r="AA839" s="21"/>
      <c r="AB839" s="23">
        <v>44102</v>
      </c>
      <c r="AC839" s="21" t="s">
        <v>30</v>
      </c>
      <c r="AD839" s="24" t="s">
        <v>2112</v>
      </c>
      <c r="AE839" s="6" t="s">
        <v>35</v>
      </c>
      <c r="AF839" s="6"/>
      <c r="AG839" s="6" t="s">
        <v>3040</v>
      </c>
    </row>
    <row r="840" spans="1:33" ht="7.5" customHeight="1" x14ac:dyDescent="0.25">
      <c r="A840" s="27"/>
      <c r="B840" s="39"/>
      <c r="C840" s="39"/>
      <c r="D840" s="39"/>
      <c r="E840" s="28"/>
      <c r="F840" s="27"/>
      <c r="G840" s="27"/>
      <c r="H840" s="27"/>
      <c r="I840" s="27"/>
      <c r="J840" s="30"/>
      <c r="K840" s="30"/>
      <c r="L840" s="29"/>
      <c r="M840" s="27"/>
      <c r="N840" s="27"/>
      <c r="O840" s="27"/>
      <c r="P840" s="27"/>
      <c r="Q840" s="29"/>
      <c r="R840" s="29"/>
      <c r="S840" s="29"/>
      <c r="T840" s="29"/>
      <c r="U840" s="27"/>
      <c r="V840" s="29"/>
      <c r="W840" s="29"/>
      <c r="X840" s="29"/>
      <c r="Y840" s="31"/>
      <c r="Z840" s="29"/>
      <c r="AA840" s="30"/>
      <c r="AB840" s="32"/>
      <c r="AC840" s="30"/>
      <c r="AD840" s="33"/>
      <c r="AE840" s="29"/>
      <c r="AF840" s="29"/>
      <c r="AG840" s="29"/>
    </row>
    <row r="841" spans="1:33" ht="15" customHeight="1" x14ac:dyDescent="0.25">
      <c r="A841" s="5">
        <v>45</v>
      </c>
      <c r="B841" s="38">
        <v>44137</v>
      </c>
      <c r="C841" s="38">
        <v>44105</v>
      </c>
      <c r="D841" s="38">
        <v>44098</v>
      </c>
      <c r="E841" s="36">
        <v>44137</v>
      </c>
      <c r="F841" s="5">
        <v>5690</v>
      </c>
      <c r="G841" s="5" t="s">
        <v>91</v>
      </c>
      <c r="H841" s="5" t="s">
        <v>43</v>
      </c>
      <c r="I841" s="5" t="s">
        <v>92</v>
      </c>
      <c r="J841" s="21" t="s">
        <v>131</v>
      </c>
      <c r="K841" s="21" t="s">
        <v>2380</v>
      </c>
      <c r="L841" s="6" t="s">
        <v>2381</v>
      </c>
      <c r="M841" s="5">
        <v>19</v>
      </c>
      <c r="N841" s="5" t="s">
        <v>91</v>
      </c>
      <c r="O841" s="5" t="s">
        <v>91</v>
      </c>
      <c r="P841" s="5" t="s">
        <v>91</v>
      </c>
      <c r="Q841" s="6" t="s">
        <v>105</v>
      </c>
      <c r="R841" s="6" t="s">
        <v>2368</v>
      </c>
      <c r="S841" s="6"/>
      <c r="T841" s="6"/>
      <c r="U841" s="5"/>
      <c r="V841" s="6"/>
      <c r="W841" s="6" t="s">
        <v>502</v>
      </c>
      <c r="X841" s="6"/>
      <c r="Y841" s="22"/>
      <c r="Z841" s="6">
        <v>6.5</v>
      </c>
      <c r="AA841" s="21"/>
      <c r="AB841" s="23">
        <v>44120</v>
      </c>
      <c r="AC841" s="21" t="s">
        <v>30</v>
      </c>
      <c r="AD841" s="24" t="s">
        <v>2382</v>
      </c>
      <c r="AE841" s="6" t="s">
        <v>31</v>
      </c>
      <c r="AF841" s="6"/>
      <c r="AG841" s="6" t="s">
        <v>3042</v>
      </c>
    </row>
    <row r="842" spans="1:33" ht="7.5" customHeight="1" x14ac:dyDescent="0.25">
      <c r="A842" s="27"/>
      <c r="B842" s="39"/>
      <c r="C842" s="39"/>
      <c r="D842" s="39"/>
      <c r="E842" s="28"/>
      <c r="F842" s="27"/>
      <c r="G842" s="27"/>
      <c r="H842" s="27"/>
      <c r="I842" s="27"/>
      <c r="J842" s="30"/>
      <c r="K842" s="30"/>
      <c r="L842" s="29"/>
      <c r="M842" s="27"/>
      <c r="N842" s="27"/>
      <c r="O842" s="27"/>
      <c r="P842" s="27"/>
      <c r="Q842" s="29"/>
      <c r="R842" s="29"/>
      <c r="S842" s="29"/>
      <c r="T842" s="29"/>
      <c r="U842" s="27"/>
      <c r="V842" s="29"/>
      <c r="W842" s="29"/>
      <c r="X842" s="29"/>
      <c r="Y842" s="31"/>
      <c r="Z842" s="29"/>
      <c r="AA842" s="30"/>
      <c r="AB842" s="32"/>
      <c r="AC842" s="30"/>
      <c r="AD842" s="33"/>
      <c r="AE842" s="29"/>
      <c r="AF842" s="29"/>
      <c r="AG842" s="29"/>
    </row>
    <row r="843" spans="1:33" ht="15" customHeight="1" x14ac:dyDescent="0.25">
      <c r="A843" s="5">
        <v>42</v>
      </c>
      <c r="B843" s="38">
        <v>44116</v>
      </c>
      <c r="C843" s="38">
        <v>44105</v>
      </c>
      <c r="D843" s="38">
        <v>44091</v>
      </c>
      <c r="E843" s="37">
        <v>44116</v>
      </c>
      <c r="F843" s="5">
        <v>8771</v>
      </c>
      <c r="G843" s="5" t="s">
        <v>91</v>
      </c>
      <c r="H843" s="5" t="s">
        <v>43</v>
      </c>
      <c r="I843" s="5" t="s">
        <v>92</v>
      </c>
      <c r="J843" s="21" t="s">
        <v>147</v>
      </c>
      <c r="K843" s="21" t="s">
        <v>1939</v>
      </c>
      <c r="L843" s="6" t="s">
        <v>152</v>
      </c>
      <c r="M843" s="5">
        <v>4</v>
      </c>
      <c r="N843" s="5" t="s">
        <v>91</v>
      </c>
      <c r="O843" s="5" t="s">
        <v>91</v>
      </c>
      <c r="P843" s="5" t="s">
        <v>91</v>
      </c>
      <c r="Q843" s="6" t="s">
        <v>153</v>
      </c>
      <c r="R843" s="6" t="s">
        <v>264</v>
      </c>
      <c r="S843" s="6" t="s">
        <v>155</v>
      </c>
      <c r="T843" s="6"/>
      <c r="U843" s="5"/>
      <c r="V843" s="6"/>
      <c r="W843" s="6" t="s">
        <v>1940</v>
      </c>
      <c r="X843" s="6" t="s">
        <v>1941</v>
      </c>
      <c r="Y843" s="22"/>
      <c r="Z843" s="6"/>
      <c r="AA843" s="21"/>
      <c r="AB843" s="23">
        <v>44090</v>
      </c>
      <c r="AC843" s="21" t="s">
        <v>33</v>
      </c>
      <c r="AD843" s="24" t="s">
        <v>1942</v>
      </c>
      <c r="AE843" s="6" t="s">
        <v>31</v>
      </c>
      <c r="AF843" s="6"/>
      <c r="AG843" s="6" t="s">
        <v>3039</v>
      </c>
    </row>
    <row r="844" spans="1:33" ht="15" customHeight="1" x14ac:dyDescent="0.25">
      <c r="A844" s="5">
        <v>42</v>
      </c>
      <c r="B844" s="38">
        <v>44116</v>
      </c>
      <c r="C844" s="38">
        <v>44105</v>
      </c>
      <c r="D844" s="38">
        <v>44089</v>
      </c>
      <c r="E844" s="37">
        <v>44116</v>
      </c>
      <c r="F844" s="5">
        <v>8757</v>
      </c>
      <c r="G844" s="5" t="s">
        <v>91</v>
      </c>
      <c r="H844" s="5" t="s">
        <v>40</v>
      </c>
      <c r="I844" s="5" t="s">
        <v>92</v>
      </c>
      <c r="J844" s="21" t="s">
        <v>147</v>
      </c>
      <c r="K844" s="21" t="s">
        <v>287</v>
      </c>
      <c r="L844" s="6" t="s">
        <v>288</v>
      </c>
      <c r="M844" s="5">
        <v>20</v>
      </c>
      <c r="N844" s="5" t="s">
        <v>91</v>
      </c>
      <c r="O844" s="5" t="s">
        <v>91</v>
      </c>
      <c r="P844" s="5" t="s">
        <v>91</v>
      </c>
      <c r="Q844" s="6"/>
      <c r="R844" s="6" t="s">
        <v>112</v>
      </c>
      <c r="S844" s="6"/>
      <c r="T844" s="6"/>
      <c r="U844" s="5"/>
      <c r="V844" s="6"/>
      <c r="W844" s="6" t="s">
        <v>291</v>
      </c>
      <c r="X844" s="6"/>
      <c r="Y844" s="22"/>
      <c r="Z844" s="6"/>
      <c r="AA844" s="21"/>
      <c r="AB844" s="23">
        <v>44071</v>
      </c>
      <c r="AC844" s="21" t="s">
        <v>30</v>
      </c>
      <c r="AD844" s="24" t="s">
        <v>1943</v>
      </c>
      <c r="AE844" s="6" t="s">
        <v>35</v>
      </c>
      <c r="AF844" s="6"/>
      <c r="AG844" s="6" t="s">
        <v>3040</v>
      </c>
    </row>
    <row r="845" spans="1:33" ht="15" customHeight="1" x14ac:dyDescent="0.25">
      <c r="A845" s="5">
        <v>42</v>
      </c>
      <c r="B845" s="38">
        <v>44116</v>
      </c>
      <c r="C845" s="38">
        <v>44105</v>
      </c>
      <c r="D845" s="38">
        <v>44096</v>
      </c>
      <c r="E845" s="37">
        <v>44116</v>
      </c>
      <c r="F845" s="5">
        <v>8758</v>
      </c>
      <c r="G845" s="5" t="s">
        <v>91</v>
      </c>
      <c r="H845" s="5" t="s">
        <v>40</v>
      </c>
      <c r="I845" s="5" t="s">
        <v>92</v>
      </c>
      <c r="J845" s="21" t="s">
        <v>147</v>
      </c>
      <c r="K845" s="21" t="s">
        <v>1944</v>
      </c>
      <c r="L845" s="6" t="s">
        <v>294</v>
      </c>
      <c r="M845" s="5">
        <v>21</v>
      </c>
      <c r="N845" s="5" t="s">
        <v>91</v>
      </c>
      <c r="O845" s="5" t="s">
        <v>91</v>
      </c>
      <c r="P845" s="5" t="s">
        <v>91</v>
      </c>
      <c r="Q845" s="6"/>
      <c r="R845" s="6" t="s">
        <v>112</v>
      </c>
      <c r="S845" s="6" t="s">
        <v>668</v>
      </c>
      <c r="T845" s="6"/>
      <c r="U845" s="5"/>
      <c r="V845" s="6"/>
      <c r="W845" s="6" t="s">
        <v>1945</v>
      </c>
      <c r="X845" s="6"/>
      <c r="Y845" s="22"/>
      <c r="Z845" s="6"/>
      <c r="AA845" s="21"/>
      <c r="AB845" s="23">
        <v>44071</v>
      </c>
      <c r="AC845" s="21" t="s">
        <v>32</v>
      </c>
      <c r="AD845" s="24" t="s">
        <v>1943</v>
      </c>
      <c r="AE845" s="6" t="s">
        <v>31</v>
      </c>
      <c r="AF845" s="6"/>
      <c r="AG845" s="6" t="s">
        <v>3041</v>
      </c>
    </row>
    <row r="846" spans="1:33" ht="15" customHeight="1" x14ac:dyDescent="0.25">
      <c r="A846" s="5">
        <v>42</v>
      </c>
      <c r="B846" s="38">
        <v>44116</v>
      </c>
      <c r="C846" s="38">
        <v>44105</v>
      </c>
      <c r="D846" s="38">
        <v>44091</v>
      </c>
      <c r="E846" s="37">
        <v>44116</v>
      </c>
      <c r="F846" s="5">
        <v>9692</v>
      </c>
      <c r="G846" s="5" t="s">
        <v>91</v>
      </c>
      <c r="H846" s="5" t="s">
        <v>40</v>
      </c>
      <c r="I846" s="5" t="s">
        <v>92</v>
      </c>
      <c r="J846" s="21" t="s">
        <v>159</v>
      </c>
      <c r="K846" s="21">
        <v>257878</v>
      </c>
      <c r="L846" s="6" t="s">
        <v>152</v>
      </c>
      <c r="M846" s="5">
        <v>20</v>
      </c>
      <c r="N846" s="5" t="s">
        <v>91</v>
      </c>
      <c r="O846" s="5" t="s">
        <v>91</v>
      </c>
      <c r="P846" s="5" t="s">
        <v>91</v>
      </c>
      <c r="Q846" s="6"/>
      <c r="R846" s="6" t="s">
        <v>163</v>
      </c>
      <c r="S846" s="6"/>
      <c r="T846" s="6"/>
      <c r="U846" s="5"/>
      <c r="V846" s="6" t="s">
        <v>164</v>
      </c>
      <c r="W846" s="6" t="s">
        <v>1946</v>
      </c>
      <c r="X846" s="6"/>
      <c r="Y846" s="22"/>
      <c r="Z846" s="6"/>
      <c r="AA846" s="21">
        <v>257878</v>
      </c>
      <c r="AB846" s="23">
        <v>44089</v>
      </c>
      <c r="AC846" s="21" t="s">
        <v>32</v>
      </c>
      <c r="AD846" s="24" t="s">
        <v>1947</v>
      </c>
      <c r="AE846" s="6" t="s">
        <v>35</v>
      </c>
      <c r="AF846" s="6"/>
      <c r="AG846" s="6" t="s">
        <v>3042</v>
      </c>
    </row>
    <row r="847" spans="1:33" ht="15" customHeight="1" x14ac:dyDescent="0.25">
      <c r="A847" s="5">
        <v>42</v>
      </c>
      <c r="B847" s="38">
        <v>44116</v>
      </c>
      <c r="C847" s="38">
        <v>44105</v>
      </c>
      <c r="D847" s="38">
        <v>44091</v>
      </c>
      <c r="E847" s="37">
        <v>44116</v>
      </c>
      <c r="F847" s="5">
        <v>9695</v>
      </c>
      <c r="G847" s="5" t="s">
        <v>91</v>
      </c>
      <c r="H847" s="5" t="s">
        <v>40</v>
      </c>
      <c r="I847" s="5" t="s">
        <v>92</v>
      </c>
      <c r="J847" s="21" t="s">
        <v>159</v>
      </c>
      <c r="K847" s="21">
        <v>257946</v>
      </c>
      <c r="L847" s="6" t="s">
        <v>152</v>
      </c>
      <c r="M847" s="5">
        <v>4</v>
      </c>
      <c r="N847" s="5" t="s">
        <v>91</v>
      </c>
      <c r="O847" s="5" t="s">
        <v>91</v>
      </c>
      <c r="P847" s="5" t="s">
        <v>91</v>
      </c>
      <c r="Q847" s="6" t="s">
        <v>105</v>
      </c>
      <c r="R847" s="6" t="s">
        <v>163</v>
      </c>
      <c r="S847" s="6"/>
      <c r="T847" s="6"/>
      <c r="U847" s="5"/>
      <c r="V847" s="6" t="s">
        <v>164</v>
      </c>
      <c r="W847" s="6" t="s">
        <v>1672</v>
      </c>
      <c r="X847" s="6"/>
      <c r="Y847" s="22"/>
      <c r="Z847" s="6"/>
      <c r="AA847" s="21">
        <v>257946</v>
      </c>
      <c r="AB847" s="23">
        <v>44097</v>
      </c>
      <c r="AC847" s="21" t="s">
        <v>32</v>
      </c>
      <c r="AD847" s="24" t="s">
        <v>1948</v>
      </c>
      <c r="AE847" s="6" t="s">
        <v>34</v>
      </c>
      <c r="AF847" s="6"/>
      <c r="AG847" s="6" t="s">
        <v>3039</v>
      </c>
    </row>
    <row r="848" spans="1:33" ht="15" customHeight="1" x14ac:dyDescent="0.25">
      <c r="A848" s="5">
        <v>42</v>
      </c>
      <c r="B848" s="38">
        <v>44116</v>
      </c>
      <c r="C848" s="38">
        <v>44105</v>
      </c>
      <c r="D848" s="38">
        <v>44091</v>
      </c>
      <c r="E848" s="37">
        <v>44116</v>
      </c>
      <c r="F848" s="5">
        <v>9696</v>
      </c>
      <c r="G848" s="5" t="s">
        <v>91</v>
      </c>
      <c r="H848" s="5" t="s">
        <v>40</v>
      </c>
      <c r="I848" s="5" t="s">
        <v>92</v>
      </c>
      <c r="J848" s="21" t="s">
        <v>159</v>
      </c>
      <c r="K848" s="21">
        <v>257971</v>
      </c>
      <c r="L848" s="6" t="s">
        <v>152</v>
      </c>
      <c r="M848" s="5">
        <v>3</v>
      </c>
      <c r="N848" s="5" t="s">
        <v>91</v>
      </c>
      <c r="O848" s="5" t="s">
        <v>91</v>
      </c>
      <c r="P848" s="5" t="s">
        <v>91</v>
      </c>
      <c r="Q848" s="6" t="s">
        <v>105</v>
      </c>
      <c r="R848" s="6" t="s">
        <v>163</v>
      </c>
      <c r="S848" s="6"/>
      <c r="T848" s="6"/>
      <c r="U848" s="5"/>
      <c r="V848" s="6" t="s">
        <v>167</v>
      </c>
      <c r="W848" s="6" t="s">
        <v>1949</v>
      </c>
      <c r="X848" s="6"/>
      <c r="Y848" s="22"/>
      <c r="Z848" s="6"/>
      <c r="AA848" s="21">
        <v>257971</v>
      </c>
      <c r="AB848" s="23">
        <v>44097</v>
      </c>
      <c r="AC848" s="21" t="s">
        <v>30</v>
      </c>
      <c r="AD848" s="24" t="s">
        <v>1950</v>
      </c>
      <c r="AE848" s="6" t="s">
        <v>31</v>
      </c>
      <c r="AF848" s="6"/>
      <c r="AG848" s="6" t="s">
        <v>3040</v>
      </c>
    </row>
    <row r="849" spans="1:33" ht="7.5" customHeight="1" x14ac:dyDescent="0.25">
      <c r="A849" s="27"/>
      <c r="B849" s="39"/>
      <c r="C849" s="39"/>
      <c r="D849" s="39"/>
      <c r="E849" s="28"/>
      <c r="F849" s="27"/>
      <c r="G849" s="27"/>
      <c r="H849" s="27"/>
      <c r="I849" s="27"/>
      <c r="J849" s="30"/>
      <c r="K849" s="30"/>
      <c r="L849" s="29"/>
      <c r="M849" s="27"/>
      <c r="N849" s="27"/>
      <c r="O849" s="27"/>
      <c r="P849" s="27"/>
      <c r="Q849" s="29"/>
      <c r="R849" s="29"/>
      <c r="S849" s="29"/>
      <c r="T849" s="29"/>
      <c r="U849" s="27"/>
      <c r="V849" s="29"/>
      <c r="W849" s="29"/>
      <c r="X849" s="29"/>
      <c r="Y849" s="31"/>
      <c r="Z849" s="29"/>
      <c r="AA849" s="30"/>
      <c r="AB849" s="32"/>
      <c r="AC849" s="30"/>
      <c r="AD849" s="33"/>
      <c r="AE849" s="29"/>
      <c r="AF849" s="29"/>
      <c r="AG849" s="29"/>
    </row>
    <row r="850" spans="1:33" ht="15" customHeight="1" x14ac:dyDescent="0.25">
      <c r="A850" s="5">
        <v>42</v>
      </c>
      <c r="B850" s="38">
        <v>44119</v>
      </c>
      <c r="C850" s="38">
        <v>44105</v>
      </c>
      <c r="D850" s="38">
        <v>44098</v>
      </c>
      <c r="E850" s="37">
        <v>44119</v>
      </c>
      <c r="F850" s="5">
        <v>9705</v>
      </c>
      <c r="G850" s="5" t="s">
        <v>91</v>
      </c>
      <c r="H850" s="5" t="s">
        <v>40</v>
      </c>
      <c r="I850" s="5" t="s">
        <v>92</v>
      </c>
      <c r="J850" s="21" t="s">
        <v>159</v>
      </c>
      <c r="K850" s="21">
        <v>258063</v>
      </c>
      <c r="L850" s="6" t="s">
        <v>152</v>
      </c>
      <c r="M850" s="5">
        <v>2</v>
      </c>
      <c r="N850" s="5" t="s">
        <v>91</v>
      </c>
      <c r="O850" s="5" t="s">
        <v>91</v>
      </c>
      <c r="P850" s="5" t="s">
        <v>91</v>
      </c>
      <c r="Q850" s="6"/>
      <c r="R850" s="6" t="s">
        <v>163</v>
      </c>
      <c r="S850" s="6"/>
      <c r="T850" s="6"/>
      <c r="U850" s="5"/>
      <c r="V850" s="6" t="s">
        <v>167</v>
      </c>
      <c r="W850" s="6" t="s">
        <v>2052</v>
      </c>
      <c r="X850" s="6"/>
      <c r="Y850" s="22"/>
      <c r="Z850" s="6"/>
      <c r="AA850" s="21">
        <v>258063</v>
      </c>
      <c r="AB850" s="23">
        <v>44104</v>
      </c>
      <c r="AC850" s="21" t="s">
        <v>32</v>
      </c>
      <c r="AD850" s="24" t="s">
        <v>2053</v>
      </c>
      <c r="AE850" s="6" t="s">
        <v>31</v>
      </c>
      <c r="AF850" s="6"/>
      <c r="AG850" s="6" t="s">
        <v>3039</v>
      </c>
    </row>
    <row r="851" spans="1:33" ht="7.5" customHeight="1" x14ac:dyDescent="0.25">
      <c r="A851" s="27"/>
      <c r="B851" s="39"/>
      <c r="C851" s="39"/>
      <c r="D851" s="39"/>
      <c r="E851" s="28"/>
      <c r="F851" s="27"/>
      <c r="G851" s="27"/>
      <c r="H851" s="27"/>
      <c r="I851" s="27"/>
      <c r="J851" s="30"/>
      <c r="K851" s="30"/>
      <c r="L851" s="29"/>
      <c r="M851" s="27"/>
      <c r="N851" s="27"/>
      <c r="O851" s="27"/>
      <c r="P851" s="27"/>
      <c r="Q851" s="29"/>
      <c r="R851" s="29"/>
      <c r="S851" s="29"/>
      <c r="T851" s="29"/>
      <c r="U851" s="27"/>
      <c r="V851" s="29"/>
      <c r="W851" s="29"/>
      <c r="X851" s="29"/>
      <c r="Y851" s="31"/>
      <c r="Z851" s="29"/>
      <c r="AA851" s="30"/>
      <c r="AB851" s="32"/>
      <c r="AC851" s="30"/>
      <c r="AD851" s="33"/>
      <c r="AE851" s="29"/>
      <c r="AF851" s="29"/>
      <c r="AG851" s="29"/>
    </row>
    <row r="852" spans="1:33" ht="15" customHeight="1" x14ac:dyDescent="0.25">
      <c r="A852" s="5">
        <v>42</v>
      </c>
      <c r="B852" s="38">
        <v>44120</v>
      </c>
      <c r="C852" s="38">
        <v>44106</v>
      </c>
      <c r="D852" s="38">
        <v>44099</v>
      </c>
      <c r="E852" s="37">
        <v>44120</v>
      </c>
      <c r="F852" s="5">
        <v>2396</v>
      </c>
      <c r="G852" s="5" t="s">
        <v>91</v>
      </c>
      <c r="H852" s="5" t="s">
        <v>41</v>
      </c>
      <c r="I852" s="5" t="s">
        <v>92</v>
      </c>
      <c r="J852" s="21" t="s">
        <v>231</v>
      </c>
      <c r="K852" s="21" t="s">
        <v>2054</v>
      </c>
      <c r="L852" s="6" t="s">
        <v>2055</v>
      </c>
      <c r="M852" s="5">
        <v>13</v>
      </c>
      <c r="N852" s="5" t="s">
        <v>91</v>
      </c>
      <c r="O852" s="5" t="s">
        <v>91</v>
      </c>
      <c r="P852" s="5" t="s">
        <v>91</v>
      </c>
      <c r="Q852" s="6" t="s">
        <v>105</v>
      </c>
      <c r="R852" s="6" t="s">
        <v>112</v>
      </c>
      <c r="S852" s="6" t="s">
        <v>1287</v>
      </c>
      <c r="T852" s="6" t="s">
        <v>2056</v>
      </c>
      <c r="U852" s="5"/>
      <c r="V852" s="6"/>
      <c r="W852" s="6" t="s">
        <v>2057</v>
      </c>
      <c r="X852" s="6" t="s">
        <v>235</v>
      </c>
      <c r="Y852" s="22"/>
      <c r="Z852" s="6"/>
      <c r="AA852" s="21" t="s">
        <v>2058</v>
      </c>
      <c r="AB852" s="23">
        <v>44104</v>
      </c>
      <c r="AC852" s="21" t="s">
        <v>30</v>
      </c>
      <c r="AD852" s="24" t="s">
        <v>2059</v>
      </c>
      <c r="AE852" s="6" t="s">
        <v>38</v>
      </c>
      <c r="AF852" s="6"/>
      <c r="AG852" s="6" t="s">
        <v>3040</v>
      </c>
    </row>
    <row r="853" spans="1:33" ht="7.5" customHeight="1" x14ac:dyDescent="0.25">
      <c r="A853" s="27"/>
      <c r="B853" s="39"/>
      <c r="C853" s="39"/>
      <c r="D853" s="39"/>
      <c r="E853" s="28"/>
      <c r="F853" s="27"/>
      <c r="G853" s="27"/>
      <c r="H853" s="27"/>
      <c r="I853" s="27"/>
      <c r="J853" s="30"/>
      <c r="K853" s="30"/>
      <c r="L853" s="29"/>
      <c r="M853" s="27"/>
      <c r="N853" s="27"/>
      <c r="O853" s="27"/>
      <c r="P853" s="27"/>
      <c r="Q853" s="29"/>
      <c r="R853" s="29"/>
      <c r="S853" s="29"/>
      <c r="T853" s="29"/>
      <c r="U853" s="27"/>
      <c r="V853" s="29"/>
      <c r="W853" s="29"/>
      <c r="X853" s="29"/>
      <c r="Y853" s="31"/>
      <c r="Z853" s="29"/>
      <c r="AA853" s="30"/>
      <c r="AB853" s="32"/>
      <c r="AC853" s="30"/>
      <c r="AD853" s="33"/>
      <c r="AE853" s="29"/>
      <c r="AF853" s="29"/>
      <c r="AG853" s="29"/>
    </row>
    <row r="854" spans="1:33" ht="15" customHeight="1" x14ac:dyDescent="0.25">
      <c r="A854" s="5">
        <v>42</v>
      </c>
      <c r="B854" s="38">
        <v>44117</v>
      </c>
      <c r="C854" s="38">
        <v>44106</v>
      </c>
      <c r="D854" s="38">
        <v>44074</v>
      </c>
      <c r="E854" s="37">
        <v>44117</v>
      </c>
      <c r="F854" s="5">
        <v>3084</v>
      </c>
      <c r="G854" s="5" t="s">
        <v>91</v>
      </c>
      <c r="H854" s="5" t="s">
        <v>40</v>
      </c>
      <c r="I854" s="5" t="s">
        <v>92</v>
      </c>
      <c r="J854" s="21" t="s">
        <v>93</v>
      </c>
      <c r="K854" s="21" t="s">
        <v>1951</v>
      </c>
      <c r="L854" s="6" t="s">
        <v>296</v>
      </c>
      <c r="M854" s="5">
        <v>0</v>
      </c>
      <c r="N854" s="5" t="s">
        <v>91</v>
      </c>
      <c r="O854" s="5" t="s">
        <v>91</v>
      </c>
      <c r="P854" s="5" t="s">
        <v>91</v>
      </c>
      <c r="Q854" s="6" t="s">
        <v>105</v>
      </c>
      <c r="R854" s="6" t="s">
        <v>440</v>
      </c>
      <c r="S854" s="6"/>
      <c r="T854" s="6"/>
      <c r="U854" s="5"/>
      <c r="V854" s="6"/>
      <c r="W854" s="6" t="s">
        <v>440</v>
      </c>
      <c r="X854" s="6"/>
      <c r="Y854" s="22"/>
      <c r="Z854" s="6"/>
      <c r="AA854" s="21" t="s">
        <v>1952</v>
      </c>
      <c r="AB854" s="23">
        <v>44090</v>
      </c>
      <c r="AC854" s="21" t="s">
        <v>33</v>
      </c>
      <c r="AD854" s="24" t="s">
        <v>1953</v>
      </c>
      <c r="AE854" s="6" t="s">
        <v>31</v>
      </c>
      <c r="AF854" s="6"/>
      <c r="AG854" s="6" t="s">
        <v>3041</v>
      </c>
    </row>
    <row r="855" spans="1:33" ht="7.5" customHeight="1" x14ac:dyDescent="0.25">
      <c r="A855" s="27"/>
      <c r="B855" s="39"/>
      <c r="C855" s="39"/>
      <c r="D855" s="39"/>
      <c r="E855" s="28"/>
      <c r="F855" s="27"/>
      <c r="G855" s="27"/>
      <c r="H855" s="27"/>
      <c r="I855" s="27"/>
      <c r="J855" s="30"/>
      <c r="K855" s="30"/>
      <c r="L855" s="29"/>
      <c r="M855" s="27"/>
      <c r="N855" s="27"/>
      <c r="O855" s="27"/>
      <c r="P855" s="27"/>
      <c r="Q855" s="29"/>
      <c r="R855" s="29"/>
      <c r="S855" s="29"/>
      <c r="T855" s="29"/>
      <c r="U855" s="27"/>
      <c r="V855" s="29"/>
      <c r="W855" s="29"/>
      <c r="X855" s="29"/>
      <c r="Y855" s="31"/>
      <c r="Z855" s="29"/>
      <c r="AA855" s="30"/>
      <c r="AB855" s="32"/>
      <c r="AC855" s="30"/>
      <c r="AD855" s="33"/>
      <c r="AE855" s="29"/>
      <c r="AF855" s="29"/>
      <c r="AG855" s="29"/>
    </row>
    <row r="856" spans="1:33" ht="15" customHeight="1" x14ac:dyDescent="0.25">
      <c r="A856" s="5">
        <v>43</v>
      </c>
      <c r="B856" s="38">
        <v>44127</v>
      </c>
      <c r="C856" s="38">
        <v>44106</v>
      </c>
      <c r="D856" s="38">
        <v>44099</v>
      </c>
      <c r="E856" s="34">
        <v>44127</v>
      </c>
      <c r="F856" s="5">
        <v>3107</v>
      </c>
      <c r="G856" s="5" t="s">
        <v>91</v>
      </c>
      <c r="H856" s="5" t="s">
        <v>43</v>
      </c>
      <c r="I856" s="5" t="s">
        <v>92</v>
      </c>
      <c r="J856" s="21" t="s">
        <v>93</v>
      </c>
      <c r="K856" s="21" t="s">
        <v>2222</v>
      </c>
      <c r="L856" s="6" t="s">
        <v>263</v>
      </c>
      <c r="M856" s="5">
        <v>13</v>
      </c>
      <c r="N856" s="5" t="s">
        <v>91</v>
      </c>
      <c r="O856" s="5" t="s">
        <v>91</v>
      </c>
      <c r="P856" s="5" t="s">
        <v>91</v>
      </c>
      <c r="Q856" s="6" t="s">
        <v>105</v>
      </c>
      <c r="R856" s="6" t="s">
        <v>264</v>
      </c>
      <c r="S856" s="6" t="s">
        <v>244</v>
      </c>
      <c r="T856" s="6"/>
      <c r="U856" s="5"/>
      <c r="V856" s="6"/>
      <c r="W856" s="6" t="s">
        <v>2223</v>
      </c>
      <c r="X856" s="6" t="s">
        <v>2224</v>
      </c>
      <c r="Y856" s="22"/>
      <c r="Z856" s="6"/>
      <c r="AA856" s="21">
        <v>10193</v>
      </c>
      <c r="AB856" s="23">
        <v>44105</v>
      </c>
      <c r="AC856" s="21" t="s">
        <v>30</v>
      </c>
      <c r="AD856" s="24" t="s">
        <v>2225</v>
      </c>
      <c r="AE856" s="6" t="s">
        <v>35</v>
      </c>
      <c r="AF856" s="6"/>
      <c r="AG856" s="6" t="s">
        <v>3039</v>
      </c>
    </row>
    <row r="857" spans="1:33" ht="7.5" customHeight="1" x14ac:dyDescent="0.25">
      <c r="A857" s="27"/>
      <c r="B857" s="39"/>
      <c r="C857" s="39"/>
      <c r="D857" s="39"/>
      <c r="E857" s="28"/>
      <c r="F857" s="27"/>
      <c r="G857" s="27"/>
      <c r="H857" s="27"/>
      <c r="I857" s="27"/>
      <c r="J857" s="30"/>
      <c r="K857" s="30"/>
      <c r="L857" s="29"/>
      <c r="M857" s="27"/>
      <c r="N857" s="27"/>
      <c r="O857" s="27"/>
      <c r="P857" s="27"/>
      <c r="Q857" s="29"/>
      <c r="R857" s="29"/>
      <c r="S857" s="29"/>
      <c r="T857" s="29"/>
      <c r="U857" s="27"/>
      <c r="V857" s="29"/>
      <c r="W857" s="29"/>
      <c r="X857" s="29"/>
      <c r="Y857" s="31"/>
      <c r="Z857" s="29"/>
      <c r="AA857" s="30"/>
      <c r="AB857" s="32"/>
      <c r="AC857" s="30"/>
      <c r="AD857" s="33"/>
      <c r="AE857" s="29"/>
      <c r="AF857" s="29"/>
      <c r="AG857" s="29"/>
    </row>
    <row r="858" spans="1:33" ht="15" customHeight="1" x14ac:dyDescent="0.25">
      <c r="A858" s="5">
        <v>42</v>
      </c>
      <c r="B858" s="38">
        <v>44120</v>
      </c>
      <c r="C858" s="38">
        <v>44106</v>
      </c>
      <c r="D858" s="38">
        <v>44099</v>
      </c>
      <c r="E858" s="37">
        <v>44120</v>
      </c>
      <c r="F858" s="5">
        <v>5663</v>
      </c>
      <c r="G858" s="5" t="s">
        <v>91</v>
      </c>
      <c r="H858" s="5" t="s">
        <v>40</v>
      </c>
      <c r="I858" s="5" t="s">
        <v>92</v>
      </c>
      <c r="J858" s="21" t="s">
        <v>131</v>
      </c>
      <c r="K858" s="21" t="s">
        <v>2060</v>
      </c>
      <c r="L858" s="6" t="s">
        <v>2061</v>
      </c>
      <c r="M858" s="5">
        <v>14</v>
      </c>
      <c r="N858" s="5" t="s">
        <v>91</v>
      </c>
      <c r="O858" s="5" t="s">
        <v>91</v>
      </c>
      <c r="P858" s="5" t="s">
        <v>91</v>
      </c>
      <c r="Q858" s="6"/>
      <c r="R858" s="6" t="s">
        <v>2062</v>
      </c>
      <c r="S858" s="6"/>
      <c r="T858" s="6"/>
      <c r="U858" s="5"/>
      <c r="V858" s="6"/>
      <c r="W858" s="6" t="s">
        <v>2063</v>
      </c>
      <c r="X858" s="6"/>
      <c r="Y858" s="22"/>
      <c r="Z858" s="6"/>
      <c r="AA858" s="21"/>
      <c r="AB858" s="23">
        <v>44085</v>
      </c>
      <c r="AC858" s="21" t="s">
        <v>30</v>
      </c>
      <c r="AD858" s="24" t="s">
        <v>2064</v>
      </c>
      <c r="AE858" s="6" t="s">
        <v>31</v>
      </c>
      <c r="AF858" s="6"/>
      <c r="AG858" s="6" t="s">
        <v>3041</v>
      </c>
    </row>
    <row r="859" spans="1:33" ht="15" customHeight="1" x14ac:dyDescent="0.25">
      <c r="A859" s="5">
        <v>42</v>
      </c>
      <c r="B859" s="38">
        <v>44120</v>
      </c>
      <c r="C859" s="38">
        <v>44106</v>
      </c>
      <c r="D859" s="38">
        <v>44099</v>
      </c>
      <c r="E859" s="37">
        <v>44120</v>
      </c>
      <c r="F859" s="5">
        <v>5664</v>
      </c>
      <c r="G859" s="5" t="s">
        <v>91</v>
      </c>
      <c r="H859" s="5" t="s">
        <v>40</v>
      </c>
      <c r="I859" s="5" t="s">
        <v>92</v>
      </c>
      <c r="J859" s="21" t="s">
        <v>131</v>
      </c>
      <c r="K859" s="21" t="s">
        <v>2065</v>
      </c>
      <c r="L859" s="6" t="s">
        <v>2061</v>
      </c>
      <c r="M859" s="5">
        <v>15</v>
      </c>
      <c r="N859" s="5" t="s">
        <v>91</v>
      </c>
      <c r="O859" s="5" t="s">
        <v>91</v>
      </c>
      <c r="P859" s="5" t="s">
        <v>91</v>
      </c>
      <c r="Q859" s="6"/>
      <c r="R859" s="6"/>
      <c r="S859" s="6"/>
      <c r="T859" s="6"/>
      <c r="U859" s="5"/>
      <c r="V859" s="6"/>
      <c r="W859" s="6" t="s">
        <v>2063</v>
      </c>
      <c r="X859" s="6"/>
      <c r="Y859" s="22"/>
      <c r="Z859" s="6"/>
      <c r="AA859" s="21"/>
      <c r="AB859" s="23">
        <v>44085</v>
      </c>
      <c r="AC859" s="21" t="s">
        <v>30</v>
      </c>
      <c r="AD859" s="24" t="s">
        <v>2064</v>
      </c>
      <c r="AE859" s="6" t="s">
        <v>36</v>
      </c>
      <c r="AF859" s="6"/>
      <c r="AG859" s="6" t="s">
        <v>3042</v>
      </c>
    </row>
    <row r="860" spans="1:33" ht="15" customHeight="1" x14ac:dyDescent="0.25">
      <c r="A860" s="5">
        <v>42</v>
      </c>
      <c r="B860" s="38">
        <v>44120</v>
      </c>
      <c r="C860" s="38">
        <v>44106</v>
      </c>
      <c r="D860" s="38">
        <v>44099</v>
      </c>
      <c r="E860" s="37">
        <v>44120</v>
      </c>
      <c r="F860" s="5">
        <v>5665</v>
      </c>
      <c r="G860" s="5" t="s">
        <v>91</v>
      </c>
      <c r="H860" s="5" t="s">
        <v>40</v>
      </c>
      <c r="I860" s="5" t="s">
        <v>92</v>
      </c>
      <c r="J860" s="21" t="s">
        <v>131</v>
      </c>
      <c r="K860" s="21" t="s">
        <v>2066</v>
      </c>
      <c r="L860" s="6" t="s">
        <v>2067</v>
      </c>
      <c r="M860" s="5">
        <v>14</v>
      </c>
      <c r="N860" s="5" t="s">
        <v>91</v>
      </c>
      <c r="O860" s="5" t="s">
        <v>91</v>
      </c>
      <c r="P860" s="5" t="s">
        <v>91</v>
      </c>
      <c r="Q860" s="6"/>
      <c r="R860" s="6"/>
      <c r="S860" s="6"/>
      <c r="T860" s="6"/>
      <c r="U860" s="5"/>
      <c r="V860" s="6"/>
      <c r="W860" s="6" t="s">
        <v>2068</v>
      </c>
      <c r="X860" s="6"/>
      <c r="Y860" s="22"/>
      <c r="Z860" s="6"/>
      <c r="AA860" s="21"/>
      <c r="AB860" s="23">
        <v>44085</v>
      </c>
      <c r="AC860" s="21" t="s">
        <v>30</v>
      </c>
      <c r="AD860" s="24" t="s">
        <v>2064</v>
      </c>
      <c r="AE860" s="6" t="s">
        <v>31</v>
      </c>
      <c r="AF860" s="6"/>
      <c r="AG860" s="6" t="s">
        <v>3039</v>
      </c>
    </row>
    <row r="861" spans="1:33" ht="15" customHeight="1" x14ac:dyDescent="0.25">
      <c r="A861" s="5">
        <v>42</v>
      </c>
      <c r="B861" s="38">
        <v>44120</v>
      </c>
      <c r="C861" s="38">
        <v>44106</v>
      </c>
      <c r="D861" s="38">
        <v>44099</v>
      </c>
      <c r="E861" s="37">
        <v>44120</v>
      </c>
      <c r="F861" s="5">
        <v>5666</v>
      </c>
      <c r="G861" s="5" t="s">
        <v>91</v>
      </c>
      <c r="H861" s="5" t="s">
        <v>40</v>
      </c>
      <c r="I861" s="5" t="s">
        <v>92</v>
      </c>
      <c r="J861" s="21" t="s">
        <v>131</v>
      </c>
      <c r="K861" s="21" t="s">
        <v>2069</v>
      </c>
      <c r="L861" s="6" t="s">
        <v>2061</v>
      </c>
      <c r="M861" s="5">
        <v>15</v>
      </c>
      <c r="N861" s="5" t="s">
        <v>91</v>
      </c>
      <c r="O861" s="5" t="s">
        <v>91</v>
      </c>
      <c r="P861" s="5" t="s">
        <v>91</v>
      </c>
      <c r="Q861" s="6"/>
      <c r="R861" s="6"/>
      <c r="S861" s="6"/>
      <c r="T861" s="6"/>
      <c r="U861" s="5"/>
      <c r="V861" s="6"/>
      <c r="W861" s="6" t="s">
        <v>134</v>
      </c>
      <c r="X861" s="6"/>
      <c r="Y861" s="22"/>
      <c r="Z861" s="6"/>
      <c r="AA861" s="21"/>
      <c r="AB861" s="23">
        <v>44085</v>
      </c>
      <c r="AC861" s="21" t="s">
        <v>32</v>
      </c>
      <c r="AD861" s="24" t="s">
        <v>2064</v>
      </c>
      <c r="AE861" s="6" t="s">
        <v>37</v>
      </c>
      <c r="AF861" s="6"/>
      <c r="AG861" s="6" t="s">
        <v>3040</v>
      </c>
    </row>
    <row r="862" spans="1:33" ht="15" customHeight="1" x14ac:dyDescent="0.25">
      <c r="A862" s="5">
        <v>42</v>
      </c>
      <c r="B862" s="38">
        <v>44120</v>
      </c>
      <c r="C862" s="38">
        <v>44106</v>
      </c>
      <c r="D862" s="38">
        <v>44099</v>
      </c>
      <c r="E862" s="37">
        <v>44120</v>
      </c>
      <c r="F862" s="5">
        <v>5675</v>
      </c>
      <c r="G862" s="5" t="s">
        <v>91</v>
      </c>
      <c r="H862" s="5" t="s">
        <v>40</v>
      </c>
      <c r="I862" s="5" t="s">
        <v>92</v>
      </c>
      <c r="J862" s="21" t="s">
        <v>131</v>
      </c>
      <c r="K862" s="21" t="s">
        <v>2070</v>
      </c>
      <c r="L862" s="6" t="s">
        <v>2071</v>
      </c>
      <c r="M862" s="5">
        <v>12</v>
      </c>
      <c r="N862" s="5" t="s">
        <v>91</v>
      </c>
      <c r="O862" s="5" t="s">
        <v>91</v>
      </c>
      <c r="P862" s="5" t="s">
        <v>91</v>
      </c>
      <c r="Q862" s="6" t="s">
        <v>105</v>
      </c>
      <c r="R862" s="6"/>
      <c r="S862" s="6"/>
      <c r="T862" s="6"/>
      <c r="U862" s="5"/>
      <c r="V862" s="6"/>
      <c r="W862" s="6" t="s">
        <v>2072</v>
      </c>
      <c r="X862" s="6"/>
      <c r="Y862" s="22"/>
      <c r="Z862" s="6"/>
      <c r="AA862" s="21"/>
      <c r="AB862" s="23">
        <v>44096</v>
      </c>
      <c r="AC862" s="21" t="s">
        <v>32</v>
      </c>
      <c r="AD862" s="24" t="s">
        <v>2064</v>
      </c>
      <c r="AE862" s="6" t="s">
        <v>38</v>
      </c>
      <c r="AF862" s="6"/>
      <c r="AG862" s="6" t="s">
        <v>3041</v>
      </c>
    </row>
    <row r="863" spans="1:33" ht="15" customHeight="1" x14ac:dyDescent="0.25">
      <c r="A863" s="5">
        <v>42</v>
      </c>
      <c r="B863" s="38">
        <v>44120</v>
      </c>
      <c r="C863" s="38">
        <v>44106</v>
      </c>
      <c r="D863" s="38">
        <v>44099</v>
      </c>
      <c r="E863" s="37">
        <v>44120</v>
      </c>
      <c r="F863" s="5">
        <v>5710</v>
      </c>
      <c r="G863" s="5" t="s">
        <v>91</v>
      </c>
      <c r="H863" s="5" t="s">
        <v>40</v>
      </c>
      <c r="I863" s="5" t="s">
        <v>92</v>
      </c>
      <c r="J863" s="21" t="s">
        <v>131</v>
      </c>
      <c r="K863" s="21" t="s">
        <v>2073</v>
      </c>
      <c r="L863" s="6" t="s">
        <v>152</v>
      </c>
      <c r="M863" s="5">
        <v>1</v>
      </c>
      <c r="N863" s="5" t="s">
        <v>91</v>
      </c>
      <c r="O863" s="5" t="s">
        <v>91</v>
      </c>
      <c r="P863" s="5" t="s">
        <v>91</v>
      </c>
      <c r="Q863" s="6" t="s">
        <v>96</v>
      </c>
      <c r="R863" s="6"/>
      <c r="S863" s="6"/>
      <c r="T863" s="6"/>
      <c r="U863" s="5"/>
      <c r="V863" s="6"/>
      <c r="W863" s="6" t="s">
        <v>138</v>
      </c>
      <c r="X863" s="6"/>
      <c r="Y863" s="22"/>
      <c r="Z863" s="6"/>
      <c r="AA863" s="21"/>
      <c r="AB863" s="23">
        <v>44119</v>
      </c>
      <c r="AC863" s="21" t="s">
        <v>32</v>
      </c>
      <c r="AD863" s="24" t="s">
        <v>2064</v>
      </c>
      <c r="AE863" s="6" t="s">
        <v>31</v>
      </c>
      <c r="AF863" s="6"/>
      <c r="AG863" s="6" t="s">
        <v>3042</v>
      </c>
    </row>
    <row r="864" spans="1:33" ht="7.5" customHeight="1" x14ac:dyDescent="0.25">
      <c r="A864" s="27"/>
      <c r="B864" s="39"/>
      <c r="C864" s="39"/>
      <c r="D864" s="39"/>
      <c r="E864" s="28"/>
      <c r="F864" s="27"/>
      <c r="G864" s="27"/>
      <c r="H864" s="27"/>
      <c r="I864" s="27"/>
      <c r="J864" s="30"/>
      <c r="K864" s="30"/>
      <c r="L864" s="29"/>
      <c r="M864" s="27"/>
      <c r="N864" s="27"/>
      <c r="O864" s="27"/>
      <c r="P864" s="27"/>
      <c r="Q864" s="29"/>
      <c r="R864" s="29"/>
      <c r="S864" s="29"/>
      <c r="T864" s="29"/>
      <c r="U864" s="27"/>
      <c r="V864" s="29"/>
      <c r="W864" s="29"/>
      <c r="X864" s="29"/>
      <c r="Y864" s="31"/>
      <c r="Z864" s="29"/>
      <c r="AA864" s="30"/>
      <c r="AB864" s="32"/>
      <c r="AC864" s="30"/>
      <c r="AD864" s="33"/>
      <c r="AE864" s="29"/>
      <c r="AF864" s="29"/>
      <c r="AG864" s="29"/>
    </row>
    <row r="865" spans="1:33" ht="15" customHeight="1" x14ac:dyDescent="0.25">
      <c r="A865" s="5">
        <v>42</v>
      </c>
      <c r="B865" s="38">
        <v>44117</v>
      </c>
      <c r="C865" s="38">
        <v>44106</v>
      </c>
      <c r="D865" s="38">
        <v>44090</v>
      </c>
      <c r="E865" s="37">
        <v>44117</v>
      </c>
      <c r="F865" s="5">
        <v>6727</v>
      </c>
      <c r="G865" s="5" t="s">
        <v>91</v>
      </c>
      <c r="H865" s="5" t="s">
        <v>41</v>
      </c>
      <c r="I865" s="5" t="s">
        <v>92</v>
      </c>
      <c r="J865" s="21" t="s">
        <v>191</v>
      </c>
      <c r="K865" s="21" t="s">
        <v>1966</v>
      </c>
      <c r="L865" s="6" t="s">
        <v>1967</v>
      </c>
      <c r="M865" s="5">
        <v>15</v>
      </c>
      <c r="N865" s="5" t="s">
        <v>91</v>
      </c>
      <c r="O865" s="5" t="s">
        <v>91</v>
      </c>
      <c r="P865" s="5" t="s">
        <v>91</v>
      </c>
      <c r="Q865" s="6" t="s">
        <v>105</v>
      </c>
      <c r="R865" s="6" t="s">
        <v>1968</v>
      </c>
      <c r="S865" s="6"/>
      <c r="T865" s="6"/>
      <c r="U865" s="5"/>
      <c r="V865" s="6"/>
      <c r="W865" s="6" t="s">
        <v>672</v>
      </c>
      <c r="X865" s="6"/>
      <c r="Y865" s="22"/>
      <c r="Z865" s="6">
        <v>3</v>
      </c>
      <c r="AA865" s="21"/>
      <c r="AB865" s="23">
        <v>44084</v>
      </c>
      <c r="AC865" s="21" t="s">
        <v>30</v>
      </c>
      <c r="AD865" s="24" t="s">
        <v>1969</v>
      </c>
      <c r="AE865" s="6" t="s">
        <v>37</v>
      </c>
      <c r="AF865" s="6"/>
      <c r="AG865" s="6" t="s">
        <v>3041</v>
      </c>
    </row>
    <row r="866" spans="1:33" ht="15" customHeight="1" x14ac:dyDescent="0.25">
      <c r="A866" s="5">
        <v>42</v>
      </c>
      <c r="B866" s="38">
        <v>44117</v>
      </c>
      <c r="C866" s="38">
        <v>44106</v>
      </c>
      <c r="D866" s="38">
        <v>44111</v>
      </c>
      <c r="E866" s="37">
        <v>44117</v>
      </c>
      <c r="F866" s="5">
        <v>8791</v>
      </c>
      <c r="G866" s="5" t="s">
        <v>91</v>
      </c>
      <c r="H866" s="5" t="s">
        <v>91</v>
      </c>
      <c r="I866" s="5" t="s">
        <v>92</v>
      </c>
      <c r="J866" s="21" t="s">
        <v>147</v>
      </c>
      <c r="K866" s="21" t="s">
        <v>1974</v>
      </c>
      <c r="L866" s="6" t="s">
        <v>1975</v>
      </c>
      <c r="M866" s="5">
        <v>2</v>
      </c>
      <c r="N866" s="5" t="s">
        <v>91</v>
      </c>
      <c r="O866" s="5" t="s">
        <v>91</v>
      </c>
      <c r="P866" s="5" t="s">
        <v>91</v>
      </c>
      <c r="Q866" s="6"/>
      <c r="R866" s="6"/>
      <c r="S866" s="6"/>
      <c r="T866" s="6"/>
      <c r="U866" s="5"/>
      <c r="V866" s="6" t="s">
        <v>1976</v>
      </c>
      <c r="W866" s="6"/>
      <c r="X866" s="6"/>
      <c r="Y866" s="22"/>
      <c r="Z866" s="6"/>
      <c r="AA866" s="21"/>
      <c r="AB866" s="23">
        <v>44110</v>
      </c>
      <c r="AC866" s="21" t="s">
        <v>30</v>
      </c>
      <c r="AD866" s="24"/>
      <c r="AE866" s="6" t="s">
        <v>31</v>
      </c>
      <c r="AF866" s="6"/>
      <c r="AG866" s="6" t="s">
        <v>3039</v>
      </c>
    </row>
    <row r="867" spans="1:33" ht="7.5" customHeight="1" x14ac:dyDescent="0.25">
      <c r="A867" s="27"/>
      <c r="B867" s="39"/>
      <c r="C867" s="39"/>
      <c r="D867" s="39"/>
      <c r="E867" s="28"/>
      <c r="F867" s="27"/>
      <c r="G867" s="27"/>
      <c r="H867" s="27"/>
      <c r="I867" s="27"/>
      <c r="J867" s="30"/>
      <c r="K867" s="30"/>
      <c r="L867" s="29"/>
      <c r="M867" s="27"/>
      <c r="N867" s="27"/>
      <c r="O867" s="27"/>
      <c r="P867" s="27"/>
      <c r="Q867" s="29"/>
      <c r="R867" s="29"/>
      <c r="S867" s="29"/>
      <c r="T867" s="29"/>
      <c r="U867" s="27"/>
      <c r="V867" s="29"/>
      <c r="W867" s="29"/>
      <c r="X867" s="29"/>
      <c r="Y867" s="31"/>
      <c r="Z867" s="29"/>
      <c r="AA867" s="30"/>
      <c r="AB867" s="32"/>
      <c r="AC867" s="30"/>
      <c r="AD867" s="33"/>
      <c r="AE867" s="29"/>
      <c r="AF867" s="29"/>
      <c r="AG867" s="29"/>
    </row>
    <row r="868" spans="1:33" ht="15" customHeight="1" x14ac:dyDescent="0.25">
      <c r="A868" s="5">
        <v>42</v>
      </c>
      <c r="B868" s="38">
        <v>44118</v>
      </c>
      <c r="C868" s="38">
        <v>44109</v>
      </c>
      <c r="D868" s="38">
        <v>44081</v>
      </c>
      <c r="E868" s="37">
        <v>44118</v>
      </c>
      <c r="F868" s="5">
        <v>10690</v>
      </c>
      <c r="G868" s="5" t="s">
        <v>91</v>
      </c>
      <c r="H868" s="5" t="s">
        <v>41</v>
      </c>
      <c r="I868" s="5" t="s">
        <v>92</v>
      </c>
      <c r="J868" s="21" t="s">
        <v>170</v>
      </c>
      <c r="K868" s="21" t="s">
        <v>1990</v>
      </c>
      <c r="L868" s="6" t="s">
        <v>176</v>
      </c>
      <c r="M868" s="5">
        <v>0</v>
      </c>
      <c r="N868" s="5" t="s">
        <v>91</v>
      </c>
      <c r="O868" s="5" t="s">
        <v>91</v>
      </c>
      <c r="P868" s="5" t="s">
        <v>91</v>
      </c>
      <c r="Q868" s="6" t="s">
        <v>105</v>
      </c>
      <c r="R868" s="6" t="s">
        <v>123</v>
      </c>
      <c r="S868" s="6"/>
      <c r="T868" s="6"/>
      <c r="U868" s="5"/>
      <c r="V868" s="6" t="s">
        <v>177</v>
      </c>
      <c r="W868" s="6" t="s">
        <v>1991</v>
      </c>
      <c r="X868" s="6" t="s">
        <v>1992</v>
      </c>
      <c r="Y868" s="22"/>
      <c r="Z868" s="6"/>
      <c r="AA868" s="21"/>
      <c r="AB868" s="23">
        <v>44078</v>
      </c>
      <c r="AC868" s="21" t="s">
        <v>33</v>
      </c>
      <c r="AD868" s="24" t="s">
        <v>115</v>
      </c>
      <c r="AE868" s="6" t="s">
        <v>31</v>
      </c>
      <c r="AF868" s="6"/>
      <c r="AG868" s="6" t="s">
        <v>3042</v>
      </c>
    </row>
    <row r="869" spans="1:33" ht="7.5" customHeight="1" x14ac:dyDescent="0.25">
      <c r="A869" s="27"/>
      <c r="B869" s="39"/>
      <c r="C869" s="39"/>
      <c r="D869" s="39"/>
      <c r="E869" s="28"/>
      <c r="F869" s="27"/>
      <c r="G869" s="27"/>
      <c r="H869" s="27"/>
      <c r="I869" s="27"/>
      <c r="J869" s="30"/>
      <c r="K869" s="30"/>
      <c r="L869" s="29"/>
      <c r="M869" s="27"/>
      <c r="N869" s="27"/>
      <c r="O869" s="27"/>
      <c r="P869" s="27"/>
      <c r="Q869" s="29"/>
      <c r="R869" s="29"/>
      <c r="S869" s="29"/>
      <c r="T869" s="29"/>
      <c r="U869" s="27"/>
      <c r="V869" s="29"/>
      <c r="W869" s="29"/>
      <c r="X869" s="29"/>
      <c r="Y869" s="31"/>
      <c r="Z869" s="29"/>
      <c r="AA869" s="30"/>
      <c r="AB869" s="32"/>
      <c r="AC869" s="30"/>
      <c r="AD869" s="33"/>
      <c r="AE869" s="29"/>
      <c r="AF869" s="29"/>
      <c r="AG869" s="29"/>
    </row>
    <row r="870" spans="1:33" ht="15" customHeight="1" x14ac:dyDescent="0.25">
      <c r="A870" s="5">
        <v>43</v>
      </c>
      <c r="B870" s="38">
        <v>44123</v>
      </c>
      <c r="C870" s="38">
        <v>44109</v>
      </c>
      <c r="D870" s="38">
        <v>44102</v>
      </c>
      <c r="E870" s="34">
        <v>44123</v>
      </c>
      <c r="F870" s="5">
        <v>10701</v>
      </c>
      <c r="G870" s="5" t="s">
        <v>91</v>
      </c>
      <c r="H870" s="5" t="s">
        <v>41</v>
      </c>
      <c r="I870" s="5" t="s">
        <v>92</v>
      </c>
      <c r="J870" s="21" t="s">
        <v>170</v>
      </c>
      <c r="K870" s="21" t="s">
        <v>2091</v>
      </c>
      <c r="L870" s="6" t="s">
        <v>95</v>
      </c>
      <c r="M870" s="5">
        <v>3</v>
      </c>
      <c r="N870" s="5" t="s">
        <v>91</v>
      </c>
      <c r="O870" s="5" t="s">
        <v>91</v>
      </c>
      <c r="P870" s="5" t="s">
        <v>91</v>
      </c>
      <c r="Q870" s="6" t="s">
        <v>105</v>
      </c>
      <c r="R870" s="6" t="s">
        <v>112</v>
      </c>
      <c r="S870" s="6"/>
      <c r="T870" s="6"/>
      <c r="U870" s="5"/>
      <c r="V870" s="6"/>
      <c r="W870" s="6" t="s">
        <v>259</v>
      </c>
      <c r="X870" s="6" t="s">
        <v>251</v>
      </c>
      <c r="Y870" s="22"/>
      <c r="Z870" s="6">
        <v>1.1000000000000001</v>
      </c>
      <c r="AA870" s="21" t="s">
        <v>2092</v>
      </c>
      <c r="AB870" s="23">
        <v>44098</v>
      </c>
      <c r="AC870" s="21" t="s">
        <v>30</v>
      </c>
      <c r="AD870" s="24" t="s">
        <v>2093</v>
      </c>
      <c r="AE870" s="6" t="s">
        <v>31</v>
      </c>
      <c r="AF870" s="6"/>
      <c r="AG870" s="6" t="s">
        <v>3042</v>
      </c>
    </row>
    <row r="871" spans="1:33" ht="7.5" customHeight="1" x14ac:dyDescent="0.25">
      <c r="A871" s="27"/>
      <c r="B871" s="39"/>
      <c r="C871" s="39"/>
      <c r="D871" s="39"/>
      <c r="E871" s="28"/>
      <c r="F871" s="27"/>
      <c r="G871" s="27"/>
      <c r="H871" s="27"/>
      <c r="I871" s="27"/>
      <c r="J871" s="30"/>
      <c r="K871" s="30"/>
      <c r="L871" s="29"/>
      <c r="M871" s="27"/>
      <c r="N871" s="27"/>
      <c r="O871" s="27"/>
      <c r="P871" s="27"/>
      <c r="Q871" s="29"/>
      <c r="R871" s="29"/>
      <c r="S871" s="29"/>
      <c r="T871" s="29"/>
      <c r="U871" s="27"/>
      <c r="V871" s="29"/>
      <c r="W871" s="29"/>
      <c r="X871" s="29"/>
      <c r="Y871" s="31"/>
      <c r="Z871" s="29"/>
      <c r="AA871" s="30"/>
      <c r="AB871" s="32"/>
      <c r="AC871" s="30"/>
      <c r="AD871" s="33"/>
      <c r="AE871" s="29"/>
      <c r="AF871" s="29"/>
      <c r="AG871" s="29"/>
    </row>
    <row r="872" spans="1:33" ht="15" customHeight="1" x14ac:dyDescent="0.25">
      <c r="A872" s="5">
        <v>43</v>
      </c>
      <c r="B872" s="38">
        <v>44125</v>
      </c>
      <c r="C872" s="38">
        <v>44109</v>
      </c>
      <c r="D872" s="38">
        <v>44062</v>
      </c>
      <c r="E872" s="34">
        <v>44125</v>
      </c>
      <c r="F872" s="5">
        <v>10682</v>
      </c>
      <c r="G872" s="5" t="s">
        <v>91</v>
      </c>
      <c r="H872" s="5" t="s">
        <v>41</v>
      </c>
      <c r="I872" s="5" t="s">
        <v>92</v>
      </c>
      <c r="J872" s="21" t="s">
        <v>170</v>
      </c>
      <c r="K872" s="21" t="s">
        <v>2151</v>
      </c>
      <c r="L872" s="6" t="s">
        <v>172</v>
      </c>
      <c r="M872" s="5">
        <v>0</v>
      </c>
      <c r="N872" s="5" t="s">
        <v>91</v>
      </c>
      <c r="O872" s="5" t="s">
        <v>91</v>
      </c>
      <c r="P872" s="5" t="s">
        <v>91</v>
      </c>
      <c r="Q872" s="6"/>
      <c r="R872" s="6" t="s">
        <v>296</v>
      </c>
      <c r="S872" s="6"/>
      <c r="T872" s="6"/>
      <c r="U872" s="5"/>
      <c r="V872" s="6"/>
      <c r="W872" s="6" t="s">
        <v>173</v>
      </c>
      <c r="X872" s="6" t="s">
        <v>251</v>
      </c>
      <c r="Y872" s="22"/>
      <c r="Z872" s="6">
        <v>0</v>
      </c>
      <c r="AA872" s="21" t="s">
        <v>466</v>
      </c>
      <c r="AB872" s="23">
        <v>44063</v>
      </c>
      <c r="AC872" s="21" t="s">
        <v>30</v>
      </c>
      <c r="AD872" s="24" t="s">
        <v>115</v>
      </c>
      <c r="AE872" s="6" t="s">
        <v>31</v>
      </c>
      <c r="AF872" s="6"/>
      <c r="AG872" s="6" t="s">
        <v>3042</v>
      </c>
    </row>
    <row r="873" spans="1:33" ht="7.5" customHeight="1" x14ac:dyDescent="0.25">
      <c r="A873" s="27"/>
      <c r="B873" s="39"/>
      <c r="C873" s="39"/>
      <c r="D873" s="39"/>
      <c r="E873" s="28"/>
      <c r="F873" s="27"/>
      <c r="G873" s="27"/>
      <c r="H873" s="27"/>
      <c r="I873" s="27"/>
      <c r="J873" s="30"/>
      <c r="K873" s="30"/>
      <c r="L873" s="29"/>
      <c r="M873" s="27"/>
      <c r="N873" s="27"/>
      <c r="O873" s="27"/>
      <c r="P873" s="27"/>
      <c r="Q873" s="29"/>
      <c r="R873" s="29"/>
      <c r="S873" s="29"/>
      <c r="T873" s="29"/>
      <c r="U873" s="27"/>
      <c r="V873" s="29"/>
      <c r="W873" s="29"/>
      <c r="X873" s="29"/>
      <c r="Y873" s="31"/>
      <c r="Z873" s="29"/>
      <c r="AA873" s="30"/>
      <c r="AB873" s="32"/>
      <c r="AC873" s="30"/>
      <c r="AD873" s="33"/>
      <c r="AE873" s="29"/>
      <c r="AF873" s="29"/>
      <c r="AG873" s="29"/>
    </row>
    <row r="874" spans="1:33" ht="15" customHeight="1" x14ac:dyDescent="0.25">
      <c r="A874" s="5">
        <v>43</v>
      </c>
      <c r="B874" s="38">
        <v>44123</v>
      </c>
      <c r="C874" s="38">
        <v>44109</v>
      </c>
      <c r="D874" s="38">
        <v>44102</v>
      </c>
      <c r="E874" s="34">
        <v>44123</v>
      </c>
      <c r="F874" s="5">
        <v>3102</v>
      </c>
      <c r="G874" s="5" t="s">
        <v>91</v>
      </c>
      <c r="H874" s="5" t="s">
        <v>41</v>
      </c>
      <c r="I874" s="5" t="s">
        <v>92</v>
      </c>
      <c r="J874" s="21" t="s">
        <v>93</v>
      </c>
      <c r="K874" s="21" t="s">
        <v>2096</v>
      </c>
      <c r="L874" s="6" t="s">
        <v>1692</v>
      </c>
      <c r="M874" s="5">
        <v>11</v>
      </c>
      <c r="N874" s="5" t="s">
        <v>91</v>
      </c>
      <c r="O874" s="5" t="s">
        <v>91</v>
      </c>
      <c r="P874" s="5" t="s">
        <v>91</v>
      </c>
      <c r="Q874" s="6"/>
      <c r="R874" s="6" t="s">
        <v>529</v>
      </c>
      <c r="S874" s="6" t="s">
        <v>265</v>
      </c>
      <c r="T874" s="6"/>
      <c r="U874" s="5"/>
      <c r="V874" s="6" t="s">
        <v>266</v>
      </c>
      <c r="W874" s="6" t="s">
        <v>2097</v>
      </c>
      <c r="X874" s="6" t="s">
        <v>2098</v>
      </c>
      <c r="Y874" s="22"/>
      <c r="Z874" s="6"/>
      <c r="AA874" s="21">
        <v>10192</v>
      </c>
      <c r="AB874" s="23">
        <v>44099</v>
      </c>
      <c r="AC874" s="21" t="s">
        <v>32</v>
      </c>
      <c r="AD874" s="24" t="s">
        <v>2099</v>
      </c>
      <c r="AE874" s="6" t="s">
        <v>37</v>
      </c>
      <c r="AF874" s="6"/>
      <c r="AG874" s="6" t="s">
        <v>3040</v>
      </c>
    </row>
    <row r="875" spans="1:33" ht="7.5" customHeight="1" x14ac:dyDescent="0.25">
      <c r="A875" s="27"/>
      <c r="B875" s="39"/>
      <c r="C875" s="39"/>
      <c r="D875" s="39"/>
      <c r="E875" s="28"/>
      <c r="F875" s="27"/>
      <c r="G875" s="27"/>
      <c r="H875" s="27"/>
      <c r="I875" s="27"/>
      <c r="J875" s="30"/>
      <c r="K875" s="30"/>
      <c r="L875" s="29"/>
      <c r="M875" s="27"/>
      <c r="N875" s="27"/>
      <c r="O875" s="27"/>
      <c r="P875" s="27"/>
      <c r="Q875" s="29"/>
      <c r="R875" s="29"/>
      <c r="S875" s="29"/>
      <c r="T875" s="29"/>
      <c r="U875" s="27"/>
      <c r="V875" s="29"/>
      <c r="W875" s="29"/>
      <c r="X875" s="29"/>
      <c r="Y875" s="31"/>
      <c r="Z875" s="29"/>
      <c r="AA875" s="30"/>
      <c r="AB875" s="32"/>
      <c r="AC875" s="30"/>
      <c r="AD875" s="33"/>
      <c r="AE875" s="29"/>
      <c r="AF875" s="29"/>
      <c r="AG875" s="29"/>
    </row>
    <row r="876" spans="1:33" ht="15" customHeight="1" x14ac:dyDescent="0.25">
      <c r="A876" s="5">
        <v>45</v>
      </c>
      <c r="B876" s="38">
        <v>44139</v>
      </c>
      <c r="C876" s="38">
        <v>44109</v>
      </c>
      <c r="D876" s="38">
        <v>44102</v>
      </c>
      <c r="E876" s="36">
        <v>44139</v>
      </c>
      <c r="F876" s="5">
        <v>3106</v>
      </c>
      <c r="G876" s="5" t="s">
        <v>91</v>
      </c>
      <c r="H876" s="5" t="s">
        <v>41</v>
      </c>
      <c r="I876" s="5" t="s">
        <v>92</v>
      </c>
      <c r="J876" s="21" t="s">
        <v>93</v>
      </c>
      <c r="K876" s="21" t="s">
        <v>2416</v>
      </c>
      <c r="L876" s="6" t="s">
        <v>2417</v>
      </c>
      <c r="M876" s="5">
        <v>4</v>
      </c>
      <c r="N876" s="5" t="s">
        <v>91</v>
      </c>
      <c r="O876" s="5" t="s">
        <v>91</v>
      </c>
      <c r="P876" s="5" t="s">
        <v>91</v>
      </c>
      <c r="Q876" s="6"/>
      <c r="R876" s="6" t="s">
        <v>106</v>
      </c>
      <c r="S876" s="6"/>
      <c r="T876" s="6"/>
      <c r="U876" s="5"/>
      <c r="V876" s="6"/>
      <c r="W876" s="6" t="s">
        <v>107</v>
      </c>
      <c r="X876" s="6"/>
      <c r="Y876" s="22"/>
      <c r="Z876" s="6"/>
      <c r="AA876" s="21"/>
      <c r="AB876" s="23"/>
      <c r="AC876" s="21" t="s">
        <v>30</v>
      </c>
      <c r="AD876" s="24"/>
      <c r="AE876" s="6" t="s">
        <v>36</v>
      </c>
      <c r="AF876" s="6"/>
      <c r="AG876" s="6" t="s">
        <v>3041</v>
      </c>
    </row>
    <row r="877" spans="1:33" ht="7.5" customHeight="1" x14ac:dyDescent="0.25">
      <c r="A877" s="27"/>
      <c r="B877" s="39"/>
      <c r="C877" s="39"/>
      <c r="D877" s="39"/>
      <c r="E877" s="28"/>
      <c r="F877" s="27"/>
      <c r="G877" s="27"/>
      <c r="H877" s="27"/>
      <c r="I877" s="27"/>
      <c r="J877" s="30"/>
      <c r="K877" s="30"/>
      <c r="L877" s="29"/>
      <c r="M877" s="27"/>
      <c r="N877" s="27"/>
      <c r="O877" s="27"/>
      <c r="P877" s="27"/>
      <c r="Q877" s="29"/>
      <c r="R877" s="29"/>
      <c r="S877" s="29"/>
      <c r="T877" s="29"/>
      <c r="U877" s="27"/>
      <c r="V877" s="29"/>
      <c r="W877" s="29"/>
      <c r="X877" s="29"/>
      <c r="Y877" s="31"/>
      <c r="Z877" s="29"/>
      <c r="AA877" s="30"/>
      <c r="AB877" s="32"/>
      <c r="AC877" s="30"/>
      <c r="AD877" s="33"/>
      <c r="AE877" s="29"/>
      <c r="AF877" s="29"/>
      <c r="AG877" s="29"/>
    </row>
    <row r="878" spans="1:33" ht="15" customHeight="1" x14ac:dyDescent="0.25">
      <c r="A878" s="5">
        <v>43</v>
      </c>
      <c r="B878" s="38">
        <v>44123</v>
      </c>
      <c r="C878" s="38">
        <v>44109</v>
      </c>
      <c r="D878" s="38">
        <v>44102</v>
      </c>
      <c r="E878" s="34">
        <v>44123</v>
      </c>
      <c r="F878" s="5">
        <v>12091</v>
      </c>
      <c r="G878" s="5" t="s">
        <v>91</v>
      </c>
      <c r="H878" s="5" t="s">
        <v>40</v>
      </c>
      <c r="I878" s="5" t="s">
        <v>92</v>
      </c>
      <c r="J878" s="21" t="s">
        <v>275</v>
      </c>
      <c r="K878" s="21" t="s">
        <v>2105</v>
      </c>
      <c r="L878" s="6" t="s">
        <v>1100</v>
      </c>
      <c r="M878" s="5">
        <v>10</v>
      </c>
      <c r="N878" s="5" t="s">
        <v>91</v>
      </c>
      <c r="O878" s="5" t="s">
        <v>91</v>
      </c>
      <c r="P878" s="5" t="s">
        <v>91</v>
      </c>
      <c r="Q878" s="6" t="s">
        <v>105</v>
      </c>
      <c r="R878" s="6" t="s">
        <v>2106</v>
      </c>
      <c r="S878" s="6"/>
      <c r="T878" s="6"/>
      <c r="U878" s="5"/>
      <c r="V878" s="6"/>
      <c r="W878" s="6" t="s">
        <v>416</v>
      </c>
      <c r="X878" s="6"/>
      <c r="Y878" s="22"/>
      <c r="Z878" s="6"/>
      <c r="AA878" s="21"/>
      <c r="AB878" s="23">
        <v>44102</v>
      </c>
      <c r="AC878" s="21" t="s">
        <v>33</v>
      </c>
      <c r="AD878" s="24" t="s">
        <v>2107</v>
      </c>
      <c r="AE878" s="6" t="s">
        <v>38</v>
      </c>
      <c r="AF878" s="6"/>
      <c r="AG878" s="6" t="s">
        <v>3042</v>
      </c>
    </row>
    <row r="879" spans="1:33" ht="7.5" customHeight="1" x14ac:dyDescent="0.25">
      <c r="A879" s="27"/>
      <c r="B879" s="39"/>
      <c r="C879" s="39"/>
      <c r="D879" s="39"/>
      <c r="E879" s="28"/>
      <c r="F879" s="27"/>
      <c r="G879" s="27"/>
      <c r="H879" s="27"/>
      <c r="I879" s="27"/>
      <c r="J879" s="30"/>
      <c r="K879" s="30"/>
      <c r="L879" s="29"/>
      <c r="M879" s="27"/>
      <c r="N879" s="27"/>
      <c r="O879" s="27"/>
      <c r="P879" s="27"/>
      <c r="Q879" s="29"/>
      <c r="R879" s="29"/>
      <c r="S879" s="29"/>
      <c r="T879" s="29"/>
      <c r="U879" s="27"/>
      <c r="V879" s="29"/>
      <c r="W879" s="29"/>
      <c r="X879" s="29"/>
      <c r="Y879" s="31"/>
      <c r="Z879" s="29"/>
      <c r="AA879" s="30"/>
      <c r="AB879" s="32"/>
      <c r="AC879" s="30"/>
      <c r="AD879" s="33"/>
      <c r="AE879" s="29"/>
      <c r="AF879" s="29"/>
      <c r="AG879" s="29"/>
    </row>
    <row r="880" spans="1:33" ht="15" customHeight="1" x14ac:dyDescent="0.25">
      <c r="A880" s="5">
        <v>42</v>
      </c>
      <c r="B880" s="38">
        <v>44118</v>
      </c>
      <c r="C880" s="38">
        <v>44109</v>
      </c>
      <c r="D880" s="38">
        <v>44095</v>
      </c>
      <c r="E880" s="37">
        <v>44118</v>
      </c>
      <c r="F880" s="5">
        <v>4838</v>
      </c>
      <c r="G880" s="5" t="s">
        <v>91</v>
      </c>
      <c r="H880" s="5" t="s">
        <v>40</v>
      </c>
      <c r="I880" s="5" t="s">
        <v>92</v>
      </c>
      <c r="J880" s="21" t="s">
        <v>109</v>
      </c>
      <c r="K880" s="21" t="s">
        <v>1911</v>
      </c>
      <c r="L880" s="6" t="s">
        <v>2009</v>
      </c>
      <c r="M880" s="5">
        <v>0</v>
      </c>
      <c r="N880" s="5" t="s">
        <v>91</v>
      </c>
      <c r="O880" s="5" t="s">
        <v>91</v>
      </c>
      <c r="P880" s="5" t="s">
        <v>91</v>
      </c>
      <c r="Q880" s="6"/>
      <c r="R880" s="6"/>
      <c r="S880" s="6"/>
      <c r="T880" s="6"/>
      <c r="U880" s="5"/>
      <c r="V880" s="6"/>
      <c r="W880" s="6" t="s">
        <v>1913</v>
      </c>
      <c r="X880" s="6"/>
      <c r="Y880" s="22"/>
      <c r="Z880" s="6">
        <v>0</v>
      </c>
      <c r="AA880" s="21">
        <v>13904</v>
      </c>
      <c r="AB880" s="23">
        <v>44096</v>
      </c>
      <c r="AC880" s="21" t="s">
        <v>30</v>
      </c>
      <c r="AD880" s="24" t="s">
        <v>115</v>
      </c>
      <c r="AE880" s="6" t="s">
        <v>31</v>
      </c>
      <c r="AF880" s="6"/>
      <c r="AG880" s="6" t="s">
        <v>3039</v>
      </c>
    </row>
    <row r="881" spans="1:33" ht="15" customHeight="1" x14ac:dyDescent="0.25">
      <c r="A881" s="5">
        <v>42</v>
      </c>
      <c r="B881" s="38">
        <v>44118</v>
      </c>
      <c r="C881" s="38">
        <v>44109</v>
      </c>
      <c r="D881" s="38">
        <v>44106</v>
      </c>
      <c r="E881" s="37">
        <v>44118</v>
      </c>
      <c r="F881" s="5">
        <v>5697</v>
      </c>
      <c r="G881" s="5" t="s">
        <v>91</v>
      </c>
      <c r="H881" s="5" t="s">
        <v>41</v>
      </c>
      <c r="I881" s="5" t="s">
        <v>92</v>
      </c>
      <c r="J881" s="21" t="s">
        <v>131</v>
      </c>
      <c r="K881" s="21" t="s">
        <v>2010</v>
      </c>
      <c r="L881" s="6" t="s">
        <v>2011</v>
      </c>
      <c r="M881" s="5">
        <v>1</v>
      </c>
      <c r="N881" s="5" t="s">
        <v>91</v>
      </c>
      <c r="O881" s="5" t="s">
        <v>91</v>
      </c>
      <c r="P881" s="5" t="s">
        <v>91</v>
      </c>
      <c r="Q881" s="6" t="s">
        <v>105</v>
      </c>
      <c r="R881" s="6" t="s">
        <v>296</v>
      </c>
      <c r="S881" s="6"/>
      <c r="T881" s="6"/>
      <c r="U881" s="5"/>
      <c r="V881" s="6"/>
      <c r="W881" s="6" t="s">
        <v>183</v>
      </c>
      <c r="X881" s="6"/>
      <c r="Y881" s="22"/>
      <c r="Z881" s="6"/>
      <c r="AA881" s="21"/>
      <c r="AB881" s="23">
        <v>44112</v>
      </c>
      <c r="AC881" s="21" t="s">
        <v>30</v>
      </c>
      <c r="AD881" s="24" t="s">
        <v>2012</v>
      </c>
      <c r="AE881" s="6" t="s">
        <v>31</v>
      </c>
      <c r="AF881" s="6"/>
      <c r="AG881" s="6" t="s">
        <v>3040</v>
      </c>
    </row>
    <row r="882" spans="1:33" ht="7.5" customHeight="1" x14ac:dyDescent="0.25">
      <c r="A882" s="27"/>
      <c r="B882" s="39"/>
      <c r="C882" s="39"/>
      <c r="D882" s="39"/>
      <c r="E882" s="28"/>
      <c r="F882" s="27"/>
      <c r="G882" s="27"/>
      <c r="H882" s="27"/>
      <c r="I882" s="27"/>
      <c r="J882" s="30"/>
      <c r="K882" s="30"/>
      <c r="L882" s="29"/>
      <c r="M882" s="27"/>
      <c r="N882" s="27"/>
      <c r="O882" s="27"/>
      <c r="P882" s="27"/>
      <c r="Q882" s="29"/>
      <c r="R882" s="29"/>
      <c r="S882" s="29"/>
      <c r="T882" s="29"/>
      <c r="U882" s="27"/>
      <c r="V882" s="29"/>
      <c r="W882" s="29"/>
      <c r="X882" s="29"/>
      <c r="Y882" s="31"/>
      <c r="Z882" s="29"/>
      <c r="AA882" s="30"/>
      <c r="AB882" s="32"/>
      <c r="AC882" s="30"/>
      <c r="AD882" s="33"/>
      <c r="AE882" s="29"/>
      <c r="AF882" s="29"/>
      <c r="AG882" s="29"/>
    </row>
    <row r="883" spans="1:33" ht="15" customHeight="1" x14ac:dyDescent="0.25">
      <c r="A883" s="5">
        <v>43</v>
      </c>
      <c r="B883" s="38">
        <v>44123</v>
      </c>
      <c r="C883" s="38">
        <v>44109</v>
      </c>
      <c r="D883" s="38">
        <v>44102</v>
      </c>
      <c r="E883" s="34">
        <v>44123</v>
      </c>
      <c r="F883" s="5">
        <v>5681</v>
      </c>
      <c r="G883" s="5" t="s">
        <v>91</v>
      </c>
      <c r="H883" s="5" t="s">
        <v>43</v>
      </c>
      <c r="I883" s="5" t="s">
        <v>92</v>
      </c>
      <c r="J883" s="21" t="s">
        <v>131</v>
      </c>
      <c r="K883" s="21" t="s">
        <v>2108</v>
      </c>
      <c r="L883" s="6" t="s">
        <v>2109</v>
      </c>
      <c r="M883" s="5">
        <v>15</v>
      </c>
      <c r="N883" s="5" t="s">
        <v>91</v>
      </c>
      <c r="O883" s="5" t="s">
        <v>91</v>
      </c>
      <c r="P883" s="5" t="s">
        <v>91</v>
      </c>
      <c r="Q883" s="6" t="s">
        <v>105</v>
      </c>
      <c r="R883" s="6" t="s">
        <v>2106</v>
      </c>
      <c r="S883" s="6"/>
      <c r="T883" s="6"/>
      <c r="U883" s="5"/>
      <c r="V883" s="6"/>
      <c r="W883" s="6" t="s">
        <v>183</v>
      </c>
      <c r="X883" s="6"/>
      <c r="Y883" s="22"/>
      <c r="Z883" s="6">
        <v>6</v>
      </c>
      <c r="AA883" s="21"/>
      <c r="AB883" s="23">
        <v>44097</v>
      </c>
      <c r="AC883" s="21" t="s">
        <v>32</v>
      </c>
      <c r="AD883" s="24" t="s">
        <v>2110</v>
      </c>
      <c r="AE883" s="6" t="s">
        <v>31</v>
      </c>
      <c r="AF883" s="6"/>
      <c r="AG883" s="6" t="s">
        <v>3039</v>
      </c>
    </row>
    <row r="884" spans="1:33" ht="15" customHeight="1" x14ac:dyDescent="0.25">
      <c r="A884" s="5">
        <v>43</v>
      </c>
      <c r="B884" s="38">
        <v>44123</v>
      </c>
      <c r="C884" s="38">
        <v>44109</v>
      </c>
      <c r="D884" s="38">
        <v>44102</v>
      </c>
      <c r="E884" s="34">
        <v>44123</v>
      </c>
      <c r="F884" s="5">
        <v>5700</v>
      </c>
      <c r="G884" s="5" t="s">
        <v>91</v>
      </c>
      <c r="H884" s="5" t="s">
        <v>43</v>
      </c>
      <c r="I884" s="5" t="s">
        <v>92</v>
      </c>
      <c r="J884" s="21" t="s">
        <v>131</v>
      </c>
      <c r="K884" s="21" t="s">
        <v>2116</v>
      </c>
      <c r="L884" s="6" t="s">
        <v>216</v>
      </c>
      <c r="M884" s="5">
        <v>0</v>
      </c>
      <c r="N884" s="5" t="s">
        <v>91</v>
      </c>
      <c r="O884" s="5" t="s">
        <v>91</v>
      </c>
      <c r="P884" s="5" t="s">
        <v>91</v>
      </c>
      <c r="Q884" s="6" t="s">
        <v>105</v>
      </c>
      <c r="R884" s="6" t="s">
        <v>2106</v>
      </c>
      <c r="S884" s="6"/>
      <c r="T884" s="6"/>
      <c r="U884" s="5"/>
      <c r="V884" s="6" t="s">
        <v>831</v>
      </c>
      <c r="W884" s="6" t="s">
        <v>183</v>
      </c>
      <c r="X884" s="6"/>
      <c r="Y884" s="22"/>
      <c r="Z884" s="6"/>
      <c r="AA884" s="21"/>
      <c r="AB884" s="23">
        <v>44116</v>
      </c>
      <c r="AC884" s="21" t="s">
        <v>32</v>
      </c>
      <c r="AD884" s="24" t="s">
        <v>2117</v>
      </c>
      <c r="AE884" s="6" t="s">
        <v>31</v>
      </c>
      <c r="AF884" s="6"/>
      <c r="AG884" s="6" t="s">
        <v>3042</v>
      </c>
    </row>
    <row r="885" spans="1:33" ht="15" customHeight="1" x14ac:dyDescent="0.25">
      <c r="A885" s="5">
        <v>43</v>
      </c>
      <c r="B885" s="38">
        <v>44123</v>
      </c>
      <c r="C885" s="38">
        <v>44109</v>
      </c>
      <c r="D885" s="38">
        <v>44102</v>
      </c>
      <c r="E885" s="34">
        <v>44123</v>
      </c>
      <c r="F885" s="5">
        <v>5701</v>
      </c>
      <c r="G885" s="5" t="s">
        <v>91</v>
      </c>
      <c r="H885" s="5" t="s">
        <v>43</v>
      </c>
      <c r="I885" s="5" t="s">
        <v>92</v>
      </c>
      <c r="J885" s="21" t="s">
        <v>131</v>
      </c>
      <c r="K885" s="21" t="s">
        <v>647</v>
      </c>
      <c r="L885" s="6" t="s">
        <v>2118</v>
      </c>
      <c r="M885" s="5">
        <v>0</v>
      </c>
      <c r="N885" s="5" t="s">
        <v>91</v>
      </c>
      <c r="O885" s="5" t="s">
        <v>91</v>
      </c>
      <c r="P885" s="5" t="s">
        <v>91</v>
      </c>
      <c r="Q885" s="6" t="s">
        <v>105</v>
      </c>
      <c r="R885" s="6" t="s">
        <v>2106</v>
      </c>
      <c r="S885" s="6"/>
      <c r="T885" s="6"/>
      <c r="U885" s="5"/>
      <c r="V885" s="6" t="s">
        <v>2119</v>
      </c>
      <c r="W885" s="6" t="s">
        <v>183</v>
      </c>
      <c r="X885" s="6"/>
      <c r="Y885" s="22"/>
      <c r="Z885" s="6"/>
      <c r="AA885" s="21"/>
      <c r="AB885" s="23">
        <v>44116</v>
      </c>
      <c r="AC885" s="21" t="s">
        <v>33</v>
      </c>
      <c r="AD885" s="24" t="s">
        <v>2120</v>
      </c>
      <c r="AE885" s="6" t="s">
        <v>31</v>
      </c>
      <c r="AF885" s="6"/>
      <c r="AG885" s="6" t="s">
        <v>3039</v>
      </c>
    </row>
    <row r="886" spans="1:33" ht="7.5" customHeight="1" x14ac:dyDescent="0.25">
      <c r="A886" s="27"/>
      <c r="B886" s="39"/>
      <c r="C886" s="39"/>
      <c r="D886" s="39"/>
      <c r="E886" s="28"/>
      <c r="F886" s="27"/>
      <c r="G886" s="27"/>
      <c r="H886" s="27"/>
      <c r="I886" s="27"/>
      <c r="J886" s="30"/>
      <c r="K886" s="30"/>
      <c r="L886" s="29"/>
      <c r="M886" s="27"/>
      <c r="N886" s="27"/>
      <c r="O886" s="27"/>
      <c r="P886" s="27"/>
      <c r="Q886" s="29"/>
      <c r="R886" s="29"/>
      <c r="S886" s="29"/>
      <c r="T886" s="29"/>
      <c r="U886" s="27"/>
      <c r="V886" s="29"/>
      <c r="W886" s="29"/>
      <c r="X886" s="29"/>
      <c r="Y886" s="31"/>
      <c r="Z886" s="29"/>
      <c r="AA886" s="30"/>
      <c r="AB886" s="32"/>
      <c r="AC886" s="30"/>
      <c r="AD886" s="33"/>
      <c r="AE886" s="29"/>
      <c r="AF886" s="29"/>
      <c r="AG886" s="29"/>
    </row>
    <row r="887" spans="1:33" ht="15" customHeight="1" x14ac:dyDescent="0.25">
      <c r="A887" s="5">
        <v>45</v>
      </c>
      <c r="B887" s="38">
        <v>44139</v>
      </c>
      <c r="C887" s="38">
        <v>44109</v>
      </c>
      <c r="D887" s="38">
        <v>44102</v>
      </c>
      <c r="E887" s="36">
        <v>44139</v>
      </c>
      <c r="F887" s="5">
        <v>5695</v>
      </c>
      <c r="G887" s="5" t="s">
        <v>91</v>
      </c>
      <c r="H887" s="5" t="s">
        <v>41</v>
      </c>
      <c r="I887" s="5" t="s">
        <v>92</v>
      </c>
      <c r="J887" s="21" t="s">
        <v>131</v>
      </c>
      <c r="K887" s="21" t="s">
        <v>2433</v>
      </c>
      <c r="L887" s="6" t="s">
        <v>2434</v>
      </c>
      <c r="M887" s="5">
        <v>11</v>
      </c>
      <c r="N887" s="5" t="s">
        <v>91</v>
      </c>
      <c r="O887" s="5" t="s">
        <v>91</v>
      </c>
      <c r="P887" s="5" t="s">
        <v>91</v>
      </c>
      <c r="Q887" s="6" t="s">
        <v>105</v>
      </c>
      <c r="R887" s="6" t="s">
        <v>2106</v>
      </c>
      <c r="S887" s="6"/>
      <c r="T887" s="6"/>
      <c r="U887" s="5"/>
      <c r="V887" s="6"/>
      <c r="W887" s="6" t="s">
        <v>183</v>
      </c>
      <c r="X887" s="6"/>
      <c r="Y887" s="22"/>
      <c r="Z887" s="6">
        <v>3.9</v>
      </c>
      <c r="AA887" s="21">
        <v>15638</v>
      </c>
      <c r="AB887" s="23">
        <v>44124</v>
      </c>
      <c r="AC887" s="21" t="s">
        <v>30</v>
      </c>
      <c r="AD887" s="24" t="s">
        <v>2435</v>
      </c>
      <c r="AE887" s="6" t="s">
        <v>35</v>
      </c>
      <c r="AF887" s="6"/>
      <c r="AG887" s="6" t="s">
        <v>3042</v>
      </c>
    </row>
    <row r="888" spans="1:33" ht="7.5" customHeight="1" x14ac:dyDescent="0.25">
      <c r="A888" s="27"/>
      <c r="B888" s="39"/>
      <c r="C888" s="39"/>
      <c r="D888" s="39"/>
      <c r="E888" s="28"/>
      <c r="F888" s="27"/>
      <c r="G888" s="27"/>
      <c r="H888" s="27"/>
      <c r="I888" s="27"/>
      <c r="J888" s="30"/>
      <c r="K888" s="30"/>
      <c r="L888" s="29"/>
      <c r="M888" s="27"/>
      <c r="N888" s="27"/>
      <c r="O888" s="27"/>
      <c r="P888" s="27"/>
      <c r="Q888" s="29"/>
      <c r="R888" s="29"/>
      <c r="S888" s="29"/>
      <c r="T888" s="29"/>
      <c r="U888" s="27"/>
      <c r="V888" s="29"/>
      <c r="W888" s="29"/>
      <c r="X888" s="29"/>
      <c r="Y888" s="31"/>
      <c r="Z888" s="29"/>
      <c r="AA888" s="30"/>
      <c r="AB888" s="32"/>
      <c r="AC888" s="30"/>
      <c r="AD888" s="33"/>
      <c r="AE888" s="29"/>
      <c r="AF888" s="29"/>
      <c r="AG888" s="29"/>
    </row>
    <row r="889" spans="1:33" ht="15" customHeight="1" x14ac:dyDescent="0.25">
      <c r="A889" s="5">
        <v>42</v>
      </c>
      <c r="B889" s="38">
        <v>44118</v>
      </c>
      <c r="C889" s="38">
        <v>44109</v>
      </c>
      <c r="D889" s="38">
        <v>44095</v>
      </c>
      <c r="E889" s="37">
        <v>44118</v>
      </c>
      <c r="F889" s="5">
        <v>7789</v>
      </c>
      <c r="G889" s="5" t="s">
        <v>91</v>
      </c>
      <c r="H889" s="5" t="s">
        <v>43</v>
      </c>
      <c r="I889" s="5" t="s">
        <v>92</v>
      </c>
      <c r="J889" s="21" t="s">
        <v>214</v>
      </c>
      <c r="K889" s="21" t="s">
        <v>2024</v>
      </c>
      <c r="L889" s="6" t="s">
        <v>1709</v>
      </c>
      <c r="M889" s="5">
        <v>13</v>
      </c>
      <c r="N889" s="5" t="s">
        <v>91</v>
      </c>
      <c r="O889" s="5" t="s">
        <v>91</v>
      </c>
      <c r="P889" s="5" t="s">
        <v>91</v>
      </c>
      <c r="Q889" s="6" t="s">
        <v>96</v>
      </c>
      <c r="R889" s="6" t="s">
        <v>223</v>
      </c>
      <c r="S889" s="6"/>
      <c r="T889" s="6"/>
      <c r="U889" s="5"/>
      <c r="V889" s="6"/>
      <c r="W889" s="6" t="s">
        <v>624</v>
      </c>
      <c r="X889" s="6"/>
      <c r="Y889" s="22"/>
      <c r="Z889" s="6">
        <v>4.33</v>
      </c>
      <c r="AA889" s="21" t="s">
        <v>2025</v>
      </c>
      <c r="AB889" s="23">
        <v>44097</v>
      </c>
      <c r="AC889" s="21" t="s">
        <v>30</v>
      </c>
      <c r="AD889" s="24" t="s">
        <v>2026</v>
      </c>
      <c r="AE889" s="6" t="s">
        <v>31</v>
      </c>
      <c r="AF889" s="6"/>
      <c r="AG889" s="6" t="s">
        <v>3042</v>
      </c>
    </row>
    <row r="890" spans="1:33" ht="15" customHeight="1" x14ac:dyDescent="0.25">
      <c r="A890" s="5">
        <v>42</v>
      </c>
      <c r="B890" s="38">
        <v>44118</v>
      </c>
      <c r="C890" s="38">
        <v>44109</v>
      </c>
      <c r="D890" s="38">
        <v>44083</v>
      </c>
      <c r="E890" s="37">
        <v>44118</v>
      </c>
      <c r="F890" s="5">
        <v>7780</v>
      </c>
      <c r="G890" s="5" t="s">
        <v>91</v>
      </c>
      <c r="H890" s="5" t="s">
        <v>41</v>
      </c>
      <c r="I890" s="5" t="s">
        <v>92</v>
      </c>
      <c r="J890" s="21" t="s">
        <v>214</v>
      </c>
      <c r="K890" s="21" t="s">
        <v>2027</v>
      </c>
      <c r="L890" s="6" t="s">
        <v>2028</v>
      </c>
      <c r="M890" s="5">
        <v>11</v>
      </c>
      <c r="N890" s="5" t="s">
        <v>91</v>
      </c>
      <c r="O890" s="5" t="s">
        <v>91</v>
      </c>
      <c r="P890" s="5" t="s">
        <v>91</v>
      </c>
      <c r="Q890" s="6" t="s">
        <v>105</v>
      </c>
      <c r="R890" s="6" t="s">
        <v>223</v>
      </c>
      <c r="S890" s="6"/>
      <c r="T890" s="6"/>
      <c r="U890" s="5"/>
      <c r="V890" s="6"/>
      <c r="W890" s="6" t="s">
        <v>2029</v>
      </c>
      <c r="X890" s="6" t="s">
        <v>2030</v>
      </c>
      <c r="Y890" s="22"/>
      <c r="Z890" s="6">
        <v>4.68</v>
      </c>
      <c r="AA890" s="21" t="s">
        <v>2031</v>
      </c>
      <c r="AB890" s="23">
        <v>44078</v>
      </c>
      <c r="AC890" s="21" t="s">
        <v>30</v>
      </c>
      <c r="AD890" s="24" t="s">
        <v>2032</v>
      </c>
      <c r="AE890" s="6" t="s">
        <v>34</v>
      </c>
      <c r="AF890" s="6"/>
      <c r="AG890" s="6" t="s">
        <v>3039</v>
      </c>
    </row>
    <row r="891" spans="1:33" ht="7.5" customHeight="1" x14ac:dyDescent="0.25">
      <c r="A891" s="27"/>
      <c r="B891" s="39"/>
      <c r="C891" s="39"/>
      <c r="D891" s="39"/>
      <c r="E891" s="28"/>
      <c r="F891" s="27"/>
      <c r="G891" s="27"/>
      <c r="H891" s="27"/>
      <c r="I891" s="27"/>
      <c r="J891" s="30"/>
      <c r="K891" s="30"/>
      <c r="L891" s="29"/>
      <c r="M891" s="27"/>
      <c r="N891" s="27"/>
      <c r="O891" s="27"/>
      <c r="P891" s="27"/>
      <c r="Q891" s="29"/>
      <c r="R891" s="29"/>
      <c r="S891" s="29"/>
      <c r="T891" s="29"/>
      <c r="U891" s="27"/>
      <c r="V891" s="29"/>
      <c r="W891" s="29"/>
      <c r="X891" s="29"/>
      <c r="Y891" s="31"/>
      <c r="Z891" s="29"/>
      <c r="AA891" s="30"/>
      <c r="AB891" s="32"/>
      <c r="AC891" s="30"/>
      <c r="AD891" s="33"/>
      <c r="AE891" s="29"/>
      <c r="AF891" s="29"/>
      <c r="AG891" s="29"/>
    </row>
    <row r="892" spans="1:33" ht="15" customHeight="1" x14ac:dyDescent="0.25">
      <c r="A892" s="5">
        <v>43</v>
      </c>
      <c r="B892" s="38">
        <v>44123</v>
      </c>
      <c r="C892" s="38">
        <v>44109</v>
      </c>
      <c r="D892" s="38">
        <v>44102</v>
      </c>
      <c r="E892" s="34">
        <v>44123</v>
      </c>
      <c r="F892" s="5">
        <v>7792</v>
      </c>
      <c r="G892" s="5" t="s">
        <v>91</v>
      </c>
      <c r="H892" s="5" t="s">
        <v>41</v>
      </c>
      <c r="I892" s="5" t="s">
        <v>92</v>
      </c>
      <c r="J892" s="21" t="s">
        <v>214</v>
      </c>
      <c r="K892" s="21" t="s">
        <v>2125</v>
      </c>
      <c r="L892" s="6" t="s">
        <v>2126</v>
      </c>
      <c r="M892" s="5">
        <v>9</v>
      </c>
      <c r="N892" s="5" t="s">
        <v>91</v>
      </c>
      <c r="O892" s="5" t="s">
        <v>91</v>
      </c>
      <c r="P892" s="5" t="s">
        <v>91</v>
      </c>
      <c r="Q892" s="6" t="s">
        <v>105</v>
      </c>
      <c r="R892" s="6" t="s">
        <v>223</v>
      </c>
      <c r="S892" s="6" t="s">
        <v>2127</v>
      </c>
      <c r="T892" s="6"/>
      <c r="U892" s="5"/>
      <c r="V892" s="6"/>
      <c r="W892" s="6" t="s">
        <v>2128</v>
      </c>
      <c r="X892" s="6">
        <v>21933541</v>
      </c>
      <c r="Y892" s="22"/>
      <c r="Z892" s="6">
        <v>2.56</v>
      </c>
      <c r="AA892" s="21" t="s">
        <v>2129</v>
      </c>
      <c r="AB892" s="23">
        <v>44104</v>
      </c>
      <c r="AC892" s="21" t="s">
        <v>32</v>
      </c>
      <c r="AD892" s="24" t="s">
        <v>2130</v>
      </c>
      <c r="AE892" s="6" t="s">
        <v>34</v>
      </c>
      <c r="AF892" s="6"/>
      <c r="AG892" s="6" t="s">
        <v>3041</v>
      </c>
    </row>
    <row r="893" spans="1:33" ht="15" customHeight="1" x14ac:dyDescent="0.25">
      <c r="A893" s="5">
        <v>43</v>
      </c>
      <c r="B893" s="38">
        <v>44123</v>
      </c>
      <c r="C893" s="38">
        <v>44109</v>
      </c>
      <c r="D893" s="38">
        <v>44102</v>
      </c>
      <c r="E893" s="34">
        <v>44123</v>
      </c>
      <c r="F893" s="5">
        <v>7793</v>
      </c>
      <c r="G893" s="5" t="s">
        <v>91</v>
      </c>
      <c r="H893" s="5" t="s">
        <v>40</v>
      </c>
      <c r="I893" s="5" t="s">
        <v>92</v>
      </c>
      <c r="J893" s="21" t="s">
        <v>214</v>
      </c>
      <c r="K893" s="21" t="s">
        <v>2131</v>
      </c>
      <c r="L893" s="6" t="s">
        <v>2132</v>
      </c>
      <c r="M893" s="5">
        <v>10</v>
      </c>
      <c r="N893" s="5" t="s">
        <v>91</v>
      </c>
      <c r="O893" s="5" t="s">
        <v>91</v>
      </c>
      <c r="P893" s="5" t="s">
        <v>1215</v>
      </c>
      <c r="Q893" s="6" t="s">
        <v>105</v>
      </c>
      <c r="R893" s="6" t="s">
        <v>223</v>
      </c>
      <c r="S893" s="6"/>
      <c r="T893" s="6"/>
      <c r="U893" s="5"/>
      <c r="V893" s="6"/>
      <c r="W893" s="6" t="s">
        <v>2133</v>
      </c>
      <c r="X893" s="6">
        <v>21710729</v>
      </c>
      <c r="Y893" s="22"/>
      <c r="Z893" s="6">
        <v>3.34</v>
      </c>
      <c r="AA893" s="21" t="s">
        <v>2134</v>
      </c>
      <c r="AB893" s="23">
        <v>44106</v>
      </c>
      <c r="AC893" s="21" t="s">
        <v>32</v>
      </c>
      <c r="AD893" s="24" t="s">
        <v>2135</v>
      </c>
      <c r="AE893" s="6" t="s">
        <v>31</v>
      </c>
      <c r="AF893" s="6"/>
      <c r="AG893" s="6" t="s">
        <v>3042</v>
      </c>
    </row>
    <row r="894" spans="1:33" ht="7.5" customHeight="1" x14ac:dyDescent="0.25">
      <c r="A894" s="27"/>
      <c r="B894" s="39"/>
      <c r="C894" s="39"/>
      <c r="D894" s="39"/>
      <c r="E894" s="28"/>
      <c r="F894" s="27"/>
      <c r="G894" s="27"/>
      <c r="H894" s="27"/>
      <c r="I894" s="27"/>
      <c r="J894" s="30"/>
      <c r="K894" s="30"/>
      <c r="L894" s="29"/>
      <c r="M894" s="27"/>
      <c r="N894" s="27"/>
      <c r="O894" s="27"/>
      <c r="P894" s="27"/>
      <c r="Q894" s="29"/>
      <c r="R894" s="29"/>
      <c r="S894" s="29"/>
      <c r="T894" s="29"/>
      <c r="U894" s="27"/>
      <c r="V894" s="29"/>
      <c r="W894" s="29"/>
      <c r="X894" s="29"/>
      <c r="Y894" s="31"/>
      <c r="Z894" s="29"/>
      <c r="AA894" s="30"/>
      <c r="AB894" s="32"/>
      <c r="AC894" s="30"/>
      <c r="AD894" s="33"/>
      <c r="AE894" s="29"/>
      <c r="AF894" s="29"/>
      <c r="AG894" s="29"/>
    </row>
    <row r="895" spans="1:33" ht="15" customHeight="1" x14ac:dyDescent="0.25">
      <c r="A895" s="5">
        <v>42</v>
      </c>
      <c r="B895" s="38">
        <v>44119</v>
      </c>
      <c r="C895" s="38">
        <v>44110</v>
      </c>
      <c r="D895" s="38">
        <v>44097</v>
      </c>
      <c r="E895" s="37">
        <v>44119</v>
      </c>
      <c r="F895" s="5">
        <v>10696</v>
      </c>
      <c r="G895" s="5" t="s">
        <v>91</v>
      </c>
      <c r="H895" s="5" t="s">
        <v>43</v>
      </c>
      <c r="I895" s="5" t="s">
        <v>92</v>
      </c>
      <c r="J895" s="21" t="s">
        <v>170</v>
      </c>
      <c r="K895" s="21" t="s">
        <v>2035</v>
      </c>
      <c r="L895" s="6" t="s">
        <v>722</v>
      </c>
      <c r="M895" s="5">
        <v>17</v>
      </c>
      <c r="N895" s="5" t="s">
        <v>91</v>
      </c>
      <c r="O895" s="5" t="s">
        <v>91</v>
      </c>
      <c r="P895" s="5" t="s">
        <v>91</v>
      </c>
      <c r="Q895" s="6" t="s">
        <v>105</v>
      </c>
      <c r="R895" s="6" t="s">
        <v>123</v>
      </c>
      <c r="S895" s="6"/>
      <c r="T895" s="6"/>
      <c r="U895" s="5"/>
      <c r="V895" s="6"/>
      <c r="W895" s="6" t="s">
        <v>2036</v>
      </c>
      <c r="X895" s="6" t="s">
        <v>2037</v>
      </c>
      <c r="Y895" s="22"/>
      <c r="Z895" s="6">
        <v>4.9000000000000004</v>
      </c>
      <c r="AA895" s="21" t="s">
        <v>2038</v>
      </c>
      <c r="AB895" s="23">
        <v>44096</v>
      </c>
      <c r="AC895" s="21" t="s">
        <v>30</v>
      </c>
      <c r="AD895" s="24" t="s">
        <v>2039</v>
      </c>
      <c r="AE895" s="6" t="s">
        <v>35</v>
      </c>
      <c r="AF895" s="6"/>
      <c r="AG895" s="6" t="s">
        <v>3041</v>
      </c>
    </row>
    <row r="896" spans="1:33" ht="7.5" customHeight="1" x14ac:dyDescent="0.25">
      <c r="A896" s="27"/>
      <c r="B896" s="39"/>
      <c r="C896" s="39"/>
      <c r="D896" s="39"/>
      <c r="E896" s="28"/>
      <c r="F896" s="27"/>
      <c r="G896" s="27"/>
      <c r="H896" s="27"/>
      <c r="I896" s="27"/>
      <c r="J896" s="30"/>
      <c r="K896" s="30"/>
      <c r="L896" s="29"/>
      <c r="M896" s="27"/>
      <c r="N896" s="27"/>
      <c r="O896" s="27"/>
      <c r="P896" s="27"/>
      <c r="Q896" s="29"/>
      <c r="R896" s="29"/>
      <c r="S896" s="29"/>
      <c r="T896" s="29"/>
      <c r="U896" s="27"/>
      <c r="V896" s="29"/>
      <c r="W896" s="29"/>
      <c r="X896" s="29"/>
      <c r="Y896" s="31"/>
      <c r="Z896" s="29"/>
      <c r="AA896" s="30"/>
      <c r="AB896" s="32"/>
      <c r="AC896" s="30"/>
      <c r="AD896" s="33"/>
      <c r="AE896" s="29"/>
      <c r="AF896" s="29"/>
      <c r="AG896" s="29"/>
    </row>
    <row r="897" spans="1:33" ht="15" customHeight="1" x14ac:dyDescent="0.25">
      <c r="A897" s="5">
        <v>43</v>
      </c>
      <c r="B897" s="38">
        <v>44124</v>
      </c>
      <c r="C897" s="38">
        <v>44110</v>
      </c>
      <c r="D897" s="38">
        <v>44103</v>
      </c>
      <c r="E897" s="34">
        <v>44124</v>
      </c>
      <c r="F897" s="5">
        <v>3098</v>
      </c>
      <c r="G897" s="5" t="s">
        <v>91</v>
      </c>
      <c r="H897" s="5" t="s">
        <v>41</v>
      </c>
      <c r="I897" s="5" t="s">
        <v>92</v>
      </c>
      <c r="J897" s="21" t="s">
        <v>93</v>
      </c>
      <c r="K897" s="21" t="s">
        <v>2143</v>
      </c>
      <c r="L897" s="6" t="s">
        <v>2144</v>
      </c>
      <c r="M897" s="5">
        <v>8</v>
      </c>
      <c r="N897" s="5" t="s">
        <v>91</v>
      </c>
      <c r="O897" s="5" t="s">
        <v>91</v>
      </c>
      <c r="P897" s="5" t="s">
        <v>91</v>
      </c>
      <c r="Q897" s="6" t="s">
        <v>105</v>
      </c>
      <c r="R897" s="6" t="s">
        <v>529</v>
      </c>
      <c r="S897" s="6" t="s">
        <v>1287</v>
      </c>
      <c r="T897" s="6"/>
      <c r="U897" s="5"/>
      <c r="V897" s="6"/>
      <c r="W897" s="6" t="s">
        <v>2145</v>
      </c>
      <c r="X897" s="6" t="s">
        <v>2146</v>
      </c>
      <c r="Y897" s="22"/>
      <c r="Z897" s="6"/>
      <c r="AA897" s="21">
        <v>10203</v>
      </c>
      <c r="AB897" s="23">
        <v>44098</v>
      </c>
      <c r="AC897" s="21" t="s">
        <v>30</v>
      </c>
      <c r="AD897" s="24">
        <v>3107.81</v>
      </c>
      <c r="AE897" s="6" t="s">
        <v>36</v>
      </c>
      <c r="AF897" s="6"/>
      <c r="AG897" s="6" t="s">
        <v>3040</v>
      </c>
    </row>
    <row r="898" spans="1:33" ht="7.5" customHeight="1" x14ac:dyDescent="0.25">
      <c r="A898" s="27"/>
      <c r="B898" s="39"/>
      <c r="C898" s="39"/>
      <c r="D898" s="39"/>
      <c r="E898" s="28"/>
      <c r="F898" s="27"/>
      <c r="G898" s="27"/>
      <c r="H898" s="27"/>
      <c r="I898" s="27"/>
      <c r="J898" s="30"/>
      <c r="K898" s="30"/>
      <c r="L898" s="29"/>
      <c r="M898" s="27"/>
      <c r="N898" s="27"/>
      <c r="O898" s="27"/>
      <c r="P898" s="27"/>
      <c r="Q898" s="29"/>
      <c r="R898" s="29"/>
      <c r="S898" s="29"/>
      <c r="T898" s="29"/>
      <c r="U898" s="27"/>
      <c r="V898" s="29"/>
      <c r="W898" s="29"/>
      <c r="X898" s="29"/>
      <c r="Y898" s="31"/>
      <c r="Z898" s="29"/>
      <c r="AA898" s="30"/>
      <c r="AB898" s="32"/>
      <c r="AC898" s="30"/>
      <c r="AD898" s="33"/>
      <c r="AE898" s="29"/>
      <c r="AF898" s="29"/>
      <c r="AG898" s="29"/>
    </row>
    <row r="899" spans="1:33" ht="15" customHeight="1" x14ac:dyDescent="0.25">
      <c r="A899" s="5">
        <v>42</v>
      </c>
      <c r="B899" s="38">
        <v>44119</v>
      </c>
      <c r="C899" s="38">
        <v>44110</v>
      </c>
      <c r="D899" s="38">
        <v>44092</v>
      </c>
      <c r="E899" s="37">
        <v>44119</v>
      </c>
      <c r="F899" s="5">
        <v>8774</v>
      </c>
      <c r="G899" s="5" t="s">
        <v>91</v>
      </c>
      <c r="H899" s="5" t="s">
        <v>41</v>
      </c>
      <c r="I899" s="5" t="s">
        <v>92</v>
      </c>
      <c r="J899" s="21" t="s">
        <v>147</v>
      </c>
      <c r="K899" s="21" t="s">
        <v>2048</v>
      </c>
      <c r="L899" s="6" t="s">
        <v>2049</v>
      </c>
      <c r="M899" s="5">
        <v>3</v>
      </c>
      <c r="N899" s="5" t="s">
        <v>91</v>
      </c>
      <c r="O899" s="5" t="s">
        <v>91</v>
      </c>
      <c r="P899" s="5" t="s">
        <v>91</v>
      </c>
      <c r="Q899" s="6" t="s">
        <v>105</v>
      </c>
      <c r="R899" s="6" t="s">
        <v>1373</v>
      </c>
      <c r="S899" s="6"/>
      <c r="T899" s="6"/>
      <c r="U899" s="5"/>
      <c r="V899" s="6"/>
      <c r="W899" s="6" t="s">
        <v>106</v>
      </c>
      <c r="X899" s="6"/>
      <c r="Y899" s="22"/>
      <c r="Z899" s="6"/>
      <c r="AA899" s="21"/>
      <c r="AB899" s="23">
        <v>44091</v>
      </c>
      <c r="AC899" s="21" t="s">
        <v>32</v>
      </c>
      <c r="AD899" s="24" t="s">
        <v>2050</v>
      </c>
      <c r="AE899" s="6" t="s">
        <v>36</v>
      </c>
      <c r="AF899" s="6"/>
      <c r="AG899" s="6" t="s">
        <v>3041</v>
      </c>
    </row>
    <row r="900" spans="1:33" ht="7.5" customHeight="1" x14ac:dyDescent="0.25">
      <c r="A900" s="27"/>
      <c r="B900" s="39"/>
      <c r="C900" s="39"/>
      <c r="D900" s="39"/>
      <c r="E900" s="28"/>
      <c r="F900" s="27"/>
      <c r="G900" s="27"/>
      <c r="H900" s="27"/>
      <c r="I900" s="27"/>
      <c r="J900" s="30"/>
      <c r="K900" s="30"/>
      <c r="L900" s="29"/>
      <c r="M900" s="27"/>
      <c r="N900" s="27"/>
      <c r="O900" s="27"/>
      <c r="P900" s="27"/>
      <c r="Q900" s="29"/>
      <c r="R900" s="29"/>
      <c r="S900" s="29"/>
      <c r="T900" s="29"/>
      <c r="U900" s="27"/>
      <c r="V900" s="29"/>
      <c r="W900" s="29"/>
      <c r="X900" s="29"/>
      <c r="Y900" s="31"/>
      <c r="Z900" s="29"/>
      <c r="AA900" s="30"/>
      <c r="AB900" s="32"/>
      <c r="AC900" s="30"/>
      <c r="AD900" s="33"/>
      <c r="AE900" s="29"/>
      <c r="AF900" s="29"/>
      <c r="AG900" s="29"/>
    </row>
    <row r="901" spans="1:33" ht="15" customHeight="1" x14ac:dyDescent="0.25">
      <c r="A901" s="5">
        <v>44</v>
      </c>
      <c r="B901" s="38">
        <v>44131</v>
      </c>
      <c r="C901" s="38">
        <v>44110</v>
      </c>
      <c r="D901" s="38">
        <v>44103</v>
      </c>
      <c r="E901" s="35">
        <v>44131</v>
      </c>
      <c r="F901" s="5">
        <v>9709</v>
      </c>
      <c r="G901" s="5" t="s">
        <v>91</v>
      </c>
      <c r="H901" s="5" t="s">
        <v>40</v>
      </c>
      <c r="I901" s="5" t="s">
        <v>92</v>
      </c>
      <c r="J901" s="21" t="s">
        <v>159</v>
      </c>
      <c r="K901" s="21">
        <v>258131</v>
      </c>
      <c r="L901" s="6" t="s">
        <v>152</v>
      </c>
      <c r="M901" s="5">
        <v>10</v>
      </c>
      <c r="N901" s="5" t="s">
        <v>91</v>
      </c>
      <c r="O901" s="5" t="s">
        <v>91</v>
      </c>
      <c r="P901" s="5" t="s">
        <v>91</v>
      </c>
      <c r="Q901" s="6"/>
      <c r="R901" s="6" t="s">
        <v>163</v>
      </c>
      <c r="S901" s="6"/>
      <c r="T901" s="6"/>
      <c r="U901" s="5"/>
      <c r="V901" s="6" t="s">
        <v>167</v>
      </c>
      <c r="W901" s="6" t="s">
        <v>2251</v>
      </c>
      <c r="X901" s="6"/>
      <c r="Y901" s="22"/>
      <c r="Z901" s="6"/>
      <c r="AA901" s="21">
        <v>258131</v>
      </c>
      <c r="AB901" s="23">
        <v>44109</v>
      </c>
      <c r="AC901" s="21" t="s">
        <v>30</v>
      </c>
      <c r="AD901" s="24" t="s">
        <v>2252</v>
      </c>
      <c r="AE901" s="6" t="s">
        <v>37</v>
      </c>
      <c r="AF901" s="6"/>
      <c r="AG901" s="6" t="s">
        <v>3042</v>
      </c>
    </row>
    <row r="902" spans="1:33" ht="15" customHeight="1" x14ac:dyDescent="0.25">
      <c r="A902" s="5">
        <v>44</v>
      </c>
      <c r="B902" s="38">
        <v>44131</v>
      </c>
      <c r="C902" s="38">
        <v>44110</v>
      </c>
      <c r="D902" s="38">
        <v>44103</v>
      </c>
      <c r="E902" s="35">
        <v>44131</v>
      </c>
      <c r="F902" s="5">
        <v>9710</v>
      </c>
      <c r="G902" s="5" t="s">
        <v>91</v>
      </c>
      <c r="H902" s="5" t="s">
        <v>40</v>
      </c>
      <c r="I902" s="5" t="s">
        <v>92</v>
      </c>
      <c r="J902" s="21" t="s">
        <v>159</v>
      </c>
      <c r="K902" s="21">
        <v>258133</v>
      </c>
      <c r="L902" s="6" t="s">
        <v>152</v>
      </c>
      <c r="M902" s="5">
        <v>4</v>
      </c>
      <c r="N902" s="5" t="s">
        <v>91</v>
      </c>
      <c r="O902" s="5" t="s">
        <v>91</v>
      </c>
      <c r="P902" s="5" t="s">
        <v>91</v>
      </c>
      <c r="Q902" s="6"/>
      <c r="R902" s="6" t="s">
        <v>163</v>
      </c>
      <c r="S902" s="6"/>
      <c r="T902" s="6"/>
      <c r="U902" s="5"/>
      <c r="V902" s="6" t="s">
        <v>164</v>
      </c>
      <c r="W902" s="6" t="s">
        <v>165</v>
      </c>
      <c r="X902" s="6"/>
      <c r="Y902" s="22"/>
      <c r="Z902" s="6"/>
      <c r="AA902" s="21">
        <v>258133</v>
      </c>
      <c r="AB902" s="23">
        <v>44109</v>
      </c>
      <c r="AC902" s="21" t="s">
        <v>30</v>
      </c>
      <c r="AD902" s="24" t="s">
        <v>2253</v>
      </c>
      <c r="AE902" s="6" t="s">
        <v>38</v>
      </c>
      <c r="AF902" s="6"/>
      <c r="AG902" s="6" t="s">
        <v>3039</v>
      </c>
    </row>
    <row r="903" spans="1:33" ht="15" customHeight="1" x14ac:dyDescent="0.25">
      <c r="A903" s="5">
        <v>44</v>
      </c>
      <c r="B903" s="38">
        <v>44131</v>
      </c>
      <c r="C903" s="38">
        <v>44110</v>
      </c>
      <c r="D903" s="38">
        <v>44103</v>
      </c>
      <c r="E903" s="35">
        <v>44131</v>
      </c>
      <c r="F903" s="5">
        <v>9711</v>
      </c>
      <c r="G903" s="5" t="s">
        <v>91</v>
      </c>
      <c r="H903" s="5" t="s">
        <v>40</v>
      </c>
      <c r="I903" s="5" t="s">
        <v>92</v>
      </c>
      <c r="J903" s="21" t="s">
        <v>159</v>
      </c>
      <c r="K903" s="21">
        <v>258134</v>
      </c>
      <c r="L903" s="6" t="s">
        <v>152</v>
      </c>
      <c r="M903" s="5">
        <v>6</v>
      </c>
      <c r="N903" s="5" t="s">
        <v>91</v>
      </c>
      <c r="O903" s="5" t="s">
        <v>91</v>
      </c>
      <c r="P903" s="5" t="s">
        <v>91</v>
      </c>
      <c r="Q903" s="6"/>
      <c r="R903" s="6" t="s">
        <v>163</v>
      </c>
      <c r="S903" s="6"/>
      <c r="T903" s="6"/>
      <c r="U903" s="5"/>
      <c r="V903" s="6" t="s">
        <v>167</v>
      </c>
      <c r="W903" s="6" t="s">
        <v>2254</v>
      </c>
      <c r="X903" s="6"/>
      <c r="Y903" s="22"/>
      <c r="Z903" s="6"/>
      <c r="AA903" s="21">
        <v>258134</v>
      </c>
      <c r="AB903" s="23">
        <v>44109</v>
      </c>
      <c r="AC903" s="21" t="s">
        <v>32</v>
      </c>
      <c r="AD903" s="24" t="s">
        <v>2255</v>
      </c>
      <c r="AE903" s="6" t="s">
        <v>31</v>
      </c>
      <c r="AF903" s="6"/>
      <c r="AG903" s="6" t="s">
        <v>3040</v>
      </c>
    </row>
    <row r="904" spans="1:33" ht="7.5" customHeight="1" x14ac:dyDescent="0.25">
      <c r="A904" s="27"/>
      <c r="B904" s="39"/>
      <c r="C904" s="39"/>
      <c r="D904" s="39"/>
      <c r="E904" s="28"/>
      <c r="F904" s="27"/>
      <c r="G904" s="27"/>
      <c r="H904" s="27"/>
      <c r="I904" s="27"/>
      <c r="J904" s="30"/>
      <c r="K904" s="30"/>
      <c r="L904" s="29"/>
      <c r="M904" s="27"/>
      <c r="N904" s="27"/>
      <c r="O904" s="27"/>
      <c r="P904" s="27"/>
      <c r="Q904" s="29"/>
      <c r="R904" s="29"/>
      <c r="S904" s="29"/>
      <c r="T904" s="29"/>
      <c r="U904" s="27"/>
      <c r="V904" s="29"/>
      <c r="W904" s="29"/>
      <c r="X904" s="29"/>
      <c r="Y904" s="31"/>
      <c r="Z904" s="29"/>
      <c r="AA904" s="30"/>
      <c r="AB904" s="32"/>
      <c r="AC904" s="30"/>
      <c r="AD904" s="33"/>
      <c r="AE904" s="29"/>
      <c r="AF904" s="29"/>
      <c r="AG904" s="29"/>
    </row>
    <row r="905" spans="1:33" ht="15" customHeight="1" x14ac:dyDescent="0.25">
      <c r="A905" s="5">
        <v>44</v>
      </c>
      <c r="B905" s="38">
        <v>44132</v>
      </c>
      <c r="C905" s="38">
        <v>44111</v>
      </c>
      <c r="D905" s="38">
        <v>44104</v>
      </c>
      <c r="E905" s="35">
        <v>44132</v>
      </c>
      <c r="F905" s="5">
        <v>2391</v>
      </c>
      <c r="G905" s="5" t="s">
        <v>91</v>
      </c>
      <c r="H905" s="5" t="s">
        <v>43</v>
      </c>
      <c r="I905" s="5" t="s">
        <v>92</v>
      </c>
      <c r="J905" s="21" t="s">
        <v>231</v>
      </c>
      <c r="K905" s="21" t="s">
        <v>2256</v>
      </c>
      <c r="L905" s="6" t="s">
        <v>2257</v>
      </c>
      <c r="M905" s="5">
        <v>17</v>
      </c>
      <c r="N905" s="5" t="s">
        <v>91</v>
      </c>
      <c r="O905" s="5" t="s">
        <v>91</v>
      </c>
      <c r="P905" s="5" t="s">
        <v>91</v>
      </c>
      <c r="Q905" s="6" t="s">
        <v>105</v>
      </c>
      <c r="R905" s="6" t="s">
        <v>2258</v>
      </c>
      <c r="S905" s="6" t="s">
        <v>244</v>
      </c>
      <c r="T905" s="6" t="s">
        <v>946</v>
      </c>
      <c r="U905" s="5"/>
      <c r="V905" s="6"/>
      <c r="W905" s="6" t="s">
        <v>2259</v>
      </c>
      <c r="X905" s="6" t="s">
        <v>2260</v>
      </c>
      <c r="Y905" s="22"/>
      <c r="Z905" s="6"/>
      <c r="AA905" s="21" t="s">
        <v>2261</v>
      </c>
      <c r="AB905" s="23">
        <v>44095</v>
      </c>
      <c r="AC905" s="21" t="s">
        <v>32</v>
      </c>
      <c r="AD905" s="24" t="s">
        <v>2262</v>
      </c>
      <c r="AE905" s="6" t="s">
        <v>35</v>
      </c>
      <c r="AF905" s="6"/>
      <c r="AG905" s="6" t="s">
        <v>3041</v>
      </c>
    </row>
    <row r="906" spans="1:33" ht="7.5" customHeight="1" x14ac:dyDescent="0.25">
      <c r="A906" s="27"/>
      <c r="B906" s="39"/>
      <c r="C906" s="39"/>
      <c r="D906" s="39"/>
      <c r="E906" s="28"/>
      <c r="F906" s="27"/>
      <c r="G906" s="27"/>
      <c r="H906" s="27"/>
      <c r="I906" s="27"/>
      <c r="J906" s="30"/>
      <c r="K906" s="30"/>
      <c r="L906" s="29"/>
      <c r="M906" s="27"/>
      <c r="N906" s="27"/>
      <c r="O906" s="27"/>
      <c r="P906" s="27"/>
      <c r="Q906" s="29"/>
      <c r="R906" s="29"/>
      <c r="S906" s="29"/>
      <c r="T906" s="29"/>
      <c r="U906" s="27"/>
      <c r="V906" s="29"/>
      <c r="W906" s="29"/>
      <c r="X906" s="29"/>
      <c r="Y906" s="31"/>
      <c r="Z906" s="29"/>
      <c r="AA906" s="30"/>
      <c r="AB906" s="32"/>
      <c r="AC906" s="30"/>
      <c r="AD906" s="33"/>
      <c r="AE906" s="29"/>
      <c r="AF906" s="29"/>
      <c r="AG906" s="29"/>
    </row>
    <row r="907" spans="1:33" ht="15" customHeight="1" x14ac:dyDescent="0.25">
      <c r="A907" s="5">
        <v>43</v>
      </c>
      <c r="B907" s="38">
        <v>44125</v>
      </c>
      <c r="C907" s="38">
        <v>44111</v>
      </c>
      <c r="D907" s="38">
        <v>44104</v>
      </c>
      <c r="E907" s="34">
        <v>44125</v>
      </c>
      <c r="F907" s="5">
        <v>10702</v>
      </c>
      <c r="G907" s="5" t="s">
        <v>91</v>
      </c>
      <c r="H907" s="5" t="s">
        <v>43</v>
      </c>
      <c r="I907" s="5" t="s">
        <v>92</v>
      </c>
      <c r="J907" s="21" t="s">
        <v>170</v>
      </c>
      <c r="K907" s="21" t="s">
        <v>2153</v>
      </c>
      <c r="L907" s="6" t="s">
        <v>2154</v>
      </c>
      <c r="M907" s="5">
        <v>10</v>
      </c>
      <c r="N907" s="5" t="s">
        <v>91</v>
      </c>
      <c r="O907" s="5" t="s">
        <v>91</v>
      </c>
      <c r="P907" s="5" t="s">
        <v>91</v>
      </c>
      <c r="Q907" s="6" t="s">
        <v>96</v>
      </c>
      <c r="R907" s="6" t="s">
        <v>112</v>
      </c>
      <c r="S907" s="6"/>
      <c r="T907" s="6"/>
      <c r="U907" s="5"/>
      <c r="V907" s="6"/>
      <c r="W907" s="6" t="s">
        <v>2155</v>
      </c>
      <c r="X907" s="6" t="s">
        <v>2156</v>
      </c>
      <c r="Y907" s="22"/>
      <c r="Z907" s="6">
        <v>3.6</v>
      </c>
      <c r="AA907" s="21" t="s">
        <v>2157</v>
      </c>
      <c r="AB907" s="23">
        <v>44106</v>
      </c>
      <c r="AC907" s="21" t="s">
        <v>32</v>
      </c>
      <c r="AD907" s="24" t="s">
        <v>2158</v>
      </c>
      <c r="AE907" s="6" t="s">
        <v>38</v>
      </c>
      <c r="AF907" s="6"/>
      <c r="AG907" s="6" t="s">
        <v>3040</v>
      </c>
    </row>
    <row r="908" spans="1:33" ht="7.5" customHeight="1" x14ac:dyDescent="0.25">
      <c r="A908" s="27"/>
      <c r="B908" s="39"/>
      <c r="C908" s="39"/>
      <c r="D908" s="39"/>
      <c r="E908" s="28"/>
      <c r="F908" s="27"/>
      <c r="G908" s="27"/>
      <c r="H908" s="27"/>
      <c r="I908" s="27"/>
      <c r="J908" s="30"/>
      <c r="K908" s="30"/>
      <c r="L908" s="29"/>
      <c r="M908" s="27"/>
      <c r="N908" s="27"/>
      <c r="O908" s="27"/>
      <c r="P908" s="27"/>
      <c r="Q908" s="29"/>
      <c r="R908" s="29"/>
      <c r="S908" s="29"/>
      <c r="T908" s="29"/>
      <c r="U908" s="27"/>
      <c r="V908" s="29"/>
      <c r="W908" s="29"/>
      <c r="X908" s="29"/>
      <c r="Y908" s="31"/>
      <c r="Z908" s="29"/>
      <c r="AA908" s="30"/>
      <c r="AB908" s="32"/>
      <c r="AC908" s="30"/>
      <c r="AD908" s="33"/>
      <c r="AE908" s="29"/>
      <c r="AF908" s="29"/>
      <c r="AG908" s="29"/>
    </row>
    <row r="909" spans="1:33" ht="15" customHeight="1" x14ac:dyDescent="0.25">
      <c r="A909" s="5">
        <v>44</v>
      </c>
      <c r="B909" s="38">
        <v>44132</v>
      </c>
      <c r="C909" s="38">
        <v>44111</v>
      </c>
      <c r="D909" s="38">
        <v>44104</v>
      </c>
      <c r="E909" s="35">
        <v>44132</v>
      </c>
      <c r="F909" s="5">
        <v>10697</v>
      </c>
      <c r="G909" s="5" t="s">
        <v>91</v>
      </c>
      <c r="H909" s="5" t="s">
        <v>41</v>
      </c>
      <c r="I909" s="5" t="s">
        <v>92</v>
      </c>
      <c r="J909" s="21" t="s">
        <v>170</v>
      </c>
      <c r="K909" s="21" t="s">
        <v>785</v>
      </c>
      <c r="L909" s="6" t="s">
        <v>149</v>
      </c>
      <c r="M909" s="5">
        <v>10</v>
      </c>
      <c r="N909" s="5" t="s">
        <v>91</v>
      </c>
      <c r="O909" s="5" t="s">
        <v>91</v>
      </c>
      <c r="P909" s="5" t="s">
        <v>91</v>
      </c>
      <c r="Q909" s="6" t="s">
        <v>105</v>
      </c>
      <c r="R909" s="6" t="s">
        <v>112</v>
      </c>
      <c r="S909" s="6"/>
      <c r="T909" s="6"/>
      <c r="U909" s="5"/>
      <c r="V909" s="6"/>
      <c r="W909" s="6" t="s">
        <v>1832</v>
      </c>
      <c r="X909" s="6" t="s">
        <v>251</v>
      </c>
      <c r="Y909" s="22"/>
      <c r="Z909" s="6">
        <v>4.4000000000000004</v>
      </c>
      <c r="AA909" s="21" t="s">
        <v>2263</v>
      </c>
      <c r="AB909" s="23">
        <v>44096</v>
      </c>
      <c r="AC909" s="21" t="s">
        <v>32</v>
      </c>
      <c r="AD909" s="24" t="s">
        <v>2264</v>
      </c>
      <c r="AE909" s="6" t="s">
        <v>34</v>
      </c>
      <c r="AF909" s="6"/>
      <c r="AG909" s="6" t="s">
        <v>3042</v>
      </c>
    </row>
    <row r="910" spans="1:33" ht="7.5" customHeight="1" x14ac:dyDescent="0.25">
      <c r="A910" s="27"/>
      <c r="B910" s="39"/>
      <c r="C910" s="39"/>
      <c r="D910" s="39"/>
      <c r="E910" s="28"/>
      <c r="F910" s="27"/>
      <c r="G910" s="27"/>
      <c r="H910" s="27"/>
      <c r="I910" s="27"/>
      <c r="J910" s="30"/>
      <c r="K910" s="30"/>
      <c r="L910" s="29"/>
      <c r="M910" s="27"/>
      <c r="N910" s="27"/>
      <c r="O910" s="27"/>
      <c r="P910" s="27"/>
      <c r="Q910" s="29"/>
      <c r="R910" s="29"/>
      <c r="S910" s="29"/>
      <c r="T910" s="29"/>
      <c r="U910" s="27"/>
      <c r="V910" s="29"/>
      <c r="W910" s="29"/>
      <c r="X910" s="29"/>
      <c r="Y910" s="31"/>
      <c r="Z910" s="29"/>
      <c r="AA910" s="30"/>
      <c r="AB910" s="32"/>
      <c r="AC910" s="30"/>
      <c r="AD910" s="33"/>
      <c r="AE910" s="29"/>
      <c r="AF910" s="29"/>
      <c r="AG910" s="29"/>
    </row>
    <row r="911" spans="1:33" ht="15" customHeight="1" x14ac:dyDescent="0.25">
      <c r="A911" s="5">
        <v>43</v>
      </c>
      <c r="B911" s="38">
        <v>44125</v>
      </c>
      <c r="C911" s="38">
        <v>44111</v>
      </c>
      <c r="D911" s="38">
        <v>44104</v>
      </c>
      <c r="E911" s="34">
        <v>44125</v>
      </c>
      <c r="F911" s="5">
        <v>4848</v>
      </c>
      <c r="G911" s="5" t="s">
        <v>91</v>
      </c>
      <c r="H911" s="5" t="s">
        <v>41</v>
      </c>
      <c r="I911" s="5" t="s">
        <v>92</v>
      </c>
      <c r="J911" s="21" t="s">
        <v>109</v>
      </c>
      <c r="K911" s="21" t="s">
        <v>2162</v>
      </c>
      <c r="L911" s="6" t="s">
        <v>2163</v>
      </c>
      <c r="M911" s="5">
        <v>10</v>
      </c>
      <c r="N911" s="5" t="s">
        <v>91</v>
      </c>
      <c r="O911" s="5" t="s">
        <v>91</v>
      </c>
      <c r="P911" s="5" t="s">
        <v>91</v>
      </c>
      <c r="Q911" s="6"/>
      <c r="R911" s="6" t="s">
        <v>112</v>
      </c>
      <c r="S911" s="6"/>
      <c r="T911" s="6"/>
      <c r="U911" s="5"/>
      <c r="V911" s="6"/>
      <c r="W911" s="6" t="s">
        <v>2164</v>
      </c>
      <c r="X911" s="6"/>
      <c r="Y911" s="22"/>
      <c r="Z911" s="6">
        <v>4.5</v>
      </c>
      <c r="AA911" s="21">
        <v>15564</v>
      </c>
      <c r="AB911" s="23">
        <v>44110</v>
      </c>
      <c r="AC911" s="21" t="s">
        <v>30</v>
      </c>
      <c r="AD911" s="24" t="s">
        <v>2165</v>
      </c>
      <c r="AE911" s="6" t="s">
        <v>36</v>
      </c>
      <c r="AF911" s="6"/>
      <c r="AG911" s="6" t="s">
        <v>3042</v>
      </c>
    </row>
    <row r="912" spans="1:33" ht="15" customHeight="1" x14ac:dyDescent="0.25">
      <c r="A912" s="5">
        <v>43</v>
      </c>
      <c r="B912" s="38">
        <v>44125</v>
      </c>
      <c r="C912" s="38">
        <v>44111</v>
      </c>
      <c r="D912" s="38">
        <v>44104</v>
      </c>
      <c r="E912" s="34">
        <v>44125</v>
      </c>
      <c r="F912" s="5">
        <v>4859</v>
      </c>
      <c r="G912" s="5" t="s">
        <v>91</v>
      </c>
      <c r="H912" s="5" t="s">
        <v>41</v>
      </c>
      <c r="I912" s="5" t="s">
        <v>92</v>
      </c>
      <c r="J912" s="21" t="s">
        <v>109</v>
      </c>
      <c r="K912" s="21" t="s">
        <v>2166</v>
      </c>
      <c r="L912" s="6" t="s">
        <v>2167</v>
      </c>
      <c r="M912" s="5">
        <v>0</v>
      </c>
      <c r="N912" s="5" t="s">
        <v>91</v>
      </c>
      <c r="O912" s="5" t="s">
        <v>91</v>
      </c>
      <c r="P912" s="5" t="s">
        <v>91</v>
      </c>
      <c r="Q912" s="6"/>
      <c r="R912" s="6" t="s">
        <v>112</v>
      </c>
      <c r="S912" s="6"/>
      <c r="T912" s="6"/>
      <c r="U912" s="5"/>
      <c r="V912" s="6"/>
      <c r="W912" s="6" t="s">
        <v>1041</v>
      </c>
      <c r="X912" s="6"/>
      <c r="Y912" s="22"/>
      <c r="Z912" s="6"/>
      <c r="AA912" s="21"/>
      <c r="AB912" s="23">
        <v>44123</v>
      </c>
      <c r="AC912" s="21" t="s">
        <v>30</v>
      </c>
      <c r="AD912" s="24" t="s">
        <v>174</v>
      </c>
      <c r="AE912" s="6" t="s">
        <v>31</v>
      </c>
      <c r="AF912" s="6"/>
      <c r="AG912" s="6" t="s">
        <v>3039</v>
      </c>
    </row>
    <row r="913" spans="1:33" ht="15" customHeight="1" x14ac:dyDescent="0.25">
      <c r="A913" s="5">
        <v>43</v>
      </c>
      <c r="B913" s="38">
        <v>44125</v>
      </c>
      <c r="C913" s="38">
        <v>44111</v>
      </c>
      <c r="D913" s="38">
        <v>44104</v>
      </c>
      <c r="E913" s="34">
        <v>44125</v>
      </c>
      <c r="F913" s="5">
        <v>5689</v>
      </c>
      <c r="G913" s="5" t="s">
        <v>91</v>
      </c>
      <c r="H913" s="5" t="s">
        <v>41</v>
      </c>
      <c r="I913" s="5" t="s">
        <v>92</v>
      </c>
      <c r="J913" s="21" t="s">
        <v>131</v>
      </c>
      <c r="K913" s="21" t="s">
        <v>2174</v>
      </c>
      <c r="L913" s="6" t="s">
        <v>2175</v>
      </c>
      <c r="M913" s="5">
        <v>17</v>
      </c>
      <c r="N913" s="5" t="s">
        <v>91</v>
      </c>
      <c r="O913" s="5" t="s">
        <v>91</v>
      </c>
      <c r="P913" s="5" t="s">
        <v>91</v>
      </c>
      <c r="Q913" s="6" t="s">
        <v>105</v>
      </c>
      <c r="R913" s="6"/>
      <c r="S913" s="6"/>
      <c r="T913" s="6"/>
      <c r="U913" s="5"/>
      <c r="V913" s="6"/>
      <c r="W913" s="6" t="s">
        <v>183</v>
      </c>
      <c r="X913" s="6"/>
      <c r="Y913" s="22"/>
      <c r="Z913" s="6">
        <v>4.5</v>
      </c>
      <c r="AA913" s="21"/>
      <c r="AB913" s="23">
        <v>44105</v>
      </c>
      <c r="AC913" s="21" t="s">
        <v>33</v>
      </c>
      <c r="AD913" s="24" t="s">
        <v>2176</v>
      </c>
      <c r="AE913" s="6" t="s">
        <v>34</v>
      </c>
      <c r="AF913" s="6"/>
      <c r="AG913" s="6" t="s">
        <v>3042</v>
      </c>
    </row>
    <row r="914" spans="1:33" ht="15" customHeight="1" x14ac:dyDescent="0.25">
      <c r="A914" s="5">
        <v>43</v>
      </c>
      <c r="B914" s="38">
        <v>44125</v>
      </c>
      <c r="C914" s="38">
        <v>44111</v>
      </c>
      <c r="D914" s="38">
        <v>44104</v>
      </c>
      <c r="E914" s="34">
        <v>44125</v>
      </c>
      <c r="F914" s="5">
        <v>5691</v>
      </c>
      <c r="G914" s="5" t="s">
        <v>91</v>
      </c>
      <c r="H914" s="5" t="s">
        <v>41</v>
      </c>
      <c r="I914" s="5" t="s">
        <v>92</v>
      </c>
      <c r="J914" s="21" t="s">
        <v>131</v>
      </c>
      <c r="K914" s="21" t="s">
        <v>1700</v>
      </c>
      <c r="L914" s="6" t="s">
        <v>2177</v>
      </c>
      <c r="M914" s="5">
        <v>13</v>
      </c>
      <c r="N914" s="5" t="s">
        <v>91</v>
      </c>
      <c r="O914" s="5" t="s">
        <v>91</v>
      </c>
      <c r="P914" s="5" t="s">
        <v>91</v>
      </c>
      <c r="Q914" s="6" t="s">
        <v>105</v>
      </c>
      <c r="R914" s="6"/>
      <c r="S914" s="6"/>
      <c r="T914" s="6"/>
      <c r="U914" s="5"/>
      <c r="V914" s="6"/>
      <c r="W914" s="6" t="s">
        <v>502</v>
      </c>
      <c r="X914" s="6"/>
      <c r="Y914" s="22"/>
      <c r="Z914" s="6">
        <v>4</v>
      </c>
      <c r="AA914" s="21"/>
      <c r="AB914" s="23">
        <v>44106</v>
      </c>
      <c r="AC914" s="21" t="s">
        <v>33</v>
      </c>
      <c r="AD914" s="24" t="s">
        <v>2178</v>
      </c>
      <c r="AE914" s="6" t="s">
        <v>31</v>
      </c>
      <c r="AF914" s="6"/>
      <c r="AG914" s="6" t="s">
        <v>3039</v>
      </c>
    </row>
    <row r="915" spans="1:33" ht="7.5" customHeight="1" x14ac:dyDescent="0.25">
      <c r="A915" s="27"/>
      <c r="B915" s="39"/>
      <c r="C915" s="39"/>
      <c r="D915" s="39"/>
      <c r="E915" s="28"/>
      <c r="F915" s="27"/>
      <c r="G915" s="27"/>
      <c r="H915" s="27"/>
      <c r="I915" s="27"/>
      <c r="J915" s="30"/>
      <c r="K915" s="30"/>
      <c r="L915" s="29"/>
      <c r="M915" s="27"/>
      <c r="N915" s="27"/>
      <c r="O915" s="27"/>
      <c r="P915" s="27"/>
      <c r="Q915" s="29"/>
      <c r="R915" s="29"/>
      <c r="S915" s="29"/>
      <c r="T915" s="29"/>
      <c r="U915" s="27"/>
      <c r="V915" s="29"/>
      <c r="W915" s="29"/>
      <c r="X915" s="29"/>
      <c r="Y915" s="31"/>
      <c r="Z915" s="29"/>
      <c r="AA915" s="30"/>
      <c r="AB915" s="32"/>
      <c r="AC915" s="30"/>
      <c r="AD915" s="33"/>
      <c r="AE915" s="29"/>
      <c r="AF915" s="29"/>
      <c r="AG915" s="29"/>
    </row>
    <row r="916" spans="1:33" ht="15" customHeight="1" x14ac:dyDescent="0.25">
      <c r="A916" s="5">
        <v>43</v>
      </c>
      <c r="B916" s="38">
        <v>44127</v>
      </c>
      <c r="C916" s="38">
        <v>44111</v>
      </c>
      <c r="D916" s="38">
        <v>44095</v>
      </c>
      <c r="E916" s="34">
        <v>44127</v>
      </c>
      <c r="F916" s="5">
        <v>5687</v>
      </c>
      <c r="G916" s="5" t="s">
        <v>91</v>
      </c>
      <c r="H916" s="5" t="s">
        <v>40</v>
      </c>
      <c r="I916" s="5" t="s">
        <v>92</v>
      </c>
      <c r="J916" s="21" t="s">
        <v>131</v>
      </c>
      <c r="K916" s="21" t="s">
        <v>2113</v>
      </c>
      <c r="L916" s="6" t="s">
        <v>2230</v>
      </c>
      <c r="M916" s="5">
        <v>0</v>
      </c>
      <c r="N916" s="5" t="s">
        <v>91</v>
      </c>
      <c r="O916" s="5" t="s">
        <v>91</v>
      </c>
      <c r="P916" s="5" t="s">
        <v>91</v>
      </c>
      <c r="Q916" s="6"/>
      <c r="R916" s="6" t="s">
        <v>2106</v>
      </c>
      <c r="S916" s="6"/>
      <c r="T916" s="6"/>
      <c r="U916" s="5"/>
      <c r="V916" s="6" t="s">
        <v>2114</v>
      </c>
      <c r="W916" s="6" t="s">
        <v>1919</v>
      </c>
      <c r="X916" s="6"/>
      <c r="Y916" s="22"/>
      <c r="Z916" s="6">
        <v>0</v>
      </c>
      <c r="AA916" s="21"/>
      <c r="AB916" s="23">
        <v>44102</v>
      </c>
      <c r="AC916" s="21" t="s">
        <v>30</v>
      </c>
      <c r="AD916" s="24" t="s">
        <v>115</v>
      </c>
      <c r="AE916" s="6" t="s">
        <v>31</v>
      </c>
      <c r="AF916" s="6"/>
      <c r="AG916" s="6" t="s">
        <v>3041</v>
      </c>
    </row>
    <row r="917" spans="1:33" ht="7.5" customHeight="1" x14ac:dyDescent="0.25">
      <c r="A917" s="27"/>
      <c r="B917" s="39"/>
      <c r="C917" s="39"/>
      <c r="D917" s="39"/>
      <c r="E917" s="28"/>
      <c r="F917" s="27"/>
      <c r="G917" s="27"/>
      <c r="H917" s="27"/>
      <c r="I917" s="27"/>
      <c r="J917" s="30"/>
      <c r="K917" s="30"/>
      <c r="L917" s="29"/>
      <c r="M917" s="27"/>
      <c r="N917" s="27"/>
      <c r="O917" s="27"/>
      <c r="P917" s="27"/>
      <c r="Q917" s="29"/>
      <c r="R917" s="29"/>
      <c r="S917" s="29"/>
      <c r="T917" s="29"/>
      <c r="U917" s="27"/>
      <c r="V917" s="29"/>
      <c r="W917" s="29"/>
      <c r="X917" s="29"/>
      <c r="Y917" s="31"/>
      <c r="Z917" s="29"/>
      <c r="AA917" s="30"/>
      <c r="AB917" s="32"/>
      <c r="AC917" s="30"/>
      <c r="AD917" s="33"/>
      <c r="AE917" s="29"/>
      <c r="AF917" s="29"/>
      <c r="AG917" s="29"/>
    </row>
    <row r="918" spans="1:33" ht="15" customHeight="1" x14ac:dyDescent="0.25">
      <c r="A918" s="5">
        <v>44</v>
      </c>
      <c r="B918" s="38">
        <v>44132</v>
      </c>
      <c r="C918" s="38">
        <v>44111</v>
      </c>
      <c r="D918" s="38">
        <v>44104</v>
      </c>
      <c r="E918" s="35">
        <v>44132</v>
      </c>
      <c r="F918" s="5">
        <v>5694</v>
      </c>
      <c r="G918" s="5" t="s">
        <v>91</v>
      </c>
      <c r="H918" s="5" t="s">
        <v>43</v>
      </c>
      <c r="I918" s="5" t="s">
        <v>92</v>
      </c>
      <c r="J918" s="21" t="s">
        <v>131</v>
      </c>
      <c r="K918" s="21" t="s">
        <v>2307</v>
      </c>
      <c r="L918" s="6" t="s">
        <v>1574</v>
      </c>
      <c r="M918" s="5">
        <v>4</v>
      </c>
      <c r="N918" s="5" t="s">
        <v>91</v>
      </c>
      <c r="O918" s="5" t="s">
        <v>91</v>
      </c>
      <c r="P918" s="5" t="s">
        <v>91</v>
      </c>
      <c r="Q918" s="6"/>
      <c r="R918" s="6" t="s">
        <v>296</v>
      </c>
      <c r="S918" s="6"/>
      <c r="T918" s="6"/>
      <c r="U918" s="5"/>
      <c r="V918" s="6"/>
      <c r="W918" s="6" t="s">
        <v>183</v>
      </c>
      <c r="X918" s="6"/>
      <c r="Y918" s="22"/>
      <c r="Z918" s="6">
        <v>1.5</v>
      </c>
      <c r="AA918" s="21"/>
      <c r="AB918" s="23">
        <v>44109</v>
      </c>
      <c r="AC918" s="21" t="s">
        <v>32</v>
      </c>
      <c r="AD918" s="24" t="s">
        <v>2308</v>
      </c>
      <c r="AE918" s="6" t="s">
        <v>31</v>
      </c>
      <c r="AF918" s="6"/>
      <c r="AG918" s="6" t="s">
        <v>3041</v>
      </c>
    </row>
    <row r="919" spans="1:33" ht="7.5" customHeight="1" x14ac:dyDescent="0.25">
      <c r="A919" s="27"/>
      <c r="B919" s="39"/>
      <c r="C919" s="39"/>
      <c r="D919" s="39"/>
      <c r="E919" s="28"/>
      <c r="F919" s="27"/>
      <c r="G919" s="27"/>
      <c r="H919" s="27"/>
      <c r="I919" s="27"/>
      <c r="J919" s="30"/>
      <c r="K919" s="30"/>
      <c r="L919" s="29"/>
      <c r="M919" s="27"/>
      <c r="N919" s="27"/>
      <c r="O919" s="27"/>
      <c r="P919" s="27"/>
      <c r="Q919" s="29"/>
      <c r="R919" s="29"/>
      <c r="S919" s="29"/>
      <c r="T919" s="29"/>
      <c r="U919" s="27"/>
      <c r="V919" s="29"/>
      <c r="W919" s="29"/>
      <c r="X919" s="29"/>
      <c r="Y919" s="31"/>
      <c r="Z919" s="29"/>
      <c r="AA919" s="30"/>
      <c r="AB919" s="32"/>
      <c r="AC919" s="30"/>
      <c r="AD919" s="33"/>
      <c r="AE919" s="29"/>
      <c r="AF919" s="29"/>
      <c r="AG919" s="29"/>
    </row>
    <row r="920" spans="1:33" ht="15" customHeight="1" x14ac:dyDescent="0.25">
      <c r="A920" s="5">
        <v>40</v>
      </c>
      <c r="B920" s="38">
        <v>44102</v>
      </c>
      <c r="C920" s="38">
        <v>44111</v>
      </c>
      <c r="D920" s="38">
        <v>44125</v>
      </c>
      <c r="E920" s="36" t="s">
        <v>442</v>
      </c>
      <c r="F920" s="5">
        <v>6725</v>
      </c>
      <c r="G920" s="5" t="s">
        <v>91</v>
      </c>
      <c r="H920" s="5" t="s">
        <v>43</v>
      </c>
      <c r="I920" s="5" t="s">
        <v>92</v>
      </c>
      <c r="J920" s="21" t="s">
        <v>191</v>
      </c>
      <c r="K920" s="21" t="s">
        <v>192</v>
      </c>
      <c r="L920" s="6" t="s">
        <v>193</v>
      </c>
      <c r="M920" s="5">
        <v>10</v>
      </c>
      <c r="N920" s="5" t="s">
        <v>91</v>
      </c>
      <c r="O920" s="5" t="s">
        <v>91</v>
      </c>
      <c r="P920" s="5" t="s">
        <v>91</v>
      </c>
      <c r="Q920" s="6"/>
      <c r="R920" s="6" t="s">
        <v>194</v>
      </c>
      <c r="S920" s="6"/>
      <c r="T920" s="6"/>
      <c r="U920" s="5"/>
      <c r="V920" s="6"/>
      <c r="W920" s="6" t="s">
        <v>195</v>
      </c>
      <c r="X920" s="6"/>
      <c r="Y920" s="22"/>
      <c r="Z920" s="6">
        <v>2</v>
      </c>
      <c r="AA920" s="21"/>
      <c r="AB920" s="23">
        <v>44082</v>
      </c>
      <c r="AC920" s="21" t="s">
        <v>32</v>
      </c>
      <c r="AD920" s="24" t="s">
        <v>196</v>
      </c>
      <c r="AE920" s="6" t="s">
        <v>31</v>
      </c>
      <c r="AF920" s="6"/>
      <c r="AG920" s="6" t="s">
        <v>3041</v>
      </c>
    </row>
    <row r="921" spans="1:33" ht="7.5" customHeight="1" x14ac:dyDescent="0.25">
      <c r="A921" s="27"/>
      <c r="B921" s="39"/>
      <c r="C921" s="39"/>
      <c r="D921" s="39"/>
      <c r="E921" s="28"/>
      <c r="F921" s="27"/>
      <c r="G921" s="27"/>
      <c r="H921" s="27"/>
      <c r="I921" s="27"/>
      <c r="J921" s="30"/>
      <c r="K921" s="30"/>
      <c r="L921" s="29"/>
      <c r="M921" s="27"/>
      <c r="N921" s="27"/>
      <c r="O921" s="27"/>
      <c r="P921" s="27"/>
      <c r="Q921" s="29"/>
      <c r="R921" s="29"/>
      <c r="S921" s="29"/>
      <c r="T921" s="29"/>
      <c r="U921" s="27"/>
      <c r="V921" s="29"/>
      <c r="W921" s="29"/>
      <c r="X921" s="29"/>
      <c r="Y921" s="31"/>
      <c r="Z921" s="29"/>
      <c r="AA921" s="30"/>
      <c r="AB921" s="32"/>
      <c r="AC921" s="30"/>
      <c r="AD921" s="33"/>
      <c r="AE921" s="29"/>
      <c r="AF921" s="29"/>
      <c r="AG921" s="29"/>
    </row>
    <row r="922" spans="1:33" ht="15" customHeight="1" x14ac:dyDescent="0.25">
      <c r="A922" s="5">
        <v>43</v>
      </c>
      <c r="B922" s="38">
        <v>44125</v>
      </c>
      <c r="C922" s="38">
        <v>44111</v>
      </c>
      <c r="D922" s="38">
        <v>44104</v>
      </c>
      <c r="E922" s="34">
        <v>44125</v>
      </c>
      <c r="F922" s="5">
        <v>6721</v>
      </c>
      <c r="G922" s="5" t="s">
        <v>91</v>
      </c>
      <c r="H922" s="5" t="s">
        <v>43</v>
      </c>
      <c r="I922" s="5" t="s">
        <v>92</v>
      </c>
      <c r="J922" s="21" t="s">
        <v>191</v>
      </c>
      <c r="K922" s="21" t="s">
        <v>2182</v>
      </c>
      <c r="L922" s="6" t="s">
        <v>816</v>
      </c>
      <c r="M922" s="5">
        <v>2</v>
      </c>
      <c r="N922" s="5" t="s">
        <v>91</v>
      </c>
      <c r="O922" s="5" t="s">
        <v>91</v>
      </c>
      <c r="P922" s="5" t="s">
        <v>91</v>
      </c>
      <c r="Q922" s="6" t="s">
        <v>105</v>
      </c>
      <c r="R922" s="6" t="s">
        <v>194</v>
      </c>
      <c r="S922" s="6"/>
      <c r="T922" s="6"/>
      <c r="U922" s="5"/>
      <c r="V922" s="6"/>
      <c r="W922" s="6" t="s">
        <v>2183</v>
      </c>
      <c r="X922" s="6"/>
      <c r="Y922" s="22"/>
      <c r="Z922" s="6"/>
      <c r="AA922" s="21"/>
      <c r="AB922" s="23">
        <v>44075</v>
      </c>
      <c r="AC922" s="21" t="s">
        <v>30</v>
      </c>
      <c r="AD922" s="24" t="s">
        <v>2184</v>
      </c>
      <c r="AE922" s="6" t="s">
        <v>31</v>
      </c>
      <c r="AF922" s="6"/>
      <c r="AG922" s="6" t="s">
        <v>3041</v>
      </c>
    </row>
    <row r="923" spans="1:33" ht="15" customHeight="1" x14ac:dyDescent="0.25">
      <c r="A923" s="5">
        <v>43</v>
      </c>
      <c r="B923" s="38">
        <v>44125</v>
      </c>
      <c r="C923" s="38">
        <v>44111</v>
      </c>
      <c r="D923" s="38">
        <v>44104</v>
      </c>
      <c r="E923" s="34">
        <v>44125</v>
      </c>
      <c r="F923" s="5">
        <v>7797</v>
      </c>
      <c r="G923" s="5" t="s">
        <v>91</v>
      </c>
      <c r="H923" s="5" t="s">
        <v>43</v>
      </c>
      <c r="I923" s="5" t="s">
        <v>92</v>
      </c>
      <c r="J923" s="21" t="s">
        <v>214</v>
      </c>
      <c r="K923" s="21" t="s">
        <v>2198</v>
      </c>
      <c r="L923" s="6" t="s">
        <v>2199</v>
      </c>
      <c r="M923" s="5">
        <v>9</v>
      </c>
      <c r="N923" s="5" t="s">
        <v>91</v>
      </c>
      <c r="O923" s="5" t="s">
        <v>91</v>
      </c>
      <c r="P923" s="5" t="s">
        <v>91</v>
      </c>
      <c r="Q923" s="6" t="s">
        <v>96</v>
      </c>
      <c r="R923" s="6" t="s">
        <v>223</v>
      </c>
      <c r="S923" s="6"/>
      <c r="T923" s="6"/>
      <c r="U923" s="5"/>
      <c r="V923" s="6"/>
      <c r="W923" s="6" t="s">
        <v>2200</v>
      </c>
      <c r="X923" s="6">
        <v>276126519</v>
      </c>
      <c r="Y923" s="22"/>
      <c r="Z923" s="6">
        <v>3.25</v>
      </c>
      <c r="AA923" s="21" t="s">
        <v>2201</v>
      </c>
      <c r="AB923" s="23">
        <v>44112</v>
      </c>
      <c r="AC923" s="21" t="s">
        <v>30</v>
      </c>
      <c r="AD923" s="24" t="s">
        <v>2202</v>
      </c>
      <c r="AE923" s="6" t="s">
        <v>31</v>
      </c>
      <c r="AF923" s="6"/>
      <c r="AG923" s="6" t="s">
        <v>3041</v>
      </c>
    </row>
    <row r="924" spans="1:33" ht="7.5" customHeight="1" x14ac:dyDescent="0.25">
      <c r="A924" s="27"/>
      <c r="B924" s="39"/>
      <c r="C924" s="39"/>
      <c r="D924" s="39"/>
      <c r="E924" s="28"/>
      <c r="F924" s="27"/>
      <c r="G924" s="27"/>
      <c r="H924" s="27"/>
      <c r="I924" s="27"/>
      <c r="J924" s="30"/>
      <c r="K924" s="30"/>
      <c r="L924" s="29"/>
      <c r="M924" s="27"/>
      <c r="N924" s="27"/>
      <c r="O924" s="27"/>
      <c r="P924" s="27"/>
      <c r="Q924" s="29"/>
      <c r="R924" s="29"/>
      <c r="S924" s="29"/>
      <c r="T924" s="29"/>
      <c r="U924" s="27"/>
      <c r="V924" s="29"/>
      <c r="W924" s="29"/>
      <c r="X924" s="29"/>
      <c r="Y924" s="31"/>
      <c r="Z924" s="29"/>
      <c r="AA924" s="30"/>
      <c r="AB924" s="32"/>
      <c r="AC924" s="30"/>
      <c r="AD924" s="33"/>
      <c r="AE924" s="29"/>
      <c r="AF924" s="29"/>
      <c r="AG924" s="29"/>
    </row>
    <row r="925" spans="1:33" ht="15" customHeight="1" x14ac:dyDescent="0.25">
      <c r="A925" s="5">
        <v>42</v>
      </c>
      <c r="B925" s="38">
        <v>44120</v>
      </c>
      <c r="C925" s="38">
        <v>44111</v>
      </c>
      <c r="D925" s="38">
        <v>44092</v>
      </c>
      <c r="E925" s="37">
        <v>44120</v>
      </c>
      <c r="F925" s="5">
        <v>9697</v>
      </c>
      <c r="G925" s="5" t="s">
        <v>91</v>
      </c>
      <c r="H925" s="5" t="s">
        <v>40</v>
      </c>
      <c r="I925" s="5" t="s">
        <v>92</v>
      </c>
      <c r="J925" s="21" t="s">
        <v>159</v>
      </c>
      <c r="K925" s="21">
        <v>257990</v>
      </c>
      <c r="L925" s="6" t="s">
        <v>152</v>
      </c>
      <c r="M925" s="5">
        <v>5</v>
      </c>
      <c r="N925" s="5" t="s">
        <v>91</v>
      </c>
      <c r="O925" s="5" t="s">
        <v>91</v>
      </c>
      <c r="P925" s="5" t="s">
        <v>91</v>
      </c>
      <c r="Q925" s="6"/>
      <c r="R925" s="6" t="s">
        <v>163</v>
      </c>
      <c r="S925" s="6"/>
      <c r="T925" s="6"/>
      <c r="U925" s="5"/>
      <c r="V925" s="6" t="s">
        <v>164</v>
      </c>
      <c r="W925" s="6" t="s">
        <v>2085</v>
      </c>
      <c r="X925" s="6"/>
      <c r="Y925" s="22"/>
      <c r="Z925" s="6"/>
      <c r="AA925" s="21">
        <v>257990</v>
      </c>
      <c r="AB925" s="23">
        <v>44098</v>
      </c>
      <c r="AC925" s="21" t="s">
        <v>30</v>
      </c>
      <c r="AD925" s="24" t="s">
        <v>2086</v>
      </c>
      <c r="AE925" s="6" t="s">
        <v>36</v>
      </c>
      <c r="AF925" s="6"/>
      <c r="AG925" s="6" t="s">
        <v>3042</v>
      </c>
    </row>
    <row r="926" spans="1:33" ht="15" customHeight="1" x14ac:dyDescent="0.25">
      <c r="A926" s="5">
        <v>42</v>
      </c>
      <c r="B926" s="38">
        <v>44120</v>
      </c>
      <c r="C926" s="38">
        <v>44111</v>
      </c>
      <c r="D926" s="38">
        <v>44096</v>
      </c>
      <c r="E926" s="37">
        <v>44120</v>
      </c>
      <c r="F926" s="5">
        <v>9700</v>
      </c>
      <c r="G926" s="5" t="s">
        <v>91</v>
      </c>
      <c r="H926" s="5" t="s">
        <v>40</v>
      </c>
      <c r="I926" s="5" t="s">
        <v>92</v>
      </c>
      <c r="J926" s="21" t="s">
        <v>159</v>
      </c>
      <c r="K926" s="21">
        <v>258028</v>
      </c>
      <c r="L926" s="6" t="s">
        <v>152</v>
      </c>
      <c r="M926" s="5">
        <v>2</v>
      </c>
      <c r="N926" s="5" t="s">
        <v>91</v>
      </c>
      <c r="O926" s="5" t="s">
        <v>91</v>
      </c>
      <c r="P926" s="5" t="s">
        <v>91</v>
      </c>
      <c r="Q926" s="6"/>
      <c r="R926" s="6" t="s">
        <v>163</v>
      </c>
      <c r="S926" s="6"/>
      <c r="T926" s="6"/>
      <c r="U926" s="5"/>
      <c r="V926" s="6" t="s">
        <v>164</v>
      </c>
      <c r="W926" s="6" t="s">
        <v>1732</v>
      </c>
      <c r="X926" s="6"/>
      <c r="Y926" s="22"/>
      <c r="Z926" s="6"/>
      <c r="AA926" s="21">
        <v>258028</v>
      </c>
      <c r="AB926" s="23">
        <v>44102</v>
      </c>
      <c r="AC926" s="21" t="s">
        <v>39</v>
      </c>
      <c r="AD926" s="24" t="s">
        <v>2087</v>
      </c>
      <c r="AE926" s="6" t="s">
        <v>38</v>
      </c>
      <c r="AF926" s="6"/>
      <c r="AG926" s="6" t="s">
        <v>3039</v>
      </c>
    </row>
    <row r="927" spans="1:33" ht="15" customHeight="1" x14ac:dyDescent="0.25">
      <c r="A927" s="5">
        <v>42</v>
      </c>
      <c r="B927" s="38">
        <v>44120</v>
      </c>
      <c r="C927" s="38">
        <v>44111</v>
      </c>
      <c r="D927" s="38">
        <v>44095</v>
      </c>
      <c r="E927" s="37">
        <v>44120</v>
      </c>
      <c r="F927" s="5">
        <v>9699</v>
      </c>
      <c r="G927" s="5" t="s">
        <v>91</v>
      </c>
      <c r="H927" s="5" t="s">
        <v>40</v>
      </c>
      <c r="I927" s="5" t="s">
        <v>92</v>
      </c>
      <c r="J927" s="21" t="s">
        <v>159</v>
      </c>
      <c r="K927" s="21">
        <v>257019</v>
      </c>
      <c r="L927" s="6" t="s">
        <v>152</v>
      </c>
      <c r="M927" s="5">
        <v>2</v>
      </c>
      <c r="N927" s="5" t="s">
        <v>91</v>
      </c>
      <c r="O927" s="5" t="s">
        <v>91</v>
      </c>
      <c r="P927" s="5" t="s">
        <v>91</v>
      </c>
      <c r="Q927" s="6" t="s">
        <v>105</v>
      </c>
      <c r="R927" s="6" t="s">
        <v>163</v>
      </c>
      <c r="S927" s="6"/>
      <c r="T927" s="6"/>
      <c r="U927" s="5"/>
      <c r="V927" s="6" t="s">
        <v>164</v>
      </c>
      <c r="W927" s="6" t="s">
        <v>772</v>
      </c>
      <c r="X927" s="6"/>
      <c r="Y927" s="22"/>
      <c r="Z927" s="6"/>
      <c r="AA927" s="21">
        <v>257019</v>
      </c>
      <c r="AB927" s="23">
        <v>44099</v>
      </c>
      <c r="AC927" s="21" t="s">
        <v>30</v>
      </c>
      <c r="AD927" s="24" t="s">
        <v>2088</v>
      </c>
      <c r="AE927" s="6" t="s">
        <v>31</v>
      </c>
      <c r="AF927" s="6"/>
      <c r="AG927" s="6" t="s">
        <v>3040</v>
      </c>
    </row>
    <row r="928" spans="1:33" ht="15" customHeight="1" x14ac:dyDescent="0.25">
      <c r="A928" s="5">
        <v>42</v>
      </c>
      <c r="B928" s="38">
        <v>44120</v>
      </c>
      <c r="C928" s="38">
        <v>44111</v>
      </c>
      <c r="D928" s="38">
        <v>44096</v>
      </c>
      <c r="E928" s="37">
        <v>44120</v>
      </c>
      <c r="F928" s="5">
        <v>9701</v>
      </c>
      <c r="G928" s="5" t="s">
        <v>91</v>
      </c>
      <c r="H928" s="5" t="s">
        <v>40</v>
      </c>
      <c r="I928" s="5" t="s">
        <v>92</v>
      </c>
      <c r="J928" s="21" t="s">
        <v>159</v>
      </c>
      <c r="K928" s="21">
        <v>258026</v>
      </c>
      <c r="L928" s="6" t="s">
        <v>152</v>
      </c>
      <c r="M928" s="5">
        <v>1</v>
      </c>
      <c r="N928" s="5" t="s">
        <v>91</v>
      </c>
      <c r="O928" s="5" t="s">
        <v>91</v>
      </c>
      <c r="P928" s="5" t="s">
        <v>91</v>
      </c>
      <c r="Q928" s="6" t="s">
        <v>105</v>
      </c>
      <c r="R928" s="6" t="s">
        <v>163</v>
      </c>
      <c r="S928" s="6"/>
      <c r="T928" s="6"/>
      <c r="U928" s="5"/>
      <c r="V928" s="6" t="s">
        <v>167</v>
      </c>
      <c r="W928" s="6" t="s">
        <v>2089</v>
      </c>
      <c r="X928" s="6"/>
      <c r="Y928" s="22"/>
      <c r="Z928" s="6"/>
      <c r="AA928" s="21">
        <v>258026</v>
      </c>
      <c r="AB928" s="23">
        <v>44102</v>
      </c>
      <c r="AC928" s="21" t="s">
        <v>30</v>
      </c>
      <c r="AD928" s="24" t="s">
        <v>2090</v>
      </c>
      <c r="AE928" s="6" t="s">
        <v>37</v>
      </c>
      <c r="AF928" s="6"/>
      <c r="AG928" s="6" t="s">
        <v>3041</v>
      </c>
    </row>
    <row r="929" spans="1:33" ht="7.5" customHeight="1" x14ac:dyDescent="0.25">
      <c r="A929" s="27"/>
      <c r="B929" s="39"/>
      <c r="C929" s="39"/>
      <c r="D929" s="39"/>
      <c r="E929" s="28"/>
      <c r="F929" s="27"/>
      <c r="G929" s="27"/>
      <c r="H929" s="27"/>
      <c r="I929" s="27"/>
      <c r="J929" s="30"/>
      <c r="K929" s="30"/>
      <c r="L929" s="29"/>
      <c r="M929" s="27"/>
      <c r="N929" s="27"/>
      <c r="O929" s="27"/>
      <c r="P929" s="27"/>
      <c r="Q929" s="29"/>
      <c r="R929" s="29"/>
      <c r="S929" s="29"/>
      <c r="T929" s="29"/>
      <c r="U929" s="27"/>
      <c r="V929" s="29"/>
      <c r="W929" s="29"/>
      <c r="X929" s="29"/>
      <c r="Y929" s="31"/>
      <c r="Z929" s="29"/>
      <c r="AA929" s="30"/>
      <c r="AB929" s="32"/>
      <c r="AC929" s="30"/>
      <c r="AD929" s="33"/>
      <c r="AE929" s="29"/>
      <c r="AF929" s="29"/>
      <c r="AG929" s="29"/>
    </row>
    <row r="930" spans="1:33" ht="15" customHeight="1" x14ac:dyDescent="0.25">
      <c r="A930" s="5">
        <v>39</v>
      </c>
      <c r="B930" s="38">
        <v>44096</v>
      </c>
      <c r="C930" s="38">
        <v>44112</v>
      </c>
      <c r="D930" s="38">
        <v>44117</v>
      </c>
      <c r="E930" s="35" t="s">
        <v>442</v>
      </c>
      <c r="F930" s="5">
        <v>3071</v>
      </c>
      <c r="G930" s="5" t="s">
        <v>91</v>
      </c>
      <c r="H930" s="5" t="s">
        <v>41</v>
      </c>
      <c r="I930" s="5" t="s">
        <v>92</v>
      </c>
      <c r="J930" s="21" t="s">
        <v>93</v>
      </c>
      <c r="K930" s="21" t="s">
        <v>305</v>
      </c>
      <c r="L930" s="6" t="s">
        <v>306</v>
      </c>
      <c r="M930" s="5">
        <v>15</v>
      </c>
      <c r="N930" s="5" t="s">
        <v>91</v>
      </c>
      <c r="O930" s="5" t="s">
        <v>91</v>
      </c>
      <c r="P930" s="5" t="s">
        <v>91</v>
      </c>
      <c r="Q930" s="6"/>
      <c r="R930" s="6" t="s">
        <v>97</v>
      </c>
      <c r="S930" s="6" t="s">
        <v>265</v>
      </c>
      <c r="T930" s="6"/>
      <c r="U930" s="5"/>
      <c r="V930" s="6" t="s">
        <v>307</v>
      </c>
      <c r="W930" s="6" t="s">
        <v>308</v>
      </c>
      <c r="X930" s="6" t="s">
        <v>309</v>
      </c>
      <c r="Y930" s="22"/>
      <c r="Z930" s="6"/>
      <c r="AA930" s="21">
        <v>10172</v>
      </c>
      <c r="AB930" s="23">
        <v>44074</v>
      </c>
      <c r="AC930" s="21" t="s">
        <v>30</v>
      </c>
      <c r="AD930" s="24" t="s">
        <v>310</v>
      </c>
      <c r="AE930" s="6" t="s">
        <v>31</v>
      </c>
      <c r="AF930" s="6"/>
      <c r="AG930" s="6" t="s">
        <v>3042</v>
      </c>
    </row>
    <row r="931" spans="1:33" s="6" customFormat="1" ht="7.5" customHeight="1" x14ac:dyDescent="0.25">
      <c r="A931" s="27"/>
      <c r="B931" s="39"/>
      <c r="C931" s="39"/>
      <c r="D931" s="39"/>
      <c r="E931" s="28"/>
      <c r="F931" s="27"/>
      <c r="G931" s="27"/>
      <c r="H931" s="27"/>
      <c r="I931" s="27"/>
      <c r="J931" s="30"/>
      <c r="K931" s="30"/>
      <c r="L931" s="29"/>
      <c r="M931" s="27"/>
      <c r="N931" s="27"/>
      <c r="O931" s="27"/>
      <c r="P931" s="27"/>
      <c r="Q931" s="29"/>
      <c r="R931" s="29"/>
      <c r="S931" s="29"/>
      <c r="T931" s="29"/>
      <c r="U931" s="27"/>
      <c r="V931" s="29"/>
      <c r="W931" s="29"/>
      <c r="X931" s="29"/>
      <c r="Y931" s="31"/>
      <c r="Z931" s="29"/>
      <c r="AA931" s="30"/>
      <c r="AB931" s="32"/>
      <c r="AC931" s="30"/>
      <c r="AD931" s="33"/>
      <c r="AE931" s="29"/>
      <c r="AF931" s="29"/>
      <c r="AG931" s="29"/>
    </row>
    <row r="932" spans="1:33" ht="15" customHeight="1" x14ac:dyDescent="0.25">
      <c r="A932" s="5">
        <v>43</v>
      </c>
      <c r="B932" s="38">
        <v>44123</v>
      </c>
      <c r="C932" s="38">
        <v>44112</v>
      </c>
      <c r="D932" s="38">
        <v>44099</v>
      </c>
      <c r="E932" s="34">
        <v>44123</v>
      </c>
      <c r="F932" s="5">
        <v>3099</v>
      </c>
      <c r="G932" s="5" t="s">
        <v>91</v>
      </c>
      <c r="H932" s="5" t="s">
        <v>41</v>
      </c>
      <c r="I932" s="5" t="s">
        <v>92</v>
      </c>
      <c r="J932" s="21" t="s">
        <v>93</v>
      </c>
      <c r="K932" s="21" t="s">
        <v>2094</v>
      </c>
      <c r="L932" s="6" t="s">
        <v>95</v>
      </c>
      <c r="M932" s="5">
        <v>1</v>
      </c>
      <c r="N932" s="5" t="s">
        <v>91</v>
      </c>
      <c r="O932" s="5" t="s">
        <v>91</v>
      </c>
      <c r="P932" s="5" t="s">
        <v>91</v>
      </c>
      <c r="Q932" s="6" t="s">
        <v>105</v>
      </c>
      <c r="R932" s="6" t="s">
        <v>747</v>
      </c>
      <c r="S932" s="6" t="s">
        <v>155</v>
      </c>
      <c r="T932" s="6"/>
      <c r="U932" s="5"/>
      <c r="V932" s="6"/>
      <c r="W932" s="6" t="s">
        <v>1685</v>
      </c>
      <c r="X932" s="6" t="s">
        <v>1686</v>
      </c>
      <c r="Y932" s="22"/>
      <c r="Z932" s="6"/>
      <c r="AA932" s="21">
        <v>10205</v>
      </c>
      <c r="AB932" s="23">
        <v>44098</v>
      </c>
      <c r="AC932" s="21" t="s">
        <v>32</v>
      </c>
      <c r="AD932" s="24" t="s">
        <v>2095</v>
      </c>
      <c r="AE932" s="6" t="s">
        <v>31</v>
      </c>
      <c r="AF932" s="6"/>
      <c r="AG932" s="6" t="s">
        <v>3039</v>
      </c>
    </row>
    <row r="933" spans="1:33" ht="15" customHeight="1" x14ac:dyDescent="0.25">
      <c r="A933" s="5">
        <v>43</v>
      </c>
      <c r="B933" s="38">
        <v>44123</v>
      </c>
      <c r="C933" s="38">
        <v>44112</v>
      </c>
      <c r="D933" s="38">
        <v>44102</v>
      </c>
      <c r="E933" s="34">
        <v>44123</v>
      </c>
      <c r="F933" s="5">
        <v>3101</v>
      </c>
      <c r="G933" s="5" t="s">
        <v>91</v>
      </c>
      <c r="H933" s="5" t="s">
        <v>41</v>
      </c>
      <c r="I933" s="5" t="s">
        <v>92</v>
      </c>
      <c r="J933" s="21" t="s">
        <v>93</v>
      </c>
      <c r="K933" s="21" t="s">
        <v>2100</v>
      </c>
      <c r="L933" s="6" t="s">
        <v>2101</v>
      </c>
      <c r="M933" s="5">
        <v>7</v>
      </c>
      <c r="N933" s="5" t="s">
        <v>91</v>
      </c>
      <c r="O933" s="5" t="s">
        <v>91</v>
      </c>
      <c r="P933" s="5" t="s">
        <v>91</v>
      </c>
      <c r="Q933" s="6" t="s">
        <v>105</v>
      </c>
      <c r="R933" s="6" t="s">
        <v>97</v>
      </c>
      <c r="S933" s="6" t="s">
        <v>265</v>
      </c>
      <c r="T933" s="6"/>
      <c r="U933" s="5"/>
      <c r="V933" s="6"/>
      <c r="W933" s="6" t="s">
        <v>2102</v>
      </c>
      <c r="X933" s="6" t="s">
        <v>2103</v>
      </c>
      <c r="Y933" s="22"/>
      <c r="Z933" s="6"/>
      <c r="AA933" s="21">
        <v>10182</v>
      </c>
      <c r="AB933" s="23">
        <v>44099</v>
      </c>
      <c r="AC933" s="21" t="s">
        <v>32</v>
      </c>
      <c r="AD933" s="24" t="s">
        <v>2104</v>
      </c>
      <c r="AE933" s="6" t="s">
        <v>36</v>
      </c>
      <c r="AF933" s="6"/>
      <c r="AG933" s="6" t="s">
        <v>3041</v>
      </c>
    </row>
    <row r="934" spans="1:33" ht="7.5" customHeight="1" x14ac:dyDescent="0.25">
      <c r="A934" s="27"/>
      <c r="B934" s="39"/>
      <c r="C934" s="39"/>
      <c r="D934" s="39"/>
      <c r="E934" s="28"/>
      <c r="F934" s="27"/>
      <c r="G934" s="27"/>
      <c r="H934" s="27"/>
      <c r="I934" s="27"/>
      <c r="J934" s="30"/>
      <c r="K934" s="30"/>
      <c r="L934" s="29"/>
      <c r="M934" s="27"/>
      <c r="N934" s="27"/>
      <c r="O934" s="27"/>
      <c r="P934" s="27"/>
      <c r="Q934" s="29"/>
      <c r="R934" s="29"/>
      <c r="S934" s="29"/>
      <c r="T934" s="29"/>
      <c r="U934" s="27"/>
      <c r="V934" s="29"/>
      <c r="W934" s="29"/>
      <c r="X934" s="29"/>
      <c r="Y934" s="31"/>
      <c r="Z934" s="29"/>
      <c r="AA934" s="30"/>
      <c r="AB934" s="32"/>
      <c r="AC934" s="30"/>
      <c r="AD934" s="33"/>
      <c r="AE934" s="29"/>
      <c r="AF934" s="29"/>
      <c r="AG934" s="29"/>
    </row>
    <row r="935" spans="1:33" ht="15" customHeight="1" x14ac:dyDescent="0.25">
      <c r="A935" s="5">
        <v>43</v>
      </c>
      <c r="B935" s="38">
        <v>44126</v>
      </c>
      <c r="C935" s="38">
        <v>44112</v>
      </c>
      <c r="D935" s="38">
        <v>44105</v>
      </c>
      <c r="E935" s="34">
        <v>44126</v>
      </c>
      <c r="F935" s="5">
        <v>3115</v>
      </c>
      <c r="G935" s="5" t="s">
        <v>91</v>
      </c>
      <c r="H935" s="5" t="s">
        <v>41</v>
      </c>
      <c r="I935" s="5" t="s">
        <v>92</v>
      </c>
      <c r="J935" s="21" t="s">
        <v>93</v>
      </c>
      <c r="K935" s="21" t="s">
        <v>1700</v>
      </c>
      <c r="L935" s="6" t="s">
        <v>95</v>
      </c>
      <c r="M935" s="5">
        <v>0</v>
      </c>
      <c r="N935" s="5" t="s">
        <v>91</v>
      </c>
      <c r="O935" s="5" t="s">
        <v>91</v>
      </c>
      <c r="P935" s="5" t="s">
        <v>91</v>
      </c>
      <c r="Q935" s="6" t="s">
        <v>105</v>
      </c>
      <c r="R935" s="6" t="s">
        <v>106</v>
      </c>
      <c r="S935" s="6"/>
      <c r="T935" s="6"/>
      <c r="U935" s="5"/>
      <c r="V935" s="6" t="s">
        <v>831</v>
      </c>
      <c r="W935" s="6" t="s">
        <v>106</v>
      </c>
      <c r="X935" s="6"/>
      <c r="Y935" s="22"/>
      <c r="Z935" s="6"/>
      <c r="AA935" s="21">
        <v>10198</v>
      </c>
      <c r="AB935" s="23">
        <v>44116</v>
      </c>
      <c r="AC935" s="21" t="s">
        <v>33</v>
      </c>
      <c r="AD935" s="24" t="s">
        <v>2214</v>
      </c>
      <c r="AE935" s="6" t="s">
        <v>31</v>
      </c>
      <c r="AF935" s="6"/>
      <c r="AG935" s="6" t="s">
        <v>3040</v>
      </c>
    </row>
    <row r="936" spans="1:33" ht="7.5" customHeight="1" x14ac:dyDescent="0.25">
      <c r="A936" s="27"/>
      <c r="B936" s="39"/>
      <c r="C936" s="39"/>
      <c r="D936" s="39"/>
      <c r="E936" s="28"/>
      <c r="F936" s="27"/>
      <c r="G936" s="27"/>
      <c r="H936" s="27"/>
      <c r="I936" s="27"/>
      <c r="J936" s="30"/>
      <c r="K936" s="30"/>
      <c r="L936" s="29"/>
      <c r="M936" s="27"/>
      <c r="N936" s="27"/>
      <c r="O936" s="27"/>
      <c r="P936" s="27"/>
      <c r="Q936" s="29"/>
      <c r="R936" s="29"/>
      <c r="S936" s="29"/>
      <c r="T936" s="29"/>
      <c r="U936" s="27"/>
      <c r="V936" s="29"/>
      <c r="W936" s="29"/>
      <c r="X936" s="29"/>
      <c r="Y936" s="31"/>
      <c r="Z936" s="29"/>
      <c r="AA936" s="30"/>
      <c r="AB936" s="32"/>
      <c r="AC936" s="30"/>
      <c r="AD936" s="33"/>
      <c r="AE936" s="29"/>
      <c r="AF936" s="29"/>
      <c r="AG936" s="29"/>
    </row>
    <row r="937" spans="1:33" ht="15" customHeight="1" x14ac:dyDescent="0.25">
      <c r="A937" s="5">
        <v>44</v>
      </c>
      <c r="B937" s="38">
        <v>44133</v>
      </c>
      <c r="C937" s="38">
        <v>44112</v>
      </c>
      <c r="D937" s="38">
        <v>44105</v>
      </c>
      <c r="E937" s="35">
        <v>44133</v>
      </c>
      <c r="F937" s="5">
        <v>3111</v>
      </c>
      <c r="G937" s="5" t="s">
        <v>91</v>
      </c>
      <c r="H937" s="5" t="s">
        <v>41</v>
      </c>
      <c r="I937" s="5" t="s">
        <v>92</v>
      </c>
      <c r="J937" s="21" t="s">
        <v>93</v>
      </c>
      <c r="K937" s="21" t="s">
        <v>2323</v>
      </c>
      <c r="L937" s="6" t="s">
        <v>2324</v>
      </c>
      <c r="M937" s="5">
        <v>16</v>
      </c>
      <c r="N937" s="5" t="s">
        <v>91</v>
      </c>
      <c r="O937" s="5" t="s">
        <v>91</v>
      </c>
      <c r="P937" s="5" t="s">
        <v>91</v>
      </c>
      <c r="Q937" s="6" t="s">
        <v>105</v>
      </c>
      <c r="R937" s="6" t="s">
        <v>2325</v>
      </c>
      <c r="S937" s="6" t="s">
        <v>516</v>
      </c>
      <c r="T937" s="6"/>
      <c r="U937" s="5"/>
      <c r="V937" s="6"/>
      <c r="W937" s="6" t="s">
        <v>2326</v>
      </c>
      <c r="X937" s="6" t="s">
        <v>2327</v>
      </c>
      <c r="Y937" s="22"/>
      <c r="Z937" s="6"/>
      <c r="AA937" s="21">
        <v>10194</v>
      </c>
      <c r="AB937" s="23">
        <v>44111</v>
      </c>
      <c r="AC937" s="21" t="s">
        <v>33</v>
      </c>
      <c r="AD937" s="24" t="s">
        <v>2328</v>
      </c>
      <c r="AE937" s="6" t="s">
        <v>34</v>
      </c>
      <c r="AF937" s="6"/>
      <c r="AG937" s="6" t="s">
        <v>3039</v>
      </c>
    </row>
    <row r="938" spans="1:33" ht="7.5" customHeight="1" x14ac:dyDescent="0.25">
      <c r="A938" s="27"/>
      <c r="B938" s="39"/>
      <c r="C938" s="39"/>
      <c r="D938" s="39"/>
      <c r="E938" s="28"/>
      <c r="F938" s="27"/>
      <c r="G938" s="27"/>
      <c r="H938" s="27"/>
      <c r="I938" s="27"/>
      <c r="J938" s="30"/>
      <c r="K938" s="30"/>
      <c r="L938" s="29"/>
      <c r="M938" s="27"/>
      <c r="N938" s="27"/>
      <c r="O938" s="27"/>
      <c r="P938" s="27"/>
      <c r="Q938" s="29"/>
      <c r="R938" s="29"/>
      <c r="S938" s="29"/>
      <c r="T938" s="29"/>
      <c r="U938" s="27"/>
      <c r="V938" s="29"/>
      <c r="W938" s="29"/>
      <c r="X938" s="29"/>
      <c r="Y938" s="31"/>
      <c r="Z938" s="29"/>
      <c r="AA938" s="30"/>
      <c r="AB938" s="32"/>
      <c r="AC938" s="30"/>
      <c r="AD938" s="33"/>
      <c r="AE938" s="29"/>
      <c r="AF938" s="29"/>
      <c r="AG938" s="29"/>
    </row>
    <row r="939" spans="1:33" ht="15" customHeight="1" x14ac:dyDescent="0.25">
      <c r="A939" s="5">
        <v>39</v>
      </c>
      <c r="B939" s="38">
        <v>44096</v>
      </c>
      <c r="C939" s="38">
        <v>44112</v>
      </c>
      <c r="D939" s="38">
        <v>44117</v>
      </c>
      <c r="E939" s="35" t="s">
        <v>442</v>
      </c>
      <c r="F939" s="5">
        <v>4829</v>
      </c>
      <c r="G939" s="5" t="s">
        <v>91</v>
      </c>
      <c r="H939" s="5" t="s">
        <v>43</v>
      </c>
      <c r="I939" s="5" t="s">
        <v>92</v>
      </c>
      <c r="J939" s="21" t="s">
        <v>109</v>
      </c>
      <c r="K939" s="21" t="s">
        <v>320</v>
      </c>
      <c r="L939" s="6" t="s">
        <v>321</v>
      </c>
      <c r="M939" s="5">
        <v>11</v>
      </c>
      <c r="N939" s="5" t="s">
        <v>91</v>
      </c>
      <c r="O939" s="5" t="s">
        <v>91</v>
      </c>
      <c r="P939" s="5" t="s">
        <v>91</v>
      </c>
      <c r="Q939" s="6"/>
      <c r="R939" s="6" t="s">
        <v>112</v>
      </c>
      <c r="S939" s="6"/>
      <c r="T939" s="6"/>
      <c r="U939" s="5"/>
      <c r="V939" s="6"/>
      <c r="W939" s="6" t="s">
        <v>322</v>
      </c>
      <c r="X939" s="6"/>
      <c r="Y939" s="22"/>
      <c r="Z939" s="6">
        <v>6.2</v>
      </c>
      <c r="AA939" s="21">
        <v>15257</v>
      </c>
      <c r="AB939" s="23">
        <v>44064</v>
      </c>
      <c r="AC939" s="21" t="s">
        <v>30</v>
      </c>
      <c r="AD939" s="24" t="s">
        <v>323</v>
      </c>
      <c r="AE939" s="6" t="s">
        <v>31</v>
      </c>
      <c r="AF939" s="6"/>
      <c r="AG939" s="6" t="s">
        <v>3041</v>
      </c>
    </row>
    <row r="940" spans="1:33" ht="7.5" customHeight="1" x14ac:dyDescent="0.25">
      <c r="A940" s="27"/>
      <c r="B940" s="39"/>
      <c r="C940" s="39"/>
      <c r="D940" s="39"/>
      <c r="E940" s="28"/>
      <c r="F940" s="27"/>
      <c r="G940" s="27"/>
      <c r="H940" s="27"/>
      <c r="I940" s="27"/>
      <c r="J940" s="30"/>
      <c r="K940" s="30"/>
      <c r="L940" s="29"/>
      <c r="M940" s="27"/>
      <c r="N940" s="27"/>
      <c r="O940" s="27"/>
      <c r="P940" s="27"/>
      <c r="Q940" s="29"/>
      <c r="R940" s="29"/>
      <c r="S940" s="29"/>
      <c r="T940" s="29"/>
      <c r="U940" s="27"/>
      <c r="V940" s="29"/>
      <c r="W940" s="29"/>
      <c r="X940" s="29"/>
      <c r="Y940" s="31"/>
      <c r="Z940" s="29"/>
      <c r="AA940" s="30"/>
      <c r="AB940" s="32"/>
      <c r="AC940" s="30"/>
      <c r="AD940" s="33"/>
      <c r="AE940" s="29"/>
      <c r="AF940" s="29"/>
      <c r="AG940" s="29"/>
    </row>
    <row r="941" spans="1:33" ht="15" customHeight="1" x14ac:dyDescent="0.25">
      <c r="A941" s="5">
        <v>43</v>
      </c>
      <c r="B941" s="38">
        <v>44123</v>
      </c>
      <c r="C941" s="38">
        <v>44112</v>
      </c>
      <c r="D941" s="38">
        <v>44097</v>
      </c>
      <c r="E941" s="34">
        <v>44123</v>
      </c>
      <c r="F941" s="5">
        <v>7791</v>
      </c>
      <c r="G941" s="5" t="s">
        <v>91</v>
      </c>
      <c r="H941" s="5" t="s">
        <v>41</v>
      </c>
      <c r="I941" s="5" t="s">
        <v>92</v>
      </c>
      <c r="J941" s="21" t="s">
        <v>214</v>
      </c>
      <c r="K941" s="21" t="s">
        <v>2121</v>
      </c>
      <c r="L941" s="6" t="s">
        <v>2122</v>
      </c>
      <c r="M941" s="5">
        <v>12</v>
      </c>
      <c r="N941" s="5" t="s">
        <v>91</v>
      </c>
      <c r="O941" s="5" t="s">
        <v>91</v>
      </c>
      <c r="P941" s="5" t="s">
        <v>91</v>
      </c>
      <c r="Q941" s="6" t="s">
        <v>105</v>
      </c>
      <c r="R941" s="6" t="s">
        <v>223</v>
      </c>
      <c r="S941" s="6"/>
      <c r="T941" s="6"/>
      <c r="U941" s="5"/>
      <c r="V941" s="6"/>
      <c r="W941" s="6" t="s">
        <v>224</v>
      </c>
      <c r="X941" s="6"/>
      <c r="Y941" s="22"/>
      <c r="Z941" s="6">
        <v>3.54</v>
      </c>
      <c r="AA941" s="21" t="s">
        <v>2123</v>
      </c>
      <c r="AB941" s="23">
        <v>44099</v>
      </c>
      <c r="AC941" s="21" t="s">
        <v>30</v>
      </c>
      <c r="AD941" s="24" t="s">
        <v>2124</v>
      </c>
      <c r="AE941" s="6" t="s">
        <v>35</v>
      </c>
      <c r="AF941" s="6"/>
      <c r="AG941" s="6" t="s">
        <v>3040</v>
      </c>
    </row>
    <row r="942" spans="1:33" ht="15" customHeight="1" x14ac:dyDescent="0.25">
      <c r="A942" s="5">
        <v>43</v>
      </c>
      <c r="B942" s="38">
        <v>44123</v>
      </c>
      <c r="C942" s="38">
        <v>44112</v>
      </c>
      <c r="D942" s="38">
        <v>44103</v>
      </c>
      <c r="E942" s="34">
        <v>44123</v>
      </c>
      <c r="F942" s="5">
        <v>8765</v>
      </c>
      <c r="G942" s="5" t="s">
        <v>91</v>
      </c>
      <c r="H942" s="5" t="s">
        <v>41</v>
      </c>
      <c r="I942" s="5" t="s">
        <v>92</v>
      </c>
      <c r="J942" s="21" t="s">
        <v>147</v>
      </c>
      <c r="K942" s="21" t="s">
        <v>2136</v>
      </c>
      <c r="L942" s="6" t="s">
        <v>2137</v>
      </c>
      <c r="M942" s="5">
        <v>17</v>
      </c>
      <c r="N942" s="5" t="s">
        <v>91</v>
      </c>
      <c r="O942" s="5" t="s">
        <v>91</v>
      </c>
      <c r="P942" s="5" t="s">
        <v>91</v>
      </c>
      <c r="Q942" s="6"/>
      <c r="R942" s="6" t="s">
        <v>2138</v>
      </c>
      <c r="S942" s="6" t="s">
        <v>2139</v>
      </c>
      <c r="T942" s="6" t="s">
        <v>2140</v>
      </c>
      <c r="U942" s="5"/>
      <c r="V942" s="6"/>
      <c r="W942" s="6" t="s">
        <v>2141</v>
      </c>
      <c r="X942" s="6"/>
      <c r="Y942" s="22"/>
      <c r="Z942" s="6"/>
      <c r="AA942" s="21"/>
      <c r="AB942" s="23">
        <v>44082</v>
      </c>
      <c r="AC942" s="21" t="s">
        <v>32</v>
      </c>
      <c r="AD942" s="24" t="s">
        <v>2142</v>
      </c>
      <c r="AE942" s="6" t="s">
        <v>31</v>
      </c>
      <c r="AF942" s="6"/>
      <c r="AG942" s="6" t="s">
        <v>3039</v>
      </c>
    </row>
    <row r="943" spans="1:33" ht="7.5" customHeight="1" x14ac:dyDescent="0.25">
      <c r="A943" s="27"/>
      <c r="B943" s="39"/>
      <c r="C943" s="39"/>
      <c r="D943" s="39"/>
      <c r="E943" s="28"/>
      <c r="F943" s="27"/>
      <c r="G943" s="27"/>
      <c r="H943" s="27"/>
      <c r="I943" s="27"/>
      <c r="J943" s="30"/>
      <c r="K943" s="30"/>
      <c r="L943" s="29"/>
      <c r="M943" s="27"/>
      <c r="N943" s="27"/>
      <c r="O943" s="27"/>
      <c r="P943" s="27"/>
      <c r="Q943" s="29"/>
      <c r="R943" s="29"/>
      <c r="S943" s="29"/>
      <c r="T943" s="29"/>
      <c r="U943" s="27"/>
      <c r="V943" s="29"/>
      <c r="W943" s="29"/>
      <c r="X943" s="29"/>
      <c r="Y943" s="31"/>
      <c r="Z943" s="29"/>
      <c r="AA943" s="30"/>
      <c r="AB943" s="32"/>
      <c r="AC943" s="30"/>
      <c r="AD943" s="33"/>
      <c r="AE943" s="29"/>
      <c r="AF943" s="29"/>
      <c r="AG943" s="29"/>
    </row>
    <row r="944" spans="1:33" ht="15" customHeight="1" x14ac:dyDescent="0.25">
      <c r="A944" s="5">
        <v>40</v>
      </c>
      <c r="B944" s="38">
        <v>44104</v>
      </c>
      <c r="C944" s="38">
        <v>44113</v>
      </c>
      <c r="D944" s="38">
        <v>44127</v>
      </c>
      <c r="E944" s="36" t="s">
        <v>442</v>
      </c>
      <c r="F944" s="5">
        <v>2384</v>
      </c>
      <c r="G944" s="5" t="s">
        <v>91</v>
      </c>
      <c r="H944" s="5" t="s">
        <v>43</v>
      </c>
      <c r="I944" s="5" t="s">
        <v>92</v>
      </c>
      <c r="J944" s="21" t="s">
        <v>231</v>
      </c>
      <c r="K944" s="21" t="s">
        <v>242</v>
      </c>
      <c r="L944" s="6" t="s">
        <v>243</v>
      </c>
      <c r="M944" s="5">
        <v>20</v>
      </c>
      <c r="N944" s="5" t="s">
        <v>91</v>
      </c>
      <c r="O944" s="5" t="s">
        <v>91</v>
      </c>
      <c r="P944" s="5" t="s">
        <v>91</v>
      </c>
      <c r="Q944" s="6"/>
      <c r="R944" s="6" t="s">
        <v>112</v>
      </c>
      <c r="S944" s="6" t="s">
        <v>244</v>
      </c>
      <c r="T944" s="6" t="s">
        <v>245</v>
      </c>
      <c r="U944" s="5"/>
      <c r="V944" s="6"/>
      <c r="W944" s="6" t="s">
        <v>246</v>
      </c>
      <c r="X944" s="6" t="s">
        <v>235</v>
      </c>
      <c r="Y944" s="22"/>
      <c r="Z944" s="6"/>
      <c r="AA944" s="21" t="s">
        <v>247</v>
      </c>
      <c r="AB944" s="23">
        <v>44039</v>
      </c>
      <c r="AC944" s="21" t="s">
        <v>32</v>
      </c>
      <c r="AD944" s="24" t="s">
        <v>248</v>
      </c>
      <c r="AE944" s="6" t="s">
        <v>37</v>
      </c>
      <c r="AF944" s="6"/>
      <c r="AG944" s="6" t="s">
        <v>3040</v>
      </c>
    </row>
    <row r="945" spans="1:33" ht="7.5" customHeight="1" x14ac:dyDescent="0.25">
      <c r="A945" s="27"/>
      <c r="B945" s="39"/>
      <c r="C945" s="39"/>
      <c r="D945" s="39"/>
      <c r="E945" s="28"/>
      <c r="F945" s="27"/>
      <c r="G945" s="27"/>
      <c r="H945" s="27"/>
      <c r="I945" s="27"/>
      <c r="J945" s="30"/>
      <c r="K945" s="30"/>
      <c r="L945" s="29"/>
      <c r="M945" s="27"/>
      <c r="N945" s="27"/>
      <c r="O945" s="27"/>
      <c r="P945" s="27"/>
      <c r="Q945" s="29"/>
      <c r="R945" s="29"/>
      <c r="S945" s="29"/>
      <c r="T945" s="29"/>
      <c r="U945" s="27"/>
      <c r="V945" s="29"/>
      <c r="W945" s="29"/>
      <c r="X945" s="29"/>
      <c r="Y945" s="31"/>
      <c r="Z945" s="29"/>
      <c r="AA945" s="30"/>
      <c r="AB945" s="32"/>
      <c r="AC945" s="30"/>
      <c r="AD945" s="33"/>
      <c r="AE945" s="29"/>
      <c r="AF945" s="29"/>
      <c r="AG945" s="29"/>
    </row>
    <row r="946" spans="1:33" ht="15" customHeight="1" x14ac:dyDescent="0.25">
      <c r="A946" s="5">
        <v>43</v>
      </c>
      <c r="B946" s="38">
        <v>44127</v>
      </c>
      <c r="C946" s="38">
        <v>44113</v>
      </c>
      <c r="D946" s="38">
        <v>44106</v>
      </c>
      <c r="E946" s="34">
        <v>44127</v>
      </c>
      <c r="F946" s="5">
        <v>3129</v>
      </c>
      <c r="G946" s="5" t="s">
        <v>91</v>
      </c>
      <c r="H946" s="5" t="s">
        <v>43</v>
      </c>
      <c r="I946" s="5" t="s">
        <v>92</v>
      </c>
      <c r="J946" s="21" t="s">
        <v>93</v>
      </c>
      <c r="K946" s="21" t="s">
        <v>2226</v>
      </c>
      <c r="L946" s="6" t="s">
        <v>2227</v>
      </c>
      <c r="M946" s="5">
        <v>0</v>
      </c>
      <c r="N946" s="5" t="s">
        <v>91</v>
      </c>
      <c r="O946" s="5" t="s">
        <v>91</v>
      </c>
      <c r="P946" s="5" t="s">
        <v>91</v>
      </c>
      <c r="Q946" s="6" t="s">
        <v>105</v>
      </c>
      <c r="R946" s="6" t="s">
        <v>106</v>
      </c>
      <c r="S946" s="6"/>
      <c r="T946" s="6"/>
      <c r="U946" s="5"/>
      <c r="V946" s="6" t="s">
        <v>2228</v>
      </c>
      <c r="W946" s="6" t="s">
        <v>106</v>
      </c>
      <c r="X946" s="6"/>
      <c r="Y946" s="22"/>
      <c r="Z946" s="6"/>
      <c r="AA946" s="21" t="s">
        <v>2229</v>
      </c>
      <c r="AB946" s="23">
        <v>44125</v>
      </c>
      <c r="AC946" s="21" t="s">
        <v>32</v>
      </c>
      <c r="AD946" s="24" t="s">
        <v>296</v>
      </c>
      <c r="AE946" s="6" t="s">
        <v>31</v>
      </c>
      <c r="AF946" s="6"/>
      <c r="AG946" s="6" t="s">
        <v>3040</v>
      </c>
    </row>
    <row r="947" spans="1:33" ht="15" customHeight="1" x14ac:dyDescent="0.25">
      <c r="A947" s="5">
        <v>43</v>
      </c>
      <c r="B947" s="38">
        <v>44127</v>
      </c>
      <c r="C947" s="38">
        <v>44113</v>
      </c>
      <c r="D947" s="38">
        <v>44106</v>
      </c>
      <c r="E947" s="34">
        <v>44127</v>
      </c>
      <c r="F947" s="5">
        <v>6731</v>
      </c>
      <c r="G947" s="5" t="s">
        <v>91</v>
      </c>
      <c r="H947" s="5" t="s">
        <v>41</v>
      </c>
      <c r="I947" s="5" t="s">
        <v>92</v>
      </c>
      <c r="J947" s="21" t="s">
        <v>191</v>
      </c>
      <c r="K947" s="21" t="s">
        <v>2231</v>
      </c>
      <c r="L947" s="6" t="s">
        <v>1692</v>
      </c>
      <c r="M947" s="5">
        <v>15</v>
      </c>
      <c r="N947" s="5" t="s">
        <v>91</v>
      </c>
      <c r="O947" s="5" t="s">
        <v>91</v>
      </c>
      <c r="P947" s="5" t="s">
        <v>91</v>
      </c>
      <c r="Q947" s="6" t="s">
        <v>105</v>
      </c>
      <c r="R947" s="6" t="s">
        <v>194</v>
      </c>
      <c r="S947" s="6"/>
      <c r="T947" s="6"/>
      <c r="U947" s="5"/>
      <c r="V947" s="6"/>
      <c r="W947" s="6" t="s">
        <v>2232</v>
      </c>
      <c r="X947" s="6"/>
      <c r="Y947" s="22"/>
      <c r="Z947" s="6">
        <v>5</v>
      </c>
      <c r="AA947" s="21"/>
      <c r="AB947" s="23">
        <v>44091</v>
      </c>
      <c r="AC947" s="21" t="s">
        <v>32</v>
      </c>
      <c r="AD947" s="24" t="s">
        <v>2233</v>
      </c>
      <c r="AE947" s="6" t="s">
        <v>36</v>
      </c>
      <c r="AF947" s="6"/>
      <c r="AG947" s="6" t="s">
        <v>3042</v>
      </c>
    </row>
    <row r="948" spans="1:33" ht="7.5" customHeight="1" x14ac:dyDescent="0.25">
      <c r="A948" s="27"/>
      <c r="B948" s="39"/>
      <c r="C948" s="39"/>
      <c r="D948" s="39"/>
      <c r="E948" s="28"/>
      <c r="F948" s="27"/>
      <c r="G948" s="27"/>
      <c r="H948" s="27"/>
      <c r="I948" s="27"/>
      <c r="J948" s="30"/>
      <c r="K948" s="30"/>
      <c r="L948" s="29"/>
      <c r="M948" s="27"/>
      <c r="N948" s="27"/>
      <c r="O948" s="27"/>
      <c r="P948" s="27"/>
      <c r="Q948" s="29"/>
      <c r="R948" s="29"/>
      <c r="S948" s="29"/>
      <c r="T948" s="29"/>
      <c r="U948" s="27"/>
      <c r="V948" s="29"/>
      <c r="W948" s="29"/>
      <c r="X948" s="29"/>
      <c r="Y948" s="31"/>
      <c r="Z948" s="29"/>
      <c r="AA948" s="30"/>
      <c r="AB948" s="32"/>
      <c r="AC948" s="30"/>
      <c r="AD948" s="33"/>
      <c r="AE948" s="29"/>
      <c r="AF948" s="29"/>
      <c r="AG948" s="29"/>
    </row>
    <row r="949" spans="1:33" ht="15" customHeight="1" x14ac:dyDescent="0.25">
      <c r="A949" s="5">
        <v>44</v>
      </c>
      <c r="B949" s="38">
        <v>44134</v>
      </c>
      <c r="C949" s="38">
        <v>44113</v>
      </c>
      <c r="D949" s="38">
        <v>44106</v>
      </c>
      <c r="E949" s="35">
        <v>44134</v>
      </c>
      <c r="F949" s="5">
        <v>8795</v>
      </c>
      <c r="G949" s="5" t="s">
        <v>91</v>
      </c>
      <c r="H949" s="5" t="s">
        <v>40</v>
      </c>
      <c r="I949" s="5" t="s">
        <v>92</v>
      </c>
      <c r="J949" s="21" t="s">
        <v>147</v>
      </c>
      <c r="K949" s="21" t="s">
        <v>2360</v>
      </c>
      <c r="L949" s="6" t="s">
        <v>2361</v>
      </c>
      <c r="M949" s="5">
        <v>8</v>
      </c>
      <c r="N949" s="5" t="s">
        <v>91</v>
      </c>
      <c r="O949" s="5" t="s">
        <v>91</v>
      </c>
      <c r="P949" s="5" t="s">
        <v>91</v>
      </c>
      <c r="Q949" s="6"/>
      <c r="R949" s="6" t="s">
        <v>296</v>
      </c>
      <c r="S949" s="6"/>
      <c r="T949" s="6"/>
      <c r="U949" s="5"/>
      <c r="V949" s="6"/>
      <c r="W949" s="6" t="s">
        <v>2072</v>
      </c>
      <c r="X949" s="6"/>
      <c r="Y949" s="22"/>
      <c r="Z949" s="6"/>
      <c r="AA949" s="21"/>
      <c r="AB949" s="23">
        <v>44112</v>
      </c>
      <c r="AC949" s="21" t="s">
        <v>33</v>
      </c>
      <c r="AD949" s="24" t="s">
        <v>2342</v>
      </c>
      <c r="AE949" s="6" t="s">
        <v>31</v>
      </c>
      <c r="AF949" s="6"/>
      <c r="AG949" s="6" t="s">
        <v>3039</v>
      </c>
    </row>
    <row r="950" spans="1:33" ht="7.5" customHeight="1" x14ac:dyDescent="0.25">
      <c r="A950" s="27"/>
      <c r="B950" s="39"/>
      <c r="C950" s="39"/>
      <c r="D950" s="39"/>
      <c r="E950" s="28"/>
      <c r="F950" s="27"/>
      <c r="G950" s="27"/>
      <c r="H950" s="27"/>
      <c r="I950" s="27"/>
      <c r="J950" s="30"/>
      <c r="K950" s="30"/>
      <c r="L950" s="29"/>
      <c r="M950" s="27"/>
      <c r="N950" s="27"/>
      <c r="O950" s="27"/>
      <c r="P950" s="27"/>
      <c r="Q950" s="29"/>
      <c r="R950" s="29"/>
      <c r="S950" s="29"/>
      <c r="T950" s="29"/>
      <c r="U950" s="27"/>
      <c r="V950" s="29"/>
      <c r="W950" s="29"/>
      <c r="X950" s="29"/>
      <c r="Y950" s="31"/>
      <c r="Z950" s="29"/>
      <c r="AA950" s="30"/>
      <c r="AB950" s="32"/>
      <c r="AC950" s="30"/>
      <c r="AD950" s="33"/>
      <c r="AE950" s="29"/>
      <c r="AF950" s="29"/>
      <c r="AG950" s="29"/>
    </row>
    <row r="951" spans="1:33" ht="15" customHeight="1" x14ac:dyDescent="0.25">
      <c r="A951" s="5">
        <v>43</v>
      </c>
      <c r="B951" s="38">
        <v>44125</v>
      </c>
      <c r="C951" s="38">
        <v>44116</v>
      </c>
      <c r="D951" s="38">
        <v>44076</v>
      </c>
      <c r="E951" s="34">
        <v>44125</v>
      </c>
      <c r="F951" s="5">
        <v>10685</v>
      </c>
      <c r="G951" s="5" t="s">
        <v>91</v>
      </c>
      <c r="H951" s="5" t="s">
        <v>41</v>
      </c>
      <c r="I951" s="5" t="s">
        <v>92</v>
      </c>
      <c r="J951" s="21" t="s">
        <v>170</v>
      </c>
      <c r="K951" s="21" t="s">
        <v>2152</v>
      </c>
      <c r="L951" s="6" t="s">
        <v>1459</v>
      </c>
      <c r="M951" s="5">
        <v>0</v>
      </c>
      <c r="N951" s="5" t="s">
        <v>91</v>
      </c>
      <c r="O951" s="5" t="s">
        <v>91</v>
      </c>
      <c r="P951" s="5" t="s">
        <v>91</v>
      </c>
      <c r="Q951" s="6"/>
      <c r="R951" s="6" t="s">
        <v>123</v>
      </c>
      <c r="S951" s="6"/>
      <c r="T951" s="6"/>
      <c r="U951" s="5"/>
      <c r="V951" s="6"/>
      <c r="W951" s="6" t="s">
        <v>1832</v>
      </c>
      <c r="X951" s="6" t="s">
        <v>251</v>
      </c>
      <c r="Y951" s="22"/>
      <c r="Z951" s="6">
        <v>0</v>
      </c>
      <c r="AA951" s="21" t="s">
        <v>1833</v>
      </c>
      <c r="AB951" s="23">
        <v>44070</v>
      </c>
      <c r="AC951" s="21" t="s">
        <v>33</v>
      </c>
      <c r="AD951" s="24" t="s">
        <v>115</v>
      </c>
      <c r="AE951" s="6" t="s">
        <v>37</v>
      </c>
      <c r="AF951" s="6"/>
      <c r="AG951" s="6" t="s">
        <v>3039</v>
      </c>
    </row>
    <row r="952" spans="1:33" ht="15" customHeight="1" x14ac:dyDescent="0.25">
      <c r="A952" s="5">
        <v>43</v>
      </c>
      <c r="B952" s="38">
        <v>44125</v>
      </c>
      <c r="C952" s="38">
        <v>44116</v>
      </c>
      <c r="D952" s="38">
        <v>44106</v>
      </c>
      <c r="E952" s="34">
        <v>44125</v>
      </c>
      <c r="F952" s="5">
        <v>10711</v>
      </c>
      <c r="G952" s="5" t="s">
        <v>91</v>
      </c>
      <c r="H952" s="5" t="s">
        <v>43</v>
      </c>
      <c r="I952" s="5" t="s">
        <v>92</v>
      </c>
      <c r="J952" s="21" t="s">
        <v>170</v>
      </c>
      <c r="K952" s="21" t="s">
        <v>2159</v>
      </c>
      <c r="L952" s="6" t="s">
        <v>1281</v>
      </c>
      <c r="M952" s="5">
        <v>0</v>
      </c>
      <c r="N952" s="5" t="s">
        <v>91</v>
      </c>
      <c r="O952" s="5" t="s">
        <v>91</v>
      </c>
      <c r="P952" s="5" t="s">
        <v>91</v>
      </c>
      <c r="Q952" s="6"/>
      <c r="R952" s="6" t="s">
        <v>112</v>
      </c>
      <c r="S952" s="6"/>
      <c r="T952" s="6"/>
      <c r="U952" s="5"/>
      <c r="V952" s="6" t="s">
        <v>2160</v>
      </c>
      <c r="W952" s="6" t="s">
        <v>985</v>
      </c>
      <c r="X952" s="6" t="s">
        <v>986</v>
      </c>
      <c r="Y952" s="22"/>
      <c r="Z952" s="6"/>
      <c r="AA952" s="21" t="s">
        <v>2161</v>
      </c>
      <c r="AB952" s="23">
        <v>44124</v>
      </c>
      <c r="AC952" s="21" t="s">
        <v>30</v>
      </c>
      <c r="AD952" s="24">
        <v>50.17</v>
      </c>
      <c r="AE952" s="6" t="s">
        <v>31</v>
      </c>
      <c r="AF952" s="6"/>
      <c r="AG952" s="6" t="s">
        <v>3041</v>
      </c>
    </row>
    <row r="953" spans="1:33" ht="15" customHeight="1" x14ac:dyDescent="0.25">
      <c r="A953" s="5">
        <v>43</v>
      </c>
      <c r="B953" s="38">
        <v>44125</v>
      </c>
      <c r="C953" s="38">
        <v>44116</v>
      </c>
      <c r="D953" s="38">
        <v>44105</v>
      </c>
      <c r="E953" s="34">
        <v>44125</v>
      </c>
      <c r="F953" s="5">
        <v>4851</v>
      </c>
      <c r="G953" s="5" t="s">
        <v>91</v>
      </c>
      <c r="H953" s="5" t="s">
        <v>41</v>
      </c>
      <c r="I953" s="5" t="s">
        <v>92</v>
      </c>
      <c r="J953" s="21" t="s">
        <v>109</v>
      </c>
      <c r="K953" s="21" t="s">
        <v>2168</v>
      </c>
      <c r="L953" s="6" t="s">
        <v>2169</v>
      </c>
      <c r="M953" s="5">
        <v>0</v>
      </c>
      <c r="N953" s="5" t="s">
        <v>91</v>
      </c>
      <c r="O953" s="5" t="s">
        <v>91</v>
      </c>
      <c r="P953" s="5" t="s">
        <v>91</v>
      </c>
      <c r="Q953" s="6" t="s">
        <v>96</v>
      </c>
      <c r="R953" s="6" t="s">
        <v>112</v>
      </c>
      <c r="S953" s="6"/>
      <c r="T953" s="6"/>
      <c r="U953" s="5"/>
      <c r="V953" s="6"/>
      <c r="W953" s="6" t="s">
        <v>2170</v>
      </c>
      <c r="X953" s="6"/>
      <c r="Y953" s="22"/>
      <c r="Z953" s="6"/>
      <c r="AA953" s="21"/>
      <c r="AB953" s="23">
        <v>44116</v>
      </c>
      <c r="AC953" s="21" t="s">
        <v>32</v>
      </c>
      <c r="AD953" s="24" t="s">
        <v>2171</v>
      </c>
      <c r="AE953" s="6" t="s">
        <v>31</v>
      </c>
      <c r="AF953" s="6"/>
      <c r="AG953" s="6" t="s">
        <v>3040</v>
      </c>
    </row>
    <row r="954" spans="1:33" ht="15" customHeight="1" x14ac:dyDescent="0.25">
      <c r="A954" s="5">
        <v>43</v>
      </c>
      <c r="B954" s="38">
        <v>44125</v>
      </c>
      <c r="C954" s="38">
        <v>44116</v>
      </c>
      <c r="D954" s="38">
        <v>44103</v>
      </c>
      <c r="E954" s="34">
        <v>44125</v>
      </c>
      <c r="F954" s="5">
        <v>5693</v>
      </c>
      <c r="G954" s="5" t="s">
        <v>91</v>
      </c>
      <c r="H954" s="5" t="s">
        <v>41</v>
      </c>
      <c r="I954" s="5" t="s">
        <v>92</v>
      </c>
      <c r="J954" s="21" t="s">
        <v>131</v>
      </c>
      <c r="K954" s="21" t="s">
        <v>2172</v>
      </c>
      <c r="L954" s="6" t="s">
        <v>422</v>
      </c>
      <c r="M954" s="5">
        <v>0</v>
      </c>
      <c r="N954" s="5" t="s">
        <v>91</v>
      </c>
      <c r="O954" s="5" t="s">
        <v>91</v>
      </c>
      <c r="P954" s="5" t="s">
        <v>91</v>
      </c>
      <c r="Q954" s="6" t="s">
        <v>105</v>
      </c>
      <c r="R954" s="6"/>
      <c r="S954" s="6"/>
      <c r="T954" s="6"/>
      <c r="U954" s="5"/>
      <c r="V954" s="6"/>
      <c r="W954" s="6" t="s">
        <v>183</v>
      </c>
      <c r="X954" s="6"/>
      <c r="Y954" s="22"/>
      <c r="Z954" s="6"/>
      <c r="AA954" s="21"/>
      <c r="AB954" s="23">
        <v>44109</v>
      </c>
      <c r="AC954" s="21" t="s">
        <v>33</v>
      </c>
      <c r="AD954" s="24" t="s">
        <v>2173</v>
      </c>
      <c r="AE954" s="6" t="s">
        <v>37</v>
      </c>
      <c r="AF954" s="6"/>
      <c r="AG954" s="6" t="s">
        <v>3041</v>
      </c>
    </row>
    <row r="955" spans="1:33" ht="15" customHeight="1" x14ac:dyDescent="0.25">
      <c r="A955" s="5">
        <v>43</v>
      </c>
      <c r="B955" s="38">
        <v>44125</v>
      </c>
      <c r="C955" s="38">
        <v>44116</v>
      </c>
      <c r="D955" s="38">
        <v>44111</v>
      </c>
      <c r="E955" s="34">
        <v>44125</v>
      </c>
      <c r="F955" s="5">
        <v>5703</v>
      </c>
      <c r="G955" s="5" t="s">
        <v>91</v>
      </c>
      <c r="H955" s="5" t="s">
        <v>43</v>
      </c>
      <c r="I955" s="5" t="s">
        <v>92</v>
      </c>
      <c r="J955" s="21" t="s">
        <v>131</v>
      </c>
      <c r="K955" s="21" t="s">
        <v>2179</v>
      </c>
      <c r="L955" s="6" t="s">
        <v>95</v>
      </c>
      <c r="M955" s="5">
        <v>0</v>
      </c>
      <c r="N955" s="5" t="s">
        <v>91</v>
      </c>
      <c r="O955" s="5" t="s">
        <v>91</v>
      </c>
      <c r="P955" s="5" t="s">
        <v>91</v>
      </c>
      <c r="Q955" s="6" t="s">
        <v>96</v>
      </c>
      <c r="R955" s="6" t="s">
        <v>296</v>
      </c>
      <c r="S955" s="6"/>
      <c r="T955" s="6"/>
      <c r="U955" s="5"/>
      <c r="V955" s="6"/>
      <c r="W955" s="6" t="s">
        <v>2180</v>
      </c>
      <c r="X955" s="6"/>
      <c r="Y955" s="22"/>
      <c r="Z955" s="6"/>
      <c r="AA955" s="21"/>
      <c r="AB955" s="23">
        <v>44117</v>
      </c>
      <c r="AC955" s="21" t="s">
        <v>30</v>
      </c>
      <c r="AD955" s="24" t="s">
        <v>2181</v>
      </c>
      <c r="AE955" s="6" t="s">
        <v>35</v>
      </c>
      <c r="AF955" s="6"/>
      <c r="AG955" s="6" t="s">
        <v>3040</v>
      </c>
    </row>
    <row r="956" spans="1:33" ht="7.5" customHeight="1" x14ac:dyDescent="0.25">
      <c r="A956" s="27"/>
      <c r="B956" s="39"/>
      <c r="C956" s="39"/>
      <c r="D956" s="39"/>
      <c r="E956" s="28"/>
      <c r="F956" s="27"/>
      <c r="G956" s="27"/>
      <c r="H956" s="27"/>
      <c r="I956" s="27"/>
      <c r="J956" s="30"/>
      <c r="K956" s="30"/>
      <c r="L956" s="29"/>
      <c r="M956" s="27"/>
      <c r="N956" s="27"/>
      <c r="O956" s="27"/>
      <c r="P956" s="27"/>
      <c r="Q956" s="29"/>
      <c r="R956" s="29"/>
      <c r="S956" s="29"/>
      <c r="T956" s="29"/>
      <c r="U956" s="27"/>
      <c r="V956" s="29"/>
      <c r="W956" s="29"/>
      <c r="X956" s="29"/>
      <c r="Y956" s="31"/>
      <c r="Z956" s="29"/>
      <c r="AA956" s="30"/>
      <c r="AB956" s="32"/>
      <c r="AC956" s="30"/>
      <c r="AD956" s="33"/>
      <c r="AE956" s="29"/>
      <c r="AF956" s="29"/>
      <c r="AG956" s="29"/>
    </row>
    <row r="957" spans="1:33" ht="15" customHeight="1" x14ac:dyDescent="0.25">
      <c r="A957" s="5">
        <v>45</v>
      </c>
      <c r="B957" s="38">
        <v>44137</v>
      </c>
      <c r="C957" s="38">
        <v>44116</v>
      </c>
      <c r="D957" s="38">
        <v>44109</v>
      </c>
      <c r="E957" s="36">
        <v>44137</v>
      </c>
      <c r="F957" s="5">
        <v>5705</v>
      </c>
      <c r="G957" s="5" t="s">
        <v>91</v>
      </c>
      <c r="H957" s="5" t="s">
        <v>43</v>
      </c>
      <c r="I957" s="5" t="s">
        <v>92</v>
      </c>
      <c r="J957" s="21" t="s">
        <v>131</v>
      </c>
      <c r="K957" s="21" t="s">
        <v>2383</v>
      </c>
      <c r="L957" s="6" t="s">
        <v>95</v>
      </c>
      <c r="M957" s="5">
        <v>21</v>
      </c>
      <c r="N957" s="5" t="s">
        <v>91</v>
      </c>
      <c r="O957" s="5" t="s">
        <v>91</v>
      </c>
      <c r="P957" s="5" t="s">
        <v>91</v>
      </c>
      <c r="Q957" s="6" t="s">
        <v>105</v>
      </c>
      <c r="R957" s="6" t="s">
        <v>2368</v>
      </c>
      <c r="S957" s="6"/>
      <c r="T957" s="6"/>
      <c r="U957" s="5"/>
      <c r="V957" s="6"/>
      <c r="W957" s="6" t="s">
        <v>183</v>
      </c>
      <c r="X957" s="6"/>
      <c r="Y957" s="22"/>
      <c r="Z957" s="6"/>
      <c r="AA957" s="21"/>
      <c r="AB957" s="23">
        <v>44105</v>
      </c>
      <c r="AC957" s="21" t="s">
        <v>30</v>
      </c>
      <c r="AD957" s="24" t="s">
        <v>2384</v>
      </c>
      <c r="AE957" s="6" t="s">
        <v>34</v>
      </c>
      <c r="AF957" s="6"/>
      <c r="AG957" s="6" t="s">
        <v>3039</v>
      </c>
    </row>
    <row r="958" spans="1:33" ht="7.5" customHeight="1" x14ac:dyDescent="0.25">
      <c r="A958" s="27"/>
      <c r="B958" s="39"/>
      <c r="C958" s="39"/>
      <c r="D958" s="39"/>
      <c r="E958" s="28"/>
      <c r="F958" s="27"/>
      <c r="G958" s="27"/>
      <c r="H958" s="27"/>
      <c r="I958" s="27"/>
      <c r="J958" s="30"/>
      <c r="K958" s="30"/>
      <c r="L958" s="29"/>
      <c r="M958" s="27"/>
      <c r="N958" s="27"/>
      <c r="O958" s="27"/>
      <c r="P958" s="27"/>
      <c r="Q958" s="29"/>
      <c r="R958" s="29"/>
      <c r="S958" s="29"/>
      <c r="T958" s="29"/>
      <c r="U958" s="27"/>
      <c r="V958" s="29"/>
      <c r="W958" s="29"/>
      <c r="X958" s="29"/>
      <c r="Y958" s="31"/>
      <c r="Z958" s="29"/>
      <c r="AA958" s="30"/>
      <c r="AB958" s="32"/>
      <c r="AC958" s="30"/>
      <c r="AD958" s="33"/>
      <c r="AE958" s="29"/>
      <c r="AF958" s="29"/>
      <c r="AG958" s="29"/>
    </row>
    <row r="959" spans="1:33" ht="15" customHeight="1" x14ac:dyDescent="0.25">
      <c r="A959" s="5">
        <v>43</v>
      </c>
      <c r="B959" s="38">
        <v>44125</v>
      </c>
      <c r="C959" s="38">
        <v>44116</v>
      </c>
      <c r="D959" s="38">
        <v>44103</v>
      </c>
      <c r="E959" s="34">
        <v>44125</v>
      </c>
      <c r="F959" s="5">
        <v>7798</v>
      </c>
      <c r="G959" s="5" t="s">
        <v>91</v>
      </c>
      <c r="H959" s="5" t="s">
        <v>41</v>
      </c>
      <c r="I959" s="5" t="s">
        <v>92</v>
      </c>
      <c r="J959" s="21" t="s">
        <v>214</v>
      </c>
      <c r="K959" s="21" t="s">
        <v>2185</v>
      </c>
      <c r="L959" s="6" t="s">
        <v>2186</v>
      </c>
      <c r="M959" s="5">
        <v>1</v>
      </c>
      <c r="N959" s="5" t="s">
        <v>91</v>
      </c>
      <c r="O959" s="5" t="s">
        <v>91</v>
      </c>
      <c r="P959" s="5" t="s">
        <v>91</v>
      </c>
      <c r="Q959" s="6" t="s">
        <v>105</v>
      </c>
      <c r="R959" s="6" t="s">
        <v>217</v>
      </c>
      <c r="S959" s="6"/>
      <c r="T959" s="6"/>
      <c r="U959" s="5"/>
      <c r="V959" s="6" t="s">
        <v>2187</v>
      </c>
      <c r="W959" s="6" t="s">
        <v>224</v>
      </c>
      <c r="X959" s="6"/>
      <c r="Y959" s="22"/>
      <c r="Z959" s="6"/>
      <c r="AA959" s="21" t="s">
        <v>2188</v>
      </c>
      <c r="AB959" s="23">
        <v>44112</v>
      </c>
      <c r="AC959" s="21" t="s">
        <v>30</v>
      </c>
      <c r="AD959" s="24" t="s">
        <v>2189</v>
      </c>
      <c r="AE959" s="6" t="s">
        <v>31</v>
      </c>
      <c r="AF959" s="6"/>
      <c r="AG959" s="6" t="s">
        <v>3042</v>
      </c>
    </row>
    <row r="960" spans="1:33" ht="15" customHeight="1" x14ac:dyDescent="0.25">
      <c r="A960" s="5">
        <v>43</v>
      </c>
      <c r="B960" s="38">
        <v>44125</v>
      </c>
      <c r="C960" s="38">
        <v>44116</v>
      </c>
      <c r="D960" s="38">
        <v>44102</v>
      </c>
      <c r="E960" s="34">
        <v>44125</v>
      </c>
      <c r="F960" s="5">
        <v>7794</v>
      </c>
      <c r="G960" s="5" t="s">
        <v>91</v>
      </c>
      <c r="H960" s="5" t="s">
        <v>43</v>
      </c>
      <c r="I960" s="5" t="s">
        <v>92</v>
      </c>
      <c r="J960" s="21" t="s">
        <v>214</v>
      </c>
      <c r="K960" s="21" t="s">
        <v>2190</v>
      </c>
      <c r="L960" s="6" t="s">
        <v>578</v>
      </c>
      <c r="M960" s="5">
        <v>14</v>
      </c>
      <c r="N960" s="5" t="s">
        <v>91</v>
      </c>
      <c r="O960" s="5" t="s">
        <v>91</v>
      </c>
      <c r="P960" s="5" t="s">
        <v>91</v>
      </c>
      <c r="Q960" s="6" t="s">
        <v>105</v>
      </c>
      <c r="R960" s="6" t="s">
        <v>223</v>
      </c>
      <c r="S960" s="6"/>
      <c r="T960" s="6"/>
      <c r="U960" s="5"/>
      <c r="V960" s="6"/>
      <c r="W960" s="6" t="s">
        <v>2191</v>
      </c>
      <c r="X960" s="6">
        <v>212555568</v>
      </c>
      <c r="Y960" s="22"/>
      <c r="Z960" s="6">
        <v>5.93</v>
      </c>
      <c r="AA960" s="21" t="s">
        <v>2192</v>
      </c>
      <c r="AB960" s="23">
        <v>44109</v>
      </c>
      <c r="AC960" s="21" t="s">
        <v>30</v>
      </c>
      <c r="AD960" s="24" t="s">
        <v>2193</v>
      </c>
      <c r="AE960" s="6" t="s">
        <v>36</v>
      </c>
      <c r="AF960" s="6"/>
      <c r="AG960" s="6" t="s">
        <v>3039</v>
      </c>
    </row>
    <row r="961" spans="1:33" ht="15" customHeight="1" x14ac:dyDescent="0.25">
      <c r="A961" s="5">
        <v>43</v>
      </c>
      <c r="B961" s="38">
        <v>44125</v>
      </c>
      <c r="C961" s="38">
        <v>44116</v>
      </c>
      <c r="D961" s="38">
        <v>44103</v>
      </c>
      <c r="E961" s="34">
        <v>44125</v>
      </c>
      <c r="F961" s="5">
        <v>7795</v>
      </c>
      <c r="G961" s="5" t="s">
        <v>91</v>
      </c>
      <c r="H961" s="5" t="s">
        <v>41</v>
      </c>
      <c r="I961" s="5" t="s">
        <v>92</v>
      </c>
      <c r="J961" s="21" t="s">
        <v>214</v>
      </c>
      <c r="K961" s="21" t="s">
        <v>2194</v>
      </c>
      <c r="L961" s="6" t="s">
        <v>2195</v>
      </c>
      <c r="M961" s="5">
        <v>1</v>
      </c>
      <c r="N961" s="5" t="s">
        <v>91</v>
      </c>
      <c r="O961" s="5" t="s">
        <v>91</v>
      </c>
      <c r="P961" s="5" t="s">
        <v>91</v>
      </c>
      <c r="Q961" s="6" t="s">
        <v>105</v>
      </c>
      <c r="R961" s="6" t="s">
        <v>223</v>
      </c>
      <c r="S961" s="6"/>
      <c r="T961" s="6"/>
      <c r="U961" s="5"/>
      <c r="V961" s="6"/>
      <c r="W961" s="6" t="s">
        <v>224</v>
      </c>
      <c r="X961" s="6"/>
      <c r="Y961" s="22"/>
      <c r="Z961" s="6"/>
      <c r="AA961" s="21" t="s">
        <v>2196</v>
      </c>
      <c r="AB961" s="23">
        <v>44109</v>
      </c>
      <c r="AC961" s="21" t="s">
        <v>30</v>
      </c>
      <c r="AD961" s="24" t="s">
        <v>2197</v>
      </c>
      <c r="AE961" s="6" t="s">
        <v>31</v>
      </c>
      <c r="AF961" s="6"/>
      <c r="AG961" s="6" t="s">
        <v>3040</v>
      </c>
    </row>
    <row r="962" spans="1:33" ht="7.5" customHeight="1" x14ac:dyDescent="0.25">
      <c r="A962" s="27"/>
      <c r="B962" s="39"/>
      <c r="C962" s="39"/>
      <c r="D962" s="39"/>
      <c r="E962" s="28"/>
      <c r="F962" s="27"/>
      <c r="G962" s="27"/>
      <c r="H962" s="27"/>
      <c r="I962" s="27"/>
      <c r="J962" s="30"/>
      <c r="K962" s="30"/>
      <c r="L962" s="29"/>
      <c r="M962" s="27"/>
      <c r="N962" s="27"/>
      <c r="O962" s="27"/>
      <c r="P962" s="27"/>
      <c r="Q962" s="29"/>
      <c r="R962" s="29"/>
      <c r="S962" s="29"/>
      <c r="T962" s="29"/>
      <c r="U962" s="27"/>
      <c r="V962" s="29"/>
      <c r="W962" s="29"/>
      <c r="X962" s="29"/>
      <c r="Y962" s="31"/>
      <c r="Z962" s="29"/>
      <c r="AA962" s="30"/>
      <c r="AB962" s="32"/>
      <c r="AC962" s="30"/>
      <c r="AD962" s="33"/>
      <c r="AE962" s="29"/>
      <c r="AF962" s="29"/>
      <c r="AG962" s="29"/>
    </row>
    <row r="963" spans="1:33" ht="15" customHeight="1" x14ac:dyDescent="0.25">
      <c r="A963" s="5">
        <v>45</v>
      </c>
      <c r="B963" s="38">
        <v>44137</v>
      </c>
      <c r="C963" s="38">
        <v>44116</v>
      </c>
      <c r="D963" s="38">
        <v>44109</v>
      </c>
      <c r="E963" s="36">
        <v>44137</v>
      </c>
      <c r="F963" s="5">
        <v>7799</v>
      </c>
      <c r="G963" s="5" t="s">
        <v>91</v>
      </c>
      <c r="H963" s="5" t="s">
        <v>43</v>
      </c>
      <c r="I963" s="5" t="s">
        <v>92</v>
      </c>
      <c r="J963" s="21" t="s">
        <v>214</v>
      </c>
      <c r="K963" s="21" t="s">
        <v>2385</v>
      </c>
      <c r="L963" s="6" t="s">
        <v>149</v>
      </c>
      <c r="M963" s="5">
        <v>10</v>
      </c>
      <c r="N963" s="5" t="s">
        <v>91</v>
      </c>
      <c r="O963" s="5" t="s">
        <v>91</v>
      </c>
      <c r="P963" s="5" t="s">
        <v>91</v>
      </c>
      <c r="Q963" s="6" t="s">
        <v>105</v>
      </c>
      <c r="R963" s="6" t="s">
        <v>223</v>
      </c>
      <c r="S963" s="6"/>
      <c r="T963" s="6"/>
      <c r="U963" s="5"/>
      <c r="V963" s="6" t="s">
        <v>2386</v>
      </c>
      <c r="W963" s="6" t="s">
        <v>2387</v>
      </c>
      <c r="X963" s="6"/>
      <c r="Y963" s="22"/>
      <c r="Z963" s="6"/>
      <c r="AA963" s="21"/>
      <c r="AB963" s="23">
        <v>44117</v>
      </c>
      <c r="AC963" s="21" t="s">
        <v>33</v>
      </c>
      <c r="AD963" s="24" t="s">
        <v>2388</v>
      </c>
      <c r="AE963" s="6" t="s">
        <v>31</v>
      </c>
      <c r="AF963" s="6"/>
      <c r="AG963" s="6" t="s">
        <v>3040</v>
      </c>
    </row>
    <row r="964" spans="1:33" ht="7.5" customHeight="1" x14ac:dyDescent="0.25">
      <c r="A964" s="27"/>
      <c r="B964" s="39"/>
      <c r="C964" s="39"/>
      <c r="D964" s="39"/>
      <c r="E964" s="28"/>
      <c r="F964" s="27"/>
      <c r="G964" s="27"/>
      <c r="H964" s="27"/>
      <c r="I964" s="27"/>
      <c r="J964" s="30"/>
      <c r="K964" s="30"/>
      <c r="L964" s="29"/>
      <c r="M964" s="27"/>
      <c r="N964" s="27"/>
      <c r="O964" s="27"/>
      <c r="P964" s="27"/>
      <c r="Q964" s="29"/>
      <c r="R964" s="29"/>
      <c r="S964" s="29"/>
      <c r="T964" s="29"/>
      <c r="U964" s="27"/>
      <c r="V964" s="29"/>
      <c r="W964" s="29"/>
      <c r="X964" s="29"/>
      <c r="Y964" s="31"/>
      <c r="Z964" s="29"/>
      <c r="AA964" s="30"/>
      <c r="AB964" s="32"/>
      <c r="AC964" s="30"/>
      <c r="AD964" s="33"/>
      <c r="AE964" s="29"/>
      <c r="AF964" s="29"/>
      <c r="AG964" s="29"/>
    </row>
    <row r="965" spans="1:33" ht="15" customHeight="1" x14ac:dyDescent="0.25">
      <c r="A965" s="5">
        <v>43</v>
      </c>
      <c r="B965" s="38">
        <v>44126</v>
      </c>
      <c r="C965" s="38">
        <v>44117</v>
      </c>
      <c r="D965" s="38">
        <v>44123</v>
      </c>
      <c r="E965" s="34">
        <v>44126</v>
      </c>
      <c r="F965" s="5">
        <v>3122</v>
      </c>
      <c r="G965" s="5" t="s">
        <v>91</v>
      </c>
      <c r="H965" s="5" t="s">
        <v>41</v>
      </c>
      <c r="I965" s="5" t="s">
        <v>92</v>
      </c>
      <c r="J965" s="21" t="s">
        <v>93</v>
      </c>
      <c r="K965" s="21" t="s">
        <v>2215</v>
      </c>
      <c r="L965" s="6" t="s">
        <v>2216</v>
      </c>
      <c r="M965" s="5">
        <v>0</v>
      </c>
      <c r="N965" s="5" t="s">
        <v>91</v>
      </c>
      <c r="O965" s="5" t="s">
        <v>91</v>
      </c>
      <c r="P965" s="5" t="s">
        <v>91</v>
      </c>
      <c r="Q965" s="6"/>
      <c r="R965" s="6" t="s">
        <v>380</v>
      </c>
      <c r="S965" s="6"/>
      <c r="T965" s="6"/>
      <c r="U965" s="5"/>
      <c r="V965" s="6"/>
      <c r="W965" s="6"/>
      <c r="X965" s="6"/>
      <c r="Y965" s="22"/>
      <c r="Z965" s="6"/>
      <c r="AA965" s="21"/>
      <c r="AB965" s="23">
        <v>44123</v>
      </c>
      <c r="AC965" s="21" t="s">
        <v>30</v>
      </c>
      <c r="AD965" s="24" t="s">
        <v>2217</v>
      </c>
      <c r="AE965" s="6" t="s">
        <v>34</v>
      </c>
      <c r="AF965" s="6"/>
      <c r="AG965" s="6" t="s">
        <v>3041</v>
      </c>
    </row>
    <row r="966" spans="1:33" ht="15" customHeight="1" x14ac:dyDescent="0.25">
      <c r="A966" s="5">
        <v>43</v>
      </c>
      <c r="B966" s="38">
        <v>44126</v>
      </c>
      <c r="C966" s="38">
        <v>44117</v>
      </c>
      <c r="D966" s="38">
        <v>44064</v>
      </c>
      <c r="E966" s="34">
        <v>44126</v>
      </c>
      <c r="F966" s="5">
        <v>4822</v>
      </c>
      <c r="G966" s="5" t="s">
        <v>91</v>
      </c>
      <c r="H966" s="5" t="s">
        <v>41</v>
      </c>
      <c r="I966" s="5" t="s">
        <v>92</v>
      </c>
      <c r="J966" s="21" t="s">
        <v>109</v>
      </c>
      <c r="K966" s="21" t="s">
        <v>2218</v>
      </c>
      <c r="L966" s="6" t="s">
        <v>122</v>
      </c>
      <c r="M966" s="5">
        <v>7</v>
      </c>
      <c r="N966" s="5" t="s">
        <v>91</v>
      </c>
      <c r="O966" s="5" t="s">
        <v>91</v>
      </c>
      <c r="P966" s="5" t="s">
        <v>91</v>
      </c>
      <c r="Q966" s="6" t="s">
        <v>105</v>
      </c>
      <c r="R966" s="6" t="s">
        <v>112</v>
      </c>
      <c r="S966" s="6"/>
      <c r="T966" s="6"/>
      <c r="U966" s="5"/>
      <c r="V966" s="6" t="s">
        <v>2219</v>
      </c>
      <c r="W966" s="6" t="s">
        <v>2220</v>
      </c>
      <c r="X966" s="6"/>
      <c r="Y966" s="22"/>
      <c r="Z966" s="6"/>
      <c r="AA966" s="21">
        <v>12426</v>
      </c>
      <c r="AB966" s="23">
        <v>44070</v>
      </c>
      <c r="AC966" s="21" t="s">
        <v>30</v>
      </c>
      <c r="AD966" s="24" t="s">
        <v>2221</v>
      </c>
      <c r="AE966" s="6" t="s">
        <v>31</v>
      </c>
      <c r="AF966" s="6"/>
      <c r="AG966" s="6" t="s">
        <v>3042</v>
      </c>
    </row>
    <row r="967" spans="1:33" ht="7.5" customHeight="1" x14ac:dyDescent="0.25">
      <c r="A967" s="27"/>
      <c r="B967" s="39"/>
      <c r="C967" s="39"/>
      <c r="D967" s="39"/>
      <c r="E967" s="28"/>
      <c r="F967" s="27"/>
      <c r="G967" s="27"/>
      <c r="H967" s="27"/>
      <c r="I967" s="27"/>
      <c r="J967" s="30"/>
      <c r="K967" s="30"/>
      <c r="L967" s="29"/>
      <c r="M967" s="27"/>
      <c r="N967" s="27"/>
      <c r="O967" s="27"/>
      <c r="P967" s="27"/>
      <c r="Q967" s="29"/>
      <c r="R967" s="29"/>
      <c r="S967" s="29"/>
      <c r="T967" s="29"/>
      <c r="U967" s="27"/>
      <c r="V967" s="29"/>
      <c r="W967" s="29"/>
      <c r="X967" s="29"/>
      <c r="Y967" s="31"/>
      <c r="Z967" s="29"/>
      <c r="AA967" s="30"/>
      <c r="AB967" s="32"/>
      <c r="AC967" s="30"/>
      <c r="AD967" s="33"/>
      <c r="AE967" s="29"/>
      <c r="AF967" s="29"/>
      <c r="AG967" s="29"/>
    </row>
    <row r="968" spans="1:33" ht="15" customHeight="1" x14ac:dyDescent="0.25">
      <c r="A968" s="5">
        <v>44</v>
      </c>
      <c r="B968" s="38">
        <v>44131</v>
      </c>
      <c r="C968" s="38">
        <v>44117</v>
      </c>
      <c r="D968" s="38">
        <v>44110</v>
      </c>
      <c r="E968" s="35">
        <v>44131</v>
      </c>
      <c r="F968" s="5">
        <v>5692</v>
      </c>
      <c r="G968" s="5" t="s">
        <v>91</v>
      </c>
      <c r="H968" s="5" t="s">
        <v>41</v>
      </c>
      <c r="I968" s="5" t="s">
        <v>92</v>
      </c>
      <c r="J968" s="21" t="s">
        <v>131</v>
      </c>
      <c r="K968" s="21" t="s">
        <v>2235</v>
      </c>
      <c r="L968" s="6" t="s">
        <v>2236</v>
      </c>
      <c r="M968" s="5">
        <v>6</v>
      </c>
      <c r="N968" s="5" t="s">
        <v>91</v>
      </c>
      <c r="O968" s="5" t="s">
        <v>91</v>
      </c>
      <c r="P968" s="5" t="s">
        <v>91</v>
      </c>
      <c r="Q968" s="6" t="s">
        <v>105</v>
      </c>
      <c r="R968" s="6"/>
      <c r="S968" s="6"/>
      <c r="T968" s="6"/>
      <c r="U968" s="5"/>
      <c r="V968" s="6"/>
      <c r="W968" s="6" t="s">
        <v>183</v>
      </c>
      <c r="X968" s="6"/>
      <c r="Y968" s="22"/>
      <c r="Z968" s="6"/>
      <c r="AA968" s="21"/>
      <c r="AB968" s="23">
        <v>44109</v>
      </c>
      <c r="AC968" s="21" t="s">
        <v>32</v>
      </c>
      <c r="AD968" s="24" t="s">
        <v>2237</v>
      </c>
      <c r="AE968" s="6" t="s">
        <v>31</v>
      </c>
      <c r="AF968" s="6"/>
      <c r="AG968" s="6" t="s">
        <v>3040</v>
      </c>
    </row>
    <row r="969" spans="1:33" ht="15" customHeight="1" x14ac:dyDescent="0.25">
      <c r="A969" s="5">
        <v>44</v>
      </c>
      <c r="B969" s="38">
        <v>44131</v>
      </c>
      <c r="C969" s="38">
        <v>44117</v>
      </c>
      <c r="D969" s="38">
        <v>44110</v>
      </c>
      <c r="E969" s="35">
        <v>44131</v>
      </c>
      <c r="F969" s="5">
        <v>5702</v>
      </c>
      <c r="G969" s="5" t="s">
        <v>91</v>
      </c>
      <c r="H969" s="5" t="s">
        <v>43</v>
      </c>
      <c r="I969" s="5" t="s">
        <v>92</v>
      </c>
      <c r="J969" s="21" t="s">
        <v>131</v>
      </c>
      <c r="K969" s="21" t="s">
        <v>2238</v>
      </c>
      <c r="L969" s="6" t="s">
        <v>2239</v>
      </c>
      <c r="M969" s="5">
        <v>2</v>
      </c>
      <c r="N969" s="5" t="s">
        <v>91</v>
      </c>
      <c r="O969" s="5" t="s">
        <v>91</v>
      </c>
      <c r="P969" s="5" t="s">
        <v>91</v>
      </c>
      <c r="Q969" s="6" t="s">
        <v>105</v>
      </c>
      <c r="R969" s="6" t="s">
        <v>296</v>
      </c>
      <c r="S969" s="6"/>
      <c r="T969" s="6"/>
      <c r="U969" s="5"/>
      <c r="V969" s="6"/>
      <c r="W969" s="6" t="s">
        <v>183</v>
      </c>
      <c r="X969" s="6"/>
      <c r="Y969" s="22"/>
      <c r="Z969" s="6"/>
      <c r="AA969" s="21"/>
      <c r="AB969" s="23">
        <v>44116</v>
      </c>
      <c r="AC969" s="21" t="s">
        <v>30</v>
      </c>
      <c r="AD969" s="24" t="s">
        <v>2240</v>
      </c>
      <c r="AE969" s="6" t="s">
        <v>38</v>
      </c>
      <c r="AF969" s="6"/>
      <c r="AG969" s="6" t="s">
        <v>3041</v>
      </c>
    </row>
    <row r="970" spans="1:33" ht="15" customHeight="1" x14ac:dyDescent="0.25">
      <c r="A970" s="5">
        <v>44</v>
      </c>
      <c r="B970" s="38">
        <v>44131</v>
      </c>
      <c r="C970" s="38">
        <v>44117</v>
      </c>
      <c r="D970" s="38">
        <v>44110</v>
      </c>
      <c r="E970" s="35">
        <v>44131</v>
      </c>
      <c r="F970" s="5">
        <v>6736</v>
      </c>
      <c r="G970" s="5" t="s">
        <v>91</v>
      </c>
      <c r="H970" s="5" t="s">
        <v>43</v>
      </c>
      <c r="I970" s="5" t="s">
        <v>92</v>
      </c>
      <c r="J970" s="21" t="s">
        <v>191</v>
      </c>
      <c r="K970" s="21" t="s">
        <v>2241</v>
      </c>
      <c r="L970" s="6" t="s">
        <v>95</v>
      </c>
      <c r="M970" s="5">
        <v>12</v>
      </c>
      <c r="N970" s="5" t="s">
        <v>91</v>
      </c>
      <c r="O970" s="5" t="s">
        <v>91</v>
      </c>
      <c r="P970" s="5" t="s">
        <v>91</v>
      </c>
      <c r="Q970" s="6" t="s">
        <v>105</v>
      </c>
      <c r="R970" s="6" t="s">
        <v>194</v>
      </c>
      <c r="S970" s="6"/>
      <c r="T970" s="6"/>
      <c r="U970" s="5"/>
      <c r="V970" s="6"/>
      <c r="W970" s="6" t="s">
        <v>672</v>
      </c>
      <c r="X970" s="6"/>
      <c r="Y970" s="22"/>
      <c r="Z970" s="6">
        <v>5</v>
      </c>
      <c r="AA970" s="21"/>
      <c r="AB970" s="23">
        <v>44098</v>
      </c>
      <c r="AC970" s="21" t="s">
        <v>32</v>
      </c>
      <c r="AD970" s="24" t="s">
        <v>2242</v>
      </c>
      <c r="AE970" s="6" t="s">
        <v>31</v>
      </c>
      <c r="AF970" s="6"/>
      <c r="AG970" s="6" t="s">
        <v>3042</v>
      </c>
    </row>
    <row r="971" spans="1:33" ht="7.5" customHeight="1" x14ac:dyDescent="0.25">
      <c r="A971" s="27"/>
      <c r="B971" s="39"/>
      <c r="C971" s="39"/>
      <c r="D971" s="39"/>
      <c r="E971" s="28"/>
      <c r="F971" s="27"/>
      <c r="G971" s="27"/>
      <c r="H971" s="27"/>
      <c r="I971" s="27"/>
      <c r="J971" s="30"/>
      <c r="K971" s="30"/>
      <c r="L971" s="29"/>
      <c r="M971" s="27"/>
      <c r="N971" s="27"/>
      <c r="O971" s="27"/>
      <c r="P971" s="27"/>
      <c r="Q971" s="29"/>
      <c r="R971" s="29"/>
      <c r="S971" s="29"/>
      <c r="T971" s="29"/>
      <c r="U971" s="27"/>
      <c r="V971" s="29"/>
      <c r="W971" s="29"/>
      <c r="X971" s="29"/>
      <c r="Y971" s="31"/>
      <c r="Z971" s="29"/>
      <c r="AA971" s="30"/>
      <c r="AB971" s="32"/>
      <c r="AC971" s="30"/>
      <c r="AD971" s="33"/>
      <c r="AE971" s="29"/>
      <c r="AF971" s="29"/>
      <c r="AG971" s="29"/>
    </row>
    <row r="972" spans="1:33" ht="15" customHeight="1" x14ac:dyDescent="0.25">
      <c r="A972" s="5">
        <v>46</v>
      </c>
      <c r="B972" s="38">
        <v>44144</v>
      </c>
      <c r="C972" s="38">
        <v>44117</v>
      </c>
      <c r="D972" s="38">
        <v>44103</v>
      </c>
      <c r="E972" s="28">
        <v>44144</v>
      </c>
      <c r="F972" s="5">
        <v>7796</v>
      </c>
      <c r="G972" s="5" t="s">
        <v>91</v>
      </c>
      <c r="H972" s="5" t="s">
        <v>41</v>
      </c>
      <c r="I972" s="5" t="s">
        <v>92</v>
      </c>
      <c r="J972" s="21" t="s">
        <v>214</v>
      </c>
      <c r="K972" s="21" t="s">
        <v>2522</v>
      </c>
      <c r="L972" s="6" t="s">
        <v>2523</v>
      </c>
      <c r="M972" s="5">
        <v>1</v>
      </c>
      <c r="N972" s="5" t="s">
        <v>91</v>
      </c>
      <c r="O972" s="5" t="s">
        <v>91</v>
      </c>
      <c r="P972" s="5" t="s">
        <v>91</v>
      </c>
      <c r="Q972" s="6" t="s">
        <v>105</v>
      </c>
      <c r="R972" s="6" t="s">
        <v>223</v>
      </c>
      <c r="S972" s="6"/>
      <c r="T972" s="6"/>
      <c r="U972" s="5"/>
      <c r="V972" s="6"/>
      <c r="W972" s="6" t="s">
        <v>2524</v>
      </c>
      <c r="X972" s="6"/>
      <c r="Y972" s="22"/>
      <c r="Z972" s="6"/>
      <c r="AA972" s="21"/>
      <c r="AB972" s="23">
        <v>44114</v>
      </c>
      <c r="AC972" s="21" t="s">
        <v>30</v>
      </c>
      <c r="AD972" s="24" t="s">
        <v>2525</v>
      </c>
      <c r="AE972" s="6" t="s">
        <v>31</v>
      </c>
      <c r="AF972" s="6"/>
      <c r="AG972" s="6" t="s">
        <v>3039</v>
      </c>
    </row>
    <row r="973" spans="1:33" ht="7.5" customHeight="1" x14ac:dyDescent="0.25">
      <c r="A973" s="27"/>
      <c r="B973" s="39"/>
      <c r="C973" s="39"/>
      <c r="D973" s="39"/>
      <c r="E973" s="28"/>
      <c r="F973" s="27"/>
      <c r="G973" s="27"/>
      <c r="H973" s="27"/>
      <c r="I973" s="27"/>
      <c r="J973" s="30"/>
      <c r="K973" s="30"/>
      <c r="L973" s="29"/>
      <c r="M973" s="27"/>
      <c r="N973" s="27"/>
      <c r="O973" s="27"/>
      <c r="P973" s="27"/>
      <c r="Q973" s="29"/>
      <c r="R973" s="29"/>
      <c r="S973" s="29"/>
      <c r="T973" s="29"/>
      <c r="U973" s="27"/>
      <c r="V973" s="29"/>
      <c r="W973" s="29"/>
      <c r="X973" s="29"/>
      <c r="Y973" s="31"/>
      <c r="Z973" s="29"/>
      <c r="AA973" s="30"/>
      <c r="AB973" s="32"/>
      <c r="AC973" s="30"/>
      <c r="AD973" s="33"/>
      <c r="AE973" s="29"/>
      <c r="AF973" s="29"/>
      <c r="AG973" s="29"/>
    </row>
    <row r="974" spans="1:33" ht="15" customHeight="1" x14ac:dyDescent="0.25">
      <c r="A974" s="5">
        <v>44</v>
      </c>
      <c r="B974" s="38">
        <v>44132</v>
      </c>
      <c r="C974" s="38">
        <v>44118</v>
      </c>
      <c r="D974" s="38">
        <v>44111</v>
      </c>
      <c r="E974" s="35">
        <v>44132</v>
      </c>
      <c r="F974" s="5">
        <v>10704</v>
      </c>
      <c r="G974" s="5" t="s">
        <v>91</v>
      </c>
      <c r="H974" s="5" t="s">
        <v>43</v>
      </c>
      <c r="I974" s="5" t="s">
        <v>92</v>
      </c>
      <c r="J974" s="21" t="s">
        <v>170</v>
      </c>
      <c r="K974" s="21" t="s">
        <v>2265</v>
      </c>
      <c r="L974" s="6" t="s">
        <v>2266</v>
      </c>
      <c r="M974" s="5">
        <v>15</v>
      </c>
      <c r="N974" s="5" t="s">
        <v>91</v>
      </c>
      <c r="O974" s="5" t="s">
        <v>91</v>
      </c>
      <c r="P974" s="5" t="s">
        <v>1215</v>
      </c>
      <c r="Q974" s="6" t="s">
        <v>105</v>
      </c>
      <c r="R974" s="6" t="s">
        <v>112</v>
      </c>
      <c r="S974" s="6"/>
      <c r="T974" s="6"/>
      <c r="U974" s="5"/>
      <c r="V974" s="6" t="s">
        <v>2267</v>
      </c>
      <c r="W974" s="6" t="s">
        <v>173</v>
      </c>
      <c r="X974" s="6" t="s">
        <v>251</v>
      </c>
      <c r="Y974" s="22"/>
      <c r="Z974" s="6">
        <v>4.3</v>
      </c>
      <c r="AA974" s="21" t="s">
        <v>2268</v>
      </c>
      <c r="AB974" s="23">
        <v>44110</v>
      </c>
      <c r="AC974" s="21" t="s">
        <v>32</v>
      </c>
      <c r="AD974" s="24" t="s">
        <v>2269</v>
      </c>
      <c r="AE974" s="6" t="s">
        <v>31</v>
      </c>
      <c r="AF974" s="6"/>
      <c r="AG974" s="6" t="s">
        <v>3039</v>
      </c>
    </row>
    <row r="975" spans="1:33" ht="15" customHeight="1" x14ac:dyDescent="0.25">
      <c r="A975" s="5">
        <v>44</v>
      </c>
      <c r="B975" s="38">
        <v>44132</v>
      </c>
      <c r="C975" s="38">
        <v>44118</v>
      </c>
      <c r="D975" s="38">
        <v>44111</v>
      </c>
      <c r="E975" s="35">
        <v>44132</v>
      </c>
      <c r="F975" s="5">
        <v>10705</v>
      </c>
      <c r="G975" s="5" t="s">
        <v>91</v>
      </c>
      <c r="H975" s="5" t="s">
        <v>43</v>
      </c>
      <c r="I975" s="5" t="s">
        <v>92</v>
      </c>
      <c r="J975" s="21" t="s">
        <v>170</v>
      </c>
      <c r="K975" s="21" t="s">
        <v>2270</v>
      </c>
      <c r="L975" s="6" t="s">
        <v>2271</v>
      </c>
      <c r="M975" s="5">
        <v>2</v>
      </c>
      <c r="N975" s="5" t="s">
        <v>91</v>
      </c>
      <c r="O975" s="5" t="s">
        <v>91</v>
      </c>
      <c r="P975" s="5" t="s">
        <v>91</v>
      </c>
      <c r="Q975" s="6" t="s">
        <v>2272</v>
      </c>
      <c r="R975" s="6" t="s">
        <v>440</v>
      </c>
      <c r="S975" s="6"/>
      <c r="T975" s="6"/>
      <c r="U975" s="5"/>
      <c r="V975" s="6"/>
      <c r="W975" s="6" t="s">
        <v>2273</v>
      </c>
      <c r="X975" s="6" t="s">
        <v>2274</v>
      </c>
      <c r="Y975" s="22"/>
      <c r="Z975" s="6"/>
      <c r="AA975" s="21"/>
      <c r="AB975" s="23">
        <v>44117</v>
      </c>
      <c r="AC975" s="21" t="s">
        <v>32</v>
      </c>
      <c r="AD975" s="24" t="s">
        <v>2275</v>
      </c>
      <c r="AE975" s="6" t="s">
        <v>36</v>
      </c>
      <c r="AF975" s="6"/>
      <c r="AG975" s="6" t="s">
        <v>3040</v>
      </c>
    </row>
    <row r="976" spans="1:33" ht="15" customHeight="1" x14ac:dyDescent="0.25">
      <c r="A976" s="5">
        <v>44</v>
      </c>
      <c r="B976" s="38">
        <v>44132</v>
      </c>
      <c r="C976" s="38">
        <v>44118</v>
      </c>
      <c r="D976" s="38">
        <v>44111</v>
      </c>
      <c r="E976" s="35">
        <v>44132</v>
      </c>
      <c r="F976" s="5">
        <v>10714</v>
      </c>
      <c r="G976" s="5" t="s">
        <v>91</v>
      </c>
      <c r="H976" s="5" t="s">
        <v>43</v>
      </c>
      <c r="I976" s="5" t="s">
        <v>92</v>
      </c>
      <c r="J976" s="21" t="s">
        <v>170</v>
      </c>
      <c r="K976" s="21" t="s">
        <v>2283</v>
      </c>
      <c r="L976" s="6" t="s">
        <v>2284</v>
      </c>
      <c r="M976" s="5">
        <v>1</v>
      </c>
      <c r="N976" s="5" t="s">
        <v>91</v>
      </c>
      <c r="O976" s="5" t="s">
        <v>91</v>
      </c>
      <c r="P976" s="5" t="s">
        <v>91</v>
      </c>
      <c r="Q976" s="6"/>
      <c r="R976" s="6" t="s">
        <v>112</v>
      </c>
      <c r="S976" s="6" t="s">
        <v>244</v>
      </c>
      <c r="T976" s="6"/>
      <c r="U976" s="5"/>
      <c r="V976" s="6"/>
      <c r="W976" s="6" t="s">
        <v>2285</v>
      </c>
      <c r="X976" s="6"/>
      <c r="Y976" s="22"/>
      <c r="Z976" s="6"/>
      <c r="AA976" s="21"/>
      <c r="AB976" s="23">
        <v>44125</v>
      </c>
      <c r="AC976" s="21" t="s">
        <v>39</v>
      </c>
      <c r="AD976" s="24" t="s">
        <v>2286</v>
      </c>
      <c r="AE976" s="6" t="s">
        <v>37</v>
      </c>
      <c r="AF976" s="6"/>
      <c r="AG976" s="6" t="s">
        <v>3039</v>
      </c>
    </row>
    <row r="977" spans="1:33" ht="15" customHeight="1" x14ac:dyDescent="0.25">
      <c r="A977" s="5">
        <v>44</v>
      </c>
      <c r="B977" s="38">
        <v>44132</v>
      </c>
      <c r="C977" s="38">
        <v>44118</v>
      </c>
      <c r="D977" s="38">
        <v>44111</v>
      </c>
      <c r="E977" s="35">
        <v>44132</v>
      </c>
      <c r="F977" s="5">
        <v>3120</v>
      </c>
      <c r="G977" s="5" t="s">
        <v>91</v>
      </c>
      <c r="H977" s="5" t="s">
        <v>41</v>
      </c>
      <c r="I977" s="5" t="s">
        <v>92</v>
      </c>
      <c r="J977" s="21" t="s">
        <v>93</v>
      </c>
      <c r="K977" s="21" t="s">
        <v>2292</v>
      </c>
      <c r="L977" s="6" t="s">
        <v>306</v>
      </c>
      <c r="M977" s="5">
        <v>0</v>
      </c>
      <c r="N977" s="5" t="s">
        <v>91</v>
      </c>
      <c r="O977" s="5" t="s">
        <v>91</v>
      </c>
      <c r="P977" s="5" t="s">
        <v>91</v>
      </c>
      <c r="Q977" s="6"/>
      <c r="R977" s="6" t="s">
        <v>380</v>
      </c>
      <c r="S977" s="6"/>
      <c r="T977" s="6"/>
      <c r="U977" s="5"/>
      <c r="V977" s="6" t="s">
        <v>2293</v>
      </c>
      <c r="W977" s="6" t="s">
        <v>845</v>
      </c>
      <c r="X977" s="6"/>
      <c r="Y977" s="22"/>
      <c r="Z977" s="6"/>
      <c r="AA977" s="21"/>
      <c r="AB977" s="23">
        <v>44120</v>
      </c>
      <c r="AC977" s="21" t="s">
        <v>30</v>
      </c>
      <c r="AD977" s="24" t="s">
        <v>2294</v>
      </c>
      <c r="AE977" s="6" t="s">
        <v>31</v>
      </c>
      <c r="AF977" s="6"/>
      <c r="AG977" s="6" t="s">
        <v>3041</v>
      </c>
    </row>
    <row r="978" spans="1:33" ht="7.5" customHeight="1" x14ac:dyDescent="0.25">
      <c r="A978" s="27"/>
      <c r="B978" s="39"/>
      <c r="C978" s="39"/>
      <c r="D978" s="39"/>
      <c r="E978" s="28"/>
      <c r="F978" s="27"/>
      <c r="G978" s="27"/>
      <c r="H978" s="27"/>
      <c r="I978" s="27"/>
      <c r="J978" s="30"/>
      <c r="K978" s="30"/>
      <c r="L978" s="29"/>
      <c r="M978" s="27"/>
      <c r="N978" s="27"/>
      <c r="O978" s="27"/>
      <c r="P978" s="27"/>
      <c r="Q978" s="29"/>
      <c r="R978" s="29"/>
      <c r="S978" s="29"/>
      <c r="T978" s="29"/>
      <c r="U978" s="27"/>
      <c r="V978" s="29"/>
      <c r="W978" s="29"/>
      <c r="X978" s="29"/>
      <c r="Y978" s="31"/>
      <c r="Z978" s="29"/>
      <c r="AA978" s="30"/>
      <c r="AB978" s="32"/>
      <c r="AC978" s="30"/>
      <c r="AD978" s="33"/>
      <c r="AE978" s="29"/>
      <c r="AF978" s="29"/>
      <c r="AG978" s="29"/>
    </row>
    <row r="979" spans="1:33" ht="15" customHeight="1" x14ac:dyDescent="0.25">
      <c r="A979" s="5">
        <v>45</v>
      </c>
      <c r="B979" s="38">
        <v>44139</v>
      </c>
      <c r="C979" s="38">
        <v>44118</v>
      </c>
      <c r="D979" s="38">
        <v>44111</v>
      </c>
      <c r="E979" s="36">
        <v>44139</v>
      </c>
      <c r="F979" s="5">
        <v>3117</v>
      </c>
      <c r="G979" s="5" t="s">
        <v>91</v>
      </c>
      <c r="H979" s="5" t="s">
        <v>41</v>
      </c>
      <c r="I979" s="5" t="s">
        <v>92</v>
      </c>
      <c r="J979" s="21" t="s">
        <v>93</v>
      </c>
      <c r="K979" s="21" t="s">
        <v>2418</v>
      </c>
      <c r="L979" s="6" t="s">
        <v>2419</v>
      </c>
      <c r="M979" s="5">
        <v>15</v>
      </c>
      <c r="N979" s="5" t="s">
        <v>91</v>
      </c>
      <c r="O979" s="5" t="s">
        <v>91</v>
      </c>
      <c r="P979" s="5" t="s">
        <v>91</v>
      </c>
      <c r="Q979" s="6" t="s">
        <v>105</v>
      </c>
      <c r="R979" s="6" t="s">
        <v>1506</v>
      </c>
      <c r="S979" s="6" t="s">
        <v>1287</v>
      </c>
      <c r="T979" s="6"/>
      <c r="U979" s="5"/>
      <c r="V979" s="6"/>
      <c r="W979" s="6" t="s">
        <v>2420</v>
      </c>
      <c r="X979" s="6" t="s">
        <v>2421</v>
      </c>
      <c r="Y979" s="22"/>
      <c r="Z979" s="6"/>
      <c r="AA979" s="21">
        <v>10199</v>
      </c>
      <c r="AB979" s="23">
        <v>44104</v>
      </c>
      <c r="AC979" s="21" t="s">
        <v>32</v>
      </c>
      <c r="AD979" s="24" t="s">
        <v>2422</v>
      </c>
      <c r="AE979" s="6" t="s">
        <v>31</v>
      </c>
      <c r="AF979" s="6"/>
      <c r="AG979" s="6" t="s">
        <v>3042</v>
      </c>
    </row>
    <row r="980" spans="1:33" ht="15" customHeight="1" x14ac:dyDescent="0.25">
      <c r="A980" s="5">
        <v>45</v>
      </c>
      <c r="B980" s="38">
        <v>44139</v>
      </c>
      <c r="C980" s="38">
        <v>44118</v>
      </c>
      <c r="D980" s="38">
        <v>44111</v>
      </c>
      <c r="E980" s="36">
        <v>44139</v>
      </c>
      <c r="F980" s="5">
        <v>12100</v>
      </c>
      <c r="G980" s="5" t="s">
        <v>91</v>
      </c>
      <c r="H980" s="5" t="s">
        <v>43</v>
      </c>
      <c r="I980" s="5" t="s">
        <v>92</v>
      </c>
      <c r="J980" s="21" t="s">
        <v>275</v>
      </c>
      <c r="K980" s="21" t="s">
        <v>2427</v>
      </c>
      <c r="L980" s="6" t="s">
        <v>152</v>
      </c>
      <c r="M980" s="5">
        <v>5</v>
      </c>
      <c r="N980" s="5" t="s">
        <v>91</v>
      </c>
      <c r="O980" s="5" t="s">
        <v>91</v>
      </c>
      <c r="P980" s="5" t="s">
        <v>91</v>
      </c>
      <c r="Q980" s="6" t="s">
        <v>96</v>
      </c>
      <c r="R980" s="6" t="s">
        <v>2106</v>
      </c>
      <c r="S980" s="6"/>
      <c r="T980" s="6"/>
      <c r="U980" s="5"/>
      <c r="V980" s="6"/>
      <c r="W980" s="6" t="s">
        <v>416</v>
      </c>
      <c r="X980" s="6"/>
      <c r="Y980" s="22"/>
      <c r="Z980" s="6"/>
      <c r="AA980" s="21"/>
      <c r="AB980" s="23">
        <v>44116</v>
      </c>
      <c r="AC980" s="21" t="s">
        <v>30</v>
      </c>
      <c r="AD980" s="24" t="s">
        <v>2428</v>
      </c>
      <c r="AE980" s="6" t="s">
        <v>38</v>
      </c>
      <c r="AF980" s="6"/>
      <c r="AG980" s="6" t="s">
        <v>3040</v>
      </c>
    </row>
    <row r="981" spans="1:33" ht="7.5" customHeight="1" x14ac:dyDescent="0.25">
      <c r="A981" s="27"/>
      <c r="B981" s="39"/>
      <c r="C981" s="39"/>
      <c r="D981" s="39"/>
      <c r="E981" s="28"/>
      <c r="F981" s="27"/>
      <c r="G981" s="27"/>
      <c r="H981" s="27"/>
      <c r="I981" s="27"/>
      <c r="J981" s="30"/>
      <c r="K981" s="30"/>
      <c r="L981" s="29"/>
      <c r="M981" s="27"/>
      <c r="N981" s="27"/>
      <c r="O981" s="27"/>
      <c r="P981" s="27"/>
      <c r="Q981" s="29"/>
      <c r="R981" s="29"/>
      <c r="S981" s="29"/>
      <c r="T981" s="29"/>
      <c r="U981" s="27"/>
      <c r="V981" s="29"/>
      <c r="W981" s="29"/>
      <c r="X981" s="29"/>
      <c r="Y981" s="31"/>
      <c r="Z981" s="29"/>
      <c r="AA981" s="30"/>
      <c r="AB981" s="32"/>
      <c r="AC981" s="30"/>
      <c r="AD981" s="33"/>
      <c r="AE981" s="29"/>
      <c r="AF981" s="29"/>
      <c r="AG981" s="29"/>
    </row>
    <row r="982" spans="1:33" ht="15" customHeight="1" x14ac:dyDescent="0.25">
      <c r="A982" s="5">
        <v>44</v>
      </c>
      <c r="B982" s="38">
        <v>44132</v>
      </c>
      <c r="C982" s="38">
        <v>44118</v>
      </c>
      <c r="D982" s="38">
        <v>44111</v>
      </c>
      <c r="E982" s="35">
        <v>44132</v>
      </c>
      <c r="F982" s="5">
        <v>5706</v>
      </c>
      <c r="G982" s="5" t="s">
        <v>91</v>
      </c>
      <c r="H982" s="5" t="s">
        <v>43</v>
      </c>
      <c r="I982" s="5" t="s">
        <v>92</v>
      </c>
      <c r="J982" s="21" t="s">
        <v>131</v>
      </c>
      <c r="K982" s="21" t="s">
        <v>2309</v>
      </c>
      <c r="L982" s="6" t="s">
        <v>2266</v>
      </c>
      <c r="M982" s="5">
        <v>0</v>
      </c>
      <c r="N982" s="5" t="s">
        <v>91</v>
      </c>
      <c r="O982" s="5" t="s">
        <v>91</v>
      </c>
      <c r="P982" s="5" t="s">
        <v>91</v>
      </c>
      <c r="Q982" s="6" t="s">
        <v>96</v>
      </c>
      <c r="R982" s="6" t="s">
        <v>296</v>
      </c>
      <c r="S982" s="6"/>
      <c r="T982" s="6"/>
      <c r="U982" s="5"/>
      <c r="V982" s="6"/>
      <c r="W982" s="6" t="s">
        <v>1919</v>
      </c>
      <c r="X982" s="6"/>
      <c r="Y982" s="22"/>
      <c r="Z982" s="6"/>
      <c r="AA982" s="21"/>
      <c r="AB982" s="23">
        <v>44119</v>
      </c>
      <c r="AC982" s="21" t="s">
        <v>33</v>
      </c>
      <c r="AD982" s="24" t="s">
        <v>2310</v>
      </c>
      <c r="AE982" s="6" t="s">
        <v>35</v>
      </c>
      <c r="AF982" s="6"/>
      <c r="AG982" s="6" t="s">
        <v>3042</v>
      </c>
    </row>
    <row r="983" spans="1:33" ht="15" customHeight="1" x14ac:dyDescent="0.25">
      <c r="A983" s="5">
        <v>44</v>
      </c>
      <c r="B983" s="38">
        <v>44132</v>
      </c>
      <c r="C983" s="38">
        <v>44118</v>
      </c>
      <c r="D983" s="38">
        <v>44111</v>
      </c>
      <c r="E983" s="35">
        <v>44132</v>
      </c>
      <c r="F983" s="5">
        <v>5709</v>
      </c>
      <c r="G983" s="5" t="s">
        <v>91</v>
      </c>
      <c r="H983" s="5" t="s">
        <v>43</v>
      </c>
      <c r="I983" s="5" t="s">
        <v>92</v>
      </c>
      <c r="J983" s="21" t="s">
        <v>131</v>
      </c>
      <c r="K983" s="21" t="s">
        <v>2311</v>
      </c>
      <c r="L983" s="6" t="s">
        <v>1781</v>
      </c>
      <c r="M983" s="5">
        <v>0</v>
      </c>
      <c r="N983" s="5" t="s">
        <v>91</v>
      </c>
      <c r="O983" s="5" t="s">
        <v>91</v>
      </c>
      <c r="P983" s="5" t="s">
        <v>91</v>
      </c>
      <c r="Q983" s="6" t="s">
        <v>105</v>
      </c>
      <c r="R983" s="6" t="s">
        <v>296</v>
      </c>
      <c r="S983" s="6"/>
      <c r="T983" s="6"/>
      <c r="U983" s="5"/>
      <c r="V983" s="6"/>
      <c r="W983" s="6" t="s">
        <v>1919</v>
      </c>
      <c r="X983" s="6"/>
      <c r="Y983" s="22"/>
      <c r="Z983" s="6"/>
      <c r="AA983" s="21"/>
      <c r="AB983" s="23">
        <v>44119</v>
      </c>
      <c r="AC983" s="21" t="s">
        <v>32</v>
      </c>
      <c r="AD983" s="24" t="s">
        <v>2312</v>
      </c>
      <c r="AE983" s="6" t="s">
        <v>31</v>
      </c>
      <c r="AF983" s="6"/>
      <c r="AG983" s="6" t="s">
        <v>3039</v>
      </c>
    </row>
    <row r="984" spans="1:33" ht="7.5" customHeight="1" x14ac:dyDescent="0.25">
      <c r="A984" s="27"/>
      <c r="B984" s="39"/>
      <c r="C984" s="39"/>
      <c r="D984" s="39"/>
      <c r="E984" s="28"/>
      <c r="F984" s="27"/>
      <c r="G984" s="27"/>
      <c r="H984" s="27"/>
      <c r="I984" s="27"/>
      <c r="J984" s="30"/>
      <c r="K984" s="30"/>
      <c r="L984" s="29"/>
      <c r="M984" s="27"/>
      <c r="N984" s="27"/>
      <c r="O984" s="27"/>
      <c r="P984" s="27"/>
      <c r="Q984" s="29"/>
      <c r="R984" s="29"/>
      <c r="S984" s="29"/>
      <c r="T984" s="29"/>
      <c r="U984" s="27"/>
      <c r="V984" s="29"/>
      <c r="W984" s="29"/>
      <c r="X984" s="29"/>
      <c r="Y984" s="31"/>
      <c r="Z984" s="29"/>
      <c r="AA984" s="30"/>
      <c r="AB984" s="32"/>
      <c r="AC984" s="30"/>
      <c r="AD984" s="33"/>
      <c r="AE984" s="29"/>
      <c r="AF984" s="29"/>
      <c r="AG984" s="29"/>
    </row>
    <row r="985" spans="1:33" ht="15" customHeight="1" x14ac:dyDescent="0.25">
      <c r="A985" s="5">
        <v>45</v>
      </c>
      <c r="B985" s="38">
        <v>44139</v>
      </c>
      <c r="C985" s="38">
        <v>44118</v>
      </c>
      <c r="D985" s="38">
        <v>44111</v>
      </c>
      <c r="E985" s="36">
        <v>44139</v>
      </c>
      <c r="F985" s="5">
        <v>5704</v>
      </c>
      <c r="G985" s="5" t="s">
        <v>91</v>
      </c>
      <c r="H985" s="5" t="s">
        <v>43</v>
      </c>
      <c r="I985" s="5" t="s">
        <v>92</v>
      </c>
      <c r="J985" s="21" t="s">
        <v>131</v>
      </c>
      <c r="K985" s="21" t="s">
        <v>2436</v>
      </c>
      <c r="L985" s="6" t="s">
        <v>2437</v>
      </c>
      <c r="M985" s="5">
        <v>7</v>
      </c>
      <c r="N985" s="5" t="s">
        <v>91</v>
      </c>
      <c r="O985" s="5" t="s">
        <v>91</v>
      </c>
      <c r="P985" s="5" t="s">
        <v>91</v>
      </c>
      <c r="Q985" s="6" t="s">
        <v>105</v>
      </c>
      <c r="R985" s="6" t="s">
        <v>2106</v>
      </c>
      <c r="S985" s="6"/>
      <c r="T985" s="6"/>
      <c r="U985" s="5"/>
      <c r="V985" s="6"/>
      <c r="W985" s="6" t="s">
        <v>1919</v>
      </c>
      <c r="X985" s="6"/>
      <c r="Y985" s="22"/>
      <c r="Z985" s="6">
        <v>2.5</v>
      </c>
      <c r="AA985" s="21"/>
      <c r="AB985" s="23">
        <v>44110</v>
      </c>
      <c r="AC985" s="21" t="s">
        <v>32</v>
      </c>
      <c r="AD985" s="24" t="s">
        <v>2438</v>
      </c>
      <c r="AE985" s="6" t="s">
        <v>34</v>
      </c>
      <c r="AF985" s="6"/>
      <c r="AG985" s="6" t="s">
        <v>3040</v>
      </c>
    </row>
    <row r="986" spans="1:33" ht="7.5" customHeight="1" x14ac:dyDescent="0.25">
      <c r="A986" s="27"/>
      <c r="B986" s="39"/>
      <c r="C986" s="39"/>
      <c r="D986" s="39"/>
      <c r="E986" s="28"/>
      <c r="F986" s="27"/>
      <c r="G986" s="27"/>
      <c r="H986" s="27"/>
      <c r="I986" s="27"/>
      <c r="J986" s="30"/>
      <c r="K986" s="30"/>
      <c r="L986" s="29"/>
      <c r="M986" s="27"/>
      <c r="N986" s="27"/>
      <c r="O986" s="27"/>
      <c r="P986" s="27"/>
      <c r="Q986" s="29"/>
      <c r="R986" s="29"/>
      <c r="S986" s="29"/>
      <c r="T986" s="29"/>
      <c r="U986" s="27"/>
      <c r="V986" s="29"/>
      <c r="W986" s="29"/>
      <c r="X986" s="29"/>
      <c r="Y986" s="31"/>
      <c r="Z986" s="29"/>
      <c r="AA986" s="30"/>
      <c r="AB986" s="32"/>
      <c r="AC986" s="30"/>
      <c r="AD986" s="33"/>
      <c r="AE986" s="29"/>
      <c r="AF986" s="29"/>
      <c r="AG986" s="29"/>
    </row>
    <row r="987" spans="1:33" ht="15" customHeight="1" x14ac:dyDescent="0.25">
      <c r="A987" s="5">
        <v>44</v>
      </c>
      <c r="B987" s="38">
        <v>44132</v>
      </c>
      <c r="C987" s="38">
        <v>44118</v>
      </c>
      <c r="D987" s="38">
        <v>44111</v>
      </c>
      <c r="E987" s="35">
        <v>44132</v>
      </c>
      <c r="F987" s="5">
        <v>6737</v>
      </c>
      <c r="G987" s="5" t="s">
        <v>91</v>
      </c>
      <c r="H987" s="5" t="s">
        <v>41</v>
      </c>
      <c r="I987" s="5" t="s">
        <v>92</v>
      </c>
      <c r="J987" s="21" t="s">
        <v>191</v>
      </c>
      <c r="K987" s="21" t="s">
        <v>2313</v>
      </c>
      <c r="L987" s="6" t="s">
        <v>2314</v>
      </c>
      <c r="M987" s="5">
        <v>20</v>
      </c>
      <c r="N987" s="5" t="s">
        <v>91</v>
      </c>
      <c r="O987" s="5" t="s">
        <v>91</v>
      </c>
      <c r="P987" s="5" t="s">
        <v>91</v>
      </c>
      <c r="Q987" s="6" t="s">
        <v>105</v>
      </c>
      <c r="R987" s="6" t="s">
        <v>194</v>
      </c>
      <c r="S987" s="6"/>
      <c r="T987" s="6"/>
      <c r="U987" s="5"/>
      <c r="V987" s="6"/>
      <c r="W987" s="6" t="s">
        <v>871</v>
      </c>
      <c r="X987" s="6"/>
      <c r="Y987" s="22"/>
      <c r="Z987" s="6">
        <v>6</v>
      </c>
      <c r="AA987" s="21"/>
      <c r="AB987" s="23">
        <v>44099</v>
      </c>
      <c r="AC987" s="21" t="s">
        <v>30</v>
      </c>
      <c r="AD987" s="24" t="s">
        <v>2315</v>
      </c>
      <c r="AE987" s="6" t="s">
        <v>31</v>
      </c>
      <c r="AF987" s="6"/>
      <c r="AG987" s="6" t="s">
        <v>3040</v>
      </c>
    </row>
    <row r="988" spans="1:33" ht="15" customHeight="1" x14ac:dyDescent="0.25">
      <c r="A988" s="5">
        <v>44</v>
      </c>
      <c r="B988" s="38">
        <v>44132</v>
      </c>
      <c r="C988" s="38">
        <v>44118</v>
      </c>
      <c r="D988" s="38">
        <v>44111</v>
      </c>
      <c r="E988" s="35">
        <v>44132</v>
      </c>
      <c r="F988" s="5">
        <v>6752</v>
      </c>
      <c r="G988" s="5" t="s">
        <v>91</v>
      </c>
      <c r="H988" s="5" t="s">
        <v>41</v>
      </c>
      <c r="I988" s="5" t="s">
        <v>92</v>
      </c>
      <c r="J988" s="21" t="s">
        <v>191</v>
      </c>
      <c r="K988" s="21" t="s">
        <v>2316</v>
      </c>
      <c r="L988" s="6" t="s">
        <v>2317</v>
      </c>
      <c r="M988" s="5">
        <v>0</v>
      </c>
      <c r="N988" s="5" t="s">
        <v>91</v>
      </c>
      <c r="O988" s="5" t="s">
        <v>91</v>
      </c>
      <c r="P988" s="5" t="s">
        <v>91</v>
      </c>
      <c r="Q988" s="6"/>
      <c r="R988" s="6" t="s">
        <v>1189</v>
      </c>
      <c r="S988" s="6"/>
      <c r="T988" s="6"/>
      <c r="U988" s="5"/>
      <c r="V988" s="6" t="s">
        <v>2318</v>
      </c>
      <c r="W988" s="6" t="s">
        <v>2319</v>
      </c>
      <c r="X988" s="6"/>
      <c r="Y988" s="22"/>
      <c r="Z988" s="6"/>
      <c r="AA988" s="21"/>
      <c r="AB988" s="23">
        <v>44124</v>
      </c>
      <c r="AC988" s="21" t="s">
        <v>30</v>
      </c>
      <c r="AD988" s="24" t="s">
        <v>2320</v>
      </c>
      <c r="AE988" s="6" t="s">
        <v>31</v>
      </c>
      <c r="AF988" s="6"/>
      <c r="AG988" s="6" t="s">
        <v>3041</v>
      </c>
    </row>
    <row r="989" spans="1:33" ht="15" customHeight="1" x14ac:dyDescent="0.25">
      <c r="A989" s="5">
        <v>44</v>
      </c>
      <c r="B989" s="38">
        <v>44132</v>
      </c>
      <c r="C989" s="38">
        <v>44118</v>
      </c>
      <c r="D989" s="38">
        <v>44111</v>
      </c>
      <c r="E989" s="35">
        <v>44132</v>
      </c>
      <c r="F989" s="5">
        <v>8792</v>
      </c>
      <c r="G989" s="5" t="s">
        <v>91</v>
      </c>
      <c r="H989" s="5" t="s">
        <v>40</v>
      </c>
      <c r="I989" s="5" t="s">
        <v>92</v>
      </c>
      <c r="J989" s="21" t="s">
        <v>147</v>
      </c>
      <c r="K989" s="21" t="s">
        <v>2321</v>
      </c>
      <c r="L989" s="6" t="s">
        <v>2322</v>
      </c>
      <c r="M989" s="5">
        <v>1</v>
      </c>
      <c r="N989" s="5" t="s">
        <v>91</v>
      </c>
      <c r="O989" s="5" t="s">
        <v>91</v>
      </c>
      <c r="P989" s="5" t="s">
        <v>91</v>
      </c>
      <c r="Q989" s="6" t="s">
        <v>105</v>
      </c>
      <c r="R989" s="6" t="s">
        <v>106</v>
      </c>
      <c r="S989" s="6"/>
      <c r="T989" s="6"/>
      <c r="U989" s="5"/>
      <c r="V989" s="6"/>
      <c r="W989" s="6" t="s">
        <v>106</v>
      </c>
      <c r="X989" s="6"/>
      <c r="Y989" s="22"/>
      <c r="Z989" s="6"/>
      <c r="AA989" s="21"/>
      <c r="AB989" s="23">
        <v>44110</v>
      </c>
      <c r="AC989" s="21" t="s">
        <v>32</v>
      </c>
      <c r="AD989" s="24" t="s">
        <v>296</v>
      </c>
      <c r="AE989" s="6" t="s">
        <v>35</v>
      </c>
      <c r="AF989" s="6"/>
      <c r="AG989" s="6" t="s">
        <v>3042</v>
      </c>
    </row>
    <row r="990" spans="1:33" ht="7.5" customHeight="1" x14ac:dyDescent="0.25">
      <c r="A990" s="27"/>
      <c r="B990" s="39"/>
      <c r="C990" s="39"/>
      <c r="D990" s="39"/>
      <c r="E990" s="28"/>
      <c r="F990" s="27"/>
      <c r="G990" s="27"/>
      <c r="H990" s="27"/>
      <c r="I990" s="27"/>
      <c r="J990" s="30"/>
      <c r="K990" s="30"/>
      <c r="L990" s="29"/>
      <c r="M990" s="27"/>
      <c r="N990" s="27"/>
      <c r="O990" s="27"/>
      <c r="P990" s="27"/>
      <c r="Q990" s="29"/>
      <c r="R990" s="29"/>
      <c r="S990" s="29"/>
      <c r="T990" s="29"/>
      <c r="U990" s="27"/>
      <c r="V990" s="29"/>
      <c r="W990" s="29"/>
      <c r="X990" s="29"/>
      <c r="Y990" s="31"/>
      <c r="Z990" s="29"/>
      <c r="AA990" s="30"/>
      <c r="AB990" s="32"/>
      <c r="AC990" s="30"/>
      <c r="AD990" s="33"/>
      <c r="AE990" s="29"/>
      <c r="AF990" s="29"/>
      <c r="AG990" s="29"/>
    </row>
    <row r="991" spans="1:33" ht="15" customHeight="1" x14ac:dyDescent="0.25">
      <c r="A991" s="5">
        <v>45</v>
      </c>
      <c r="B991" s="38">
        <v>44140</v>
      </c>
      <c r="C991" s="38">
        <v>44119</v>
      </c>
      <c r="D991" s="38">
        <v>44112</v>
      </c>
      <c r="E991" s="36">
        <v>44140</v>
      </c>
      <c r="F991" s="5">
        <v>1622</v>
      </c>
      <c r="G991" s="5" t="s">
        <v>91</v>
      </c>
      <c r="H991" s="5" t="s">
        <v>43</v>
      </c>
      <c r="I991" s="5" t="s">
        <v>92</v>
      </c>
      <c r="J991" s="21" t="s">
        <v>372</v>
      </c>
      <c r="K991" s="21" t="s">
        <v>2446</v>
      </c>
      <c r="L991" s="6" t="s">
        <v>2447</v>
      </c>
      <c r="M991" s="5">
        <v>9</v>
      </c>
      <c r="N991" s="5" t="s">
        <v>91</v>
      </c>
      <c r="O991" s="5" t="s">
        <v>91</v>
      </c>
      <c r="P991" s="5" t="s">
        <v>91</v>
      </c>
      <c r="Q991" s="6" t="s">
        <v>96</v>
      </c>
      <c r="R991" s="6" t="s">
        <v>112</v>
      </c>
      <c r="S991" s="6" t="s">
        <v>98</v>
      </c>
      <c r="T991" s="6" t="s">
        <v>2448</v>
      </c>
      <c r="U991" s="5"/>
      <c r="V991" s="6"/>
      <c r="W991" s="6" t="s">
        <v>2449</v>
      </c>
      <c r="X991" s="6" t="s">
        <v>2450</v>
      </c>
      <c r="Y991" s="22"/>
      <c r="Z991" s="6"/>
      <c r="AA991" s="21"/>
      <c r="AB991" s="23"/>
      <c r="AC991" s="21" t="s">
        <v>32</v>
      </c>
      <c r="AD991" s="24"/>
      <c r="AE991" s="6" t="s">
        <v>31</v>
      </c>
      <c r="AF991" s="6"/>
      <c r="AG991" s="6" t="s">
        <v>3040</v>
      </c>
    </row>
    <row r="992" spans="1:33" ht="7.5" customHeight="1" x14ac:dyDescent="0.25">
      <c r="A992" s="27"/>
      <c r="B992" s="39"/>
      <c r="C992" s="39"/>
      <c r="D992" s="39"/>
      <c r="E992" s="28"/>
      <c r="F992" s="27"/>
      <c r="G992" s="27"/>
      <c r="H992" s="27"/>
      <c r="I992" s="27"/>
      <c r="J992" s="30"/>
      <c r="K992" s="30"/>
      <c r="L992" s="29"/>
      <c r="M992" s="27"/>
      <c r="N992" s="27"/>
      <c r="O992" s="27"/>
      <c r="P992" s="27"/>
      <c r="Q992" s="29"/>
      <c r="R992" s="29"/>
      <c r="S992" s="29"/>
      <c r="T992" s="29"/>
      <c r="U992" s="27"/>
      <c r="V992" s="29"/>
      <c r="W992" s="29"/>
      <c r="X992" s="29"/>
      <c r="Y992" s="31"/>
      <c r="Z992" s="29"/>
      <c r="AA992" s="30"/>
      <c r="AB992" s="32"/>
      <c r="AC992" s="30"/>
      <c r="AD992" s="33"/>
      <c r="AE992" s="29"/>
      <c r="AF992" s="29"/>
      <c r="AG992" s="29"/>
    </row>
    <row r="993" spans="1:33" ht="15" customHeight="1" x14ac:dyDescent="0.25">
      <c r="A993" s="5">
        <v>47</v>
      </c>
      <c r="B993" s="38">
        <v>44151</v>
      </c>
      <c r="C993" s="38">
        <v>44119</v>
      </c>
      <c r="D993" s="38">
        <v>44112</v>
      </c>
      <c r="E993" s="37">
        <v>44151</v>
      </c>
      <c r="F993" s="5">
        <v>6740</v>
      </c>
      <c r="G993" s="5" t="s">
        <v>91</v>
      </c>
      <c r="H993" s="5" t="s">
        <v>43</v>
      </c>
      <c r="I993" s="5" t="s">
        <v>92</v>
      </c>
      <c r="J993" s="21" t="s">
        <v>191</v>
      </c>
      <c r="K993" s="21" t="s">
        <v>276</v>
      </c>
      <c r="L993" s="6" t="s">
        <v>2687</v>
      </c>
      <c r="M993" s="5">
        <v>13</v>
      </c>
      <c r="N993" s="5" t="s">
        <v>91</v>
      </c>
      <c r="O993" s="5" t="s">
        <v>91</v>
      </c>
      <c r="P993" s="5" t="s">
        <v>1215</v>
      </c>
      <c r="Q993" s="6" t="s">
        <v>2546</v>
      </c>
      <c r="R993" s="6" t="s">
        <v>194</v>
      </c>
      <c r="S993" s="6"/>
      <c r="T993" s="6"/>
      <c r="U993" s="5"/>
      <c r="V993" s="6"/>
      <c r="W993" s="6" t="s">
        <v>2688</v>
      </c>
      <c r="X993" s="6"/>
      <c r="Y993" s="22"/>
      <c r="Z993" s="6"/>
      <c r="AA993" s="21"/>
      <c r="AB993" s="23">
        <v>44127</v>
      </c>
      <c r="AC993" s="21" t="s">
        <v>32</v>
      </c>
      <c r="AD993" s="24" t="s">
        <v>2689</v>
      </c>
      <c r="AE993" s="6" t="s">
        <v>31</v>
      </c>
      <c r="AF993" s="6"/>
      <c r="AG993" s="6" t="s">
        <v>3042</v>
      </c>
    </row>
    <row r="994" spans="1:33" ht="7.5" customHeight="1" x14ac:dyDescent="0.25">
      <c r="A994" s="27"/>
      <c r="B994" s="39"/>
      <c r="C994" s="39"/>
      <c r="D994" s="39"/>
      <c r="E994" s="28"/>
      <c r="F994" s="27"/>
      <c r="G994" s="27"/>
      <c r="H994" s="27"/>
      <c r="I994" s="27"/>
      <c r="J994" s="30"/>
      <c r="K994" s="30"/>
      <c r="L994" s="29"/>
      <c r="M994" s="27"/>
      <c r="N994" s="27"/>
      <c r="O994" s="27"/>
      <c r="P994" s="27"/>
      <c r="Q994" s="29"/>
      <c r="R994" s="29"/>
      <c r="S994" s="29"/>
      <c r="T994" s="29"/>
      <c r="U994" s="27"/>
      <c r="V994" s="29"/>
      <c r="W994" s="29"/>
      <c r="X994" s="29"/>
      <c r="Y994" s="31"/>
      <c r="Z994" s="29"/>
      <c r="AA994" s="30"/>
      <c r="AB994" s="32"/>
      <c r="AC994" s="30"/>
      <c r="AD994" s="33"/>
      <c r="AE994" s="29"/>
      <c r="AF994" s="29"/>
      <c r="AG994" s="29"/>
    </row>
    <row r="995" spans="1:33" ht="15" customHeight="1" x14ac:dyDescent="0.25">
      <c r="A995" s="5">
        <v>45</v>
      </c>
      <c r="B995" s="38">
        <v>44137</v>
      </c>
      <c r="C995" s="38">
        <v>44119</v>
      </c>
      <c r="D995" s="38">
        <v>44105</v>
      </c>
      <c r="E995" s="36">
        <v>44137</v>
      </c>
      <c r="F995" s="5">
        <v>8782</v>
      </c>
      <c r="G995" s="5" t="s">
        <v>91</v>
      </c>
      <c r="H995" s="5" t="s">
        <v>41</v>
      </c>
      <c r="I995" s="5" t="s">
        <v>92</v>
      </c>
      <c r="J995" s="21" t="s">
        <v>147</v>
      </c>
      <c r="K995" s="21" t="s">
        <v>2389</v>
      </c>
      <c r="L995" s="6" t="s">
        <v>2390</v>
      </c>
      <c r="M995" s="5">
        <v>10</v>
      </c>
      <c r="N995" s="5" t="s">
        <v>91</v>
      </c>
      <c r="O995" s="5" t="s">
        <v>91</v>
      </c>
      <c r="P995" s="5" t="s">
        <v>91</v>
      </c>
      <c r="Q995" s="6" t="s">
        <v>153</v>
      </c>
      <c r="R995" s="6" t="s">
        <v>1506</v>
      </c>
      <c r="S995" s="6" t="s">
        <v>98</v>
      </c>
      <c r="T995" s="6" t="s">
        <v>2391</v>
      </c>
      <c r="U995" s="5"/>
      <c r="V995" s="6"/>
      <c r="W995" s="6" t="s">
        <v>2392</v>
      </c>
      <c r="X995" s="6"/>
      <c r="Y995" s="22"/>
      <c r="Z995" s="6"/>
      <c r="AA995" s="21" t="s">
        <v>2393</v>
      </c>
      <c r="AB995" s="23">
        <v>44112</v>
      </c>
      <c r="AC995" s="21" t="s">
        <v>30</v>
      </c>
      <c r="AD995" s="24">
        <v>5593.97</v>
      </c>
      <c r="AE995" s="6" t="s">
        <v>35</v>
      </c>
      <c r="AF995" s="6"/>
      <c r="AG995" s="6" t="s">
        <v>3041</v>
      </c>
    </row>
    <row r="996" spans="1:33" ht="7.5" customHeight="1" x14ac:dyDescent="0.25">
      <c r="A996" s="27"/>
      <c r="B996" s="39"/>
      <c r="C996" s="39"/>
      <c r="D996" s="39"/>
      <c r="E996" s="28"/>
      <c r="F996" s="27"/>
      <c r="G996" s="27"/>
      <c r="H996" s="27"/>
      <c r="I996" s="27"/>
      <c r="J996" s="30"/>
      <c r="K996" s="30"/>
      <c r="L996" s="29"/>
      <c r="M996" s="27"/>
      <c r="N996" s="27"/>
      <c r="O996" s="27"/>
      <c r="P996" s="27"/>
      <c r="Q996" s="29"/>
      <c r="R996" s="29"/>
      <c r="S996" s="29"/>
      <c r="T996" s="29"/>
      <c r="U996" s="27"/>
      <c r="V996" s="29"/>
      <c r="W996" s="29"/>
      <c r="X996" s="29"/>
      <c r="Y996" s="31"/>
      <c r="Z996" s="29"/>
      <c r="AA996" s="30"/>
      <c r="AB996" s="32"/>
      <c r="AC996" s="30"/>
      <c r="AD996" s="33"/>
      <c r="AE996" s="29"/>
      <c r="AF996" s="29"/>
      <c r="AG996" s="29"/>
    </row>
    <row r="997" spans="1:33" ht="15" customHeight="1" x14ac:dyDescent="0.25">
      <c r="A997" s="5">
        <v>40</v>
      </c>
      <c r="B997" s="38">
        <v>44104</v>
      </c>
      <c r="C997" s="38">
        <v>44120</v>
      </c>
      <c r="D997" s="38">
        <v>44125</v>
      </c>
      <c r="E997" s="36" t="s">
        <v>442</v>
      </c>
      <c r="F997" s="5">
        <v>3097</v>
      </c>
      <c r="G997" s="5" t="s">
        <v>91</v>
      </c>
      <c r="H997" s="5" t="s">
        <v>41</v>
      </c>
      <c r="I997" s="5" t="s">
        <v>92</v>
      </c>
      <c r="J997" s="21" t="s">
        <v>93</v>
      </c>
      <c r="K997" s="21" t="s">
        <v>205</v>
      </c>
      <c r="L997" s="6" t="s">
        <v>206</v>
      </c>
      <c r="M997" s="5">
        <v>0</v>
      </c>
      <c r="N997" s="5" t="s">
        <v>91</v>
      </c>
      <c r="O997" s="5" t="s">
        <v>91</v>
      </c>
      <c r="P997" s="5" t="s">
        <v>91</v>
      </c>
      <c r="Q997" s="6" t="s">
        <v>96</v>
      </c>
      <c r="R997" s="6" t="s">
        <v>106</v>
      </c>
      <c r="S997" s="6"/>
      <c r="T997" s="6"/>
      <c r="U997" s="5"/>
      <c r="V997" s="6" t="s">
        <v>207</v>
      </c>
      <c r="W997" s="6" t="s">
        <v>107</v>
      </c>
      <c r="X997" s="6"/>
      <c r="Y997" s="22"/>
      <c r="Z997" s="6"/>
      <c r="AA997" s="21" t="s">
        <v>208</v>
      </c>
      <c r="AB997" s="23">
        <v>44098</v>
      </c>
      <c r="AC997" s="21" t="s">
        <v>30</v>
      </c>
      <c r="AD997" s="24" t="s">
        <v>209</v>
      </c>
      <c r="AE997" s="6" t="s">
        <v>31</v>
      </c>
      <c r="AF997" s="6"/>
      <c r="AG997" s="6" t="s">
        <v>3041</v>
      </c>
    </row>
    <row r="998" spans="1:33" ht="15" customHeight="1" x14ac:dyDescent="0.25">
      <c r="A998" s="5">
        <v>40</v>
      </c>
      <c r="B998" s="38">
        <v>44104</v>
      </c>
      <c r="C998" s="38">
        <v>44120</v>
      </c>
      <c r="D998" s="38">
        <v>44125</v>
      </c>
      <c r="E998" s="36" t="s">
        <v>442</v>
      </c>
      <c r="F998" s="5">
        <v>3095</v>
      </c>
      <c r="G998" s="5" t="s">
        <v>91</v>
      </c>
      <c r="H998" s="5" t="s">
        <v>43</v>
      </c>
      <c r="I998" s="5" t="s">
        <v>92</v>
      </c>
      <c r="J998" s="21" t="s">
        <v>93</v>
      </c>
      <c r="K998" s="21" t="s">
        <v>270</v>
      </c>
      <c r="L998" s="6" t="s">
        <v>271</v>
      </c>
      <c r="M998" s="5">
        <v>5</v>
      </c>
      <c r="N998" s="5" t="s">
        <v>91</v>
      </c>
      <c r="O998" s="5" t="s">
        <v>91</v>
      </c>
      <c r="P998" s="5" t="s">
        <v>91</v>
      </c>
      <c r="Q998" s="6" t="s">
        <v>105</v>
      </c>
      <c r="R998" s="6" t="s">
        <v>106</v>
      </c>
      <c r="S998" s="6"/>
      <c r="T998" s="6"/>
      <c r="U998" s="5"/>
      <c r="V998" s="6" t="s">
        <v>272</v>
      </c>
      <c r="W998" s="6" t="s">
        <v>107</v>
      </c>
      <c r="X998" s="6"/>
      <c r="Y998" s="22"/>
      <c r="Z998" s="6"/>
      <c r="AA998" s="21" t="s">
        <v>273</v>
      </c>
      <c r="AB998" s="23">
        <v>44097</v>
      </c>
      <c r="AC998" s="21" t="s">
        <v>30</v>
      </c>
      <c r="AD998" s="24" t="s">
        <v>274</v>
      </c>
      <c r="AE998" s="6" t="s">
        <v>35</v>
      </c>
      <c r="AF998" s="6"/>
      <c r="AG998" s="6" t="s">
        <v>3041</v>
      </c>
    </row>
    <row r="999" spans="1:33" ht="7.5" customHeight="1" x14ac:dyDescent="0.25">
      <c r="A999" s="27"/>
      <c r="B999" s="39"/>
      <c r="C999" s="39"/>
      <c r="D999" s="39"/>
      <c r="E999" s="28"/>
      <c r="F999" s="27"/>
      <c r="G999" s="27"/>
      <c r="H999" s="27"/>
      <c r="I999" s="27"/>
      <c r="J999" s="30"/>
      <c r="K999" s="30"/>
      <c r="L999" s="29"/>
      <c r="M999" s="27"/>
      <c r="N999" s="27"/>
      <c r="O999" s="27"/>
      <c r="P999" s="27"/>
      <c r="Q999" s="29"/>
      <c r="R999" s="29"/>
      <c r="S999" s="29"/>
      <c r="T999" s="29"/>
      <c r="U999" s="27"/>
      <c r="V999" s="29"/>
      <c r="W999" s="29"/>
      <c r="X999" s="29"/>
      <c r="Y999" s="31"/>
      <c r="Z999" s="29"/>
      <c r="AA999" s="30"/>
      <c r="AB999" s="32"/>
      <c r="AC999" s="30"/>
      <c r="AD999" s="33"/>
      <c r="AE999" s="29"/>
      <c r="AF999" s="29"/>
      <c r="AG999" s="29"/>
    </row>
    <row r="1000" spans="1:33" ht="15" customHeight="1" x14ac:dyDescent="0.25">
      <c r="A1000" s="5">
        <v>44</v>
      </c>
      <c r="B1000" s="38">
        <v>44134</v>
      </c>
      <c r="C1000" s="38">
        <v>44120</v>
      </c>
      <c r="D1000" s="38">
        <v>44113</v>
      </c>
      <c r="E1000" s="35">
        <v>44134</v>
      </c>
      <c r="F1000" s="5">
        <v>3126</v>
      </c>
      <c r="G1000" s="5" t="s">
        <v>91</v>
      </c>
      <c r="H1000" s="5" t="s">
        <v>41</v>
      </c>
      <c r="I1000" s="5" t="s">
        <v>92</v>
      </c>
      <c r="J1000" s="21" t="s">
        <v>93</v>
      </c>
      <c r="K1000" s="21" t="s">
        <v>2337</v>
      </c>
      <c r="L1000" s="6" t="s">
        <v>2338</v>
      </c>
      <c r="M1000" s="5">
        <v>0</v>
      </c>
      <c r="N1000" s="5" t="s">
        <v>91</v>
      </c>
      <c r="O1000" s="5" t="s">
        <v>91</v>
      </c>
      <c r="P1000" s="5" t="s">
        <v>91</v>
      </c>
      <c r="Q1000" s="6"/>
      <c r="R1000" s="6" t="s">
        <v>107</v>
      </c>
      <c r="S1000" s="6"/>
      <c r="T1000" s="6"/>
      <c r="U1000" s="5"/>
      <c r="V1000" s="6" t="s">
        <v>301</v>
      </c>
      <c r="W1000" s="6" t="s">
        <v>106</v>
      </c>
      <c r="X1000" s="6"/>
      <c r="Y1000" s="22"/>
      <c r="Z1000" s="6" t="s">
        <v>296</v>
      </c>
      <c r="AA1000" s="21" t="s">
        <v>2339</v>
      </c>
      <c r="AB1000" s="23">
        <v>44125</v>
      </c>
      <c r="AC1000" s="21" t="s">
        <v>33</v>
      </c>
      <c r="AD1000" s="24" t="s">
        <v>2340</v>
      </c>
      <c r="AE1000" s="6" t="s">
        <v>37</v>
      </c>
      <c r="AF1000" s="6"/>
      <c r="AG1000" s="6" t="s">
        <v>3041</v>
      </c>
    </row>
    <row r="1001" spans="1:33" ht="7.5" customHeight="1" x14ac:dyDescent="0.25">
      <c r="A1001" s="27"/>
      <c r="B1001" s="39"/>
      <c r="C1001" s="39"/>
      <c r="D1001" s="39"/>
      <c r="E1001" s="28"/>
      <c r="F1001" s="27"/>
      <c r="G1001" s="27"/>
      <c r="H1001" s="27"/>
      <c r="I1001" s="27"/>
      <c r="J1001" s="30"/>
      <c r="K1001" s="30"/>
      <c r="L1001" s="29"/>
      <c r="M1001" s="27"/>
      <c r="N1001" s="27"/>
      <c r="O1001" s="27"/>
      <c r="P1001" s="27"/>
      <c r="Q1001" s="29"/>
      <c r="R1001" s="29"/>
      <c r="S1001" s="29"/>
      <c r="T1001" s="29"/>
      <c r="U1001" s="27"/>
      <c r="V1001" s="29"/>
      <c r="W1001" s="29"/>
      <c r="X1001" s="29"/>
      <c r="Y1001" s="31"/>
      <c r="Z1001" s="29"/>
      <c r="AA1001" s="30"/>
      <c r="AB1001" s="32"/>
      <c r="AC1001" s="30"/>
      <c r="AD1001" s="33"/>
      <c r="AE1001" s="29"/>
      <c r="AF1001" s="29"/>
      <c r="AG1001" s="29"/>
    </row>
    <row r="1002" spans="1:33" ht="15" customHeight="1" x14ac:dyDescent="0.25">
      <c r="A1002" s="5">
        <v>44</v>
      </c>
      <c r="B1002" s="38">
        <v>44131</v>
      </c>
      <c r="C1002" s="38">
        <v>44120</v>
      </c>
      <c r="D1002" s="38">
        <v>44069</v>
      </c>
      <c r="E1002" s="35">
        <v>44131</v>
      </c>
      <c r="F1002" s="5">
        <v>5646</v>
      </c>
      <c r="G1002" s="5" t="s">
        <v>91</v>
      </c>
      <c r="H1002" s="5" t="s">
        <v>41</v>
      </c>
      <c r="I1002" s="5" t="s">
        <v>92</v>
      </c>
      <c r="J1002" s="21" t="s">
        <v>131</v>
      </c>
      <c r="K1002" s="21" t="s">
        <v>2234</v>
      </c>
      <c r="L1002" s="6" t="s">
        <v>498</v>
      </c>
      <c r="M1002" s="5">
        <v>0</v>
      </c>
      <c r="N1002" s="5" t="s">
        <v>91</v>
      </c>
      <c r="O1002" s="5" t="s">
        <v>91</v>
      </c>
      <c r="P1002" s="5" t="s">
        <v>91</v>
      </c>
      <c r="Q1002" s="6"/>
      <c r="R1002" s="6" t="s">
        <v>2106</v>
      </c>
      <c r="S1002" s="6"/>
      <c r="T1002" s="6"/>
      <c r="U1002" s="5"/>
      <c r="V1002" s="6"/>
      <c r="W1002" s="6" t="s">
        <v>499</v>
      </c>
      <c r="X1002" s="6"/>
      <c r="Y1002" s="22"/>
      <c r="Z1002" s="6"/>
      <c r="AA1002" s="21"/>
      <c r="AB1002" s="23">
        <v>44070</v>
      </c>
      <c r="AC1002" s="21" t="s">
        <v>32</v>
      </c>
      <c r="AD1002" s="24" t="s">
        <v>115</v>
      </c>
      <c r="AE1002" s="6" t="s">
        <v>31</v>
      </c>
      <c r="AF1002" s="6"/>
      <c r="AG1002" s="6" t="s">
        <v>3039</v>
      </c>
    </row>
    <row r="1003" spans="1:33" ht="7.5" customHeight="1" x14ac:dyDescent="0.25">
      <c r="A1003" s="27"/>
      <c r="B1003" s="39"/>
      <c r="C1003" s="39"/>
      <c r="D1003" s="39"/>
      <c r="E1003" s="28"/>
      <c r="F1003" s="27"/>
      <c r="G1003" s="27"/>
      <c r="H1003" s="27"/>
      <c r="I1003" s="27"/>
      <c r="J1003" s="30"/>
      <c r="K1003" s="30"/>
      <c r="L1003" s="29"/>
      <c r="M1003" s="27"/>
      <c r="N1003" s="27"/>
      <c r="O1003" s="27"/>
      <c r="P1003" s="27"/>
      <c r="Q1003" s="29"/>
      <c r="R1003" s="29"/>
      <c r="S1003" s="29"/>
      <c r="T1003" s="29"/>
      <c r="U1003" s="27"/>
      <c r="V1003" s="29"/>
      <c r="W1003" s="29"/>
      <c r="X1003" s="29"/>
      <c r="Y1003" s="31"/>
      <c r="Z1003" s="29"/>
      <c r="AA1003" s="30"/>
      <c r="AB1003" s="32"/>
      <c r="AC1003" s="30"/>
      <c r="AD1003" s="33"/>
      <c r="AE1003" s="29"/>
      <c r="AF1003" s="29"/>
      <c r="AG1003" s="29"/>
    </row>
    <row r="1004" spans="1:33" ht="15" customHeight="1" x14ac:dyDescent="0.25">
      <c r="A1004" s="5">
        <v>44</v>
      </c>
      <c r="B1004" s="38">
        <v>44134</v>
      </c>
      <c r="C1004" s="38">
        <v>44120</v>
      </c>
      <c r="D1004" s="38">
        <v>44113</v>
      </c>
      <c r="E1004" s="35">
        <v>44134</v>
      </c>
      <c r="F1004" s="5">
        <v>5676</v>
      </c>
      <c r="G1004" s="5" t="s">
        <v>91</v>
      </c>
      <c r="H1004" s="5" t="s">
        <v>40</v>
      </c>
      <c r="I1004" s="5" t="s">
        <v>92</v>
      </c>
      <c r="J1004" s="21" t="s">
        <v>131</v>
      </c>
      <c r="K1004" s="21" t="s">
        <v>2341</v>
      </c>
      <c r="L1004" s="6" t="s">
        <v>2071</v>
      </c>
      <c r="M1004" s="5">
        <v>12</v>
      </c>
      <c r="N1004" s="5" t="s">
        <v>91</v>
      </c>
      <c r="O1004" s="5" t="s">
        <v>91</v>
      </c>
      <c r="P1004" s="5" t="s">
        <v>91</v>
      </c>
      <c r="Q1004" s="6" t="s">
        <v>105</v>
      </c>
      <c r="R1004" s="6"/>
      <c r="S1004" s="6"/>
      <c r="T1004" s="6"/>
      <c r="U1004" s="5"/>
      <c r="V1004" s="6"/>
      <c r="W1004" s="6" t="s">
        <v>138</v>
      </c>
      <c r="X1004" s="6"/>
      <c r="Y1004" s="22"/>
      <c r="Z1004" s="6"/>
      <c r="AA1004" s="21"/>
      <c r="AB1004" s="23">
        <v>44096</v>
      </c>
      <c r="AC1004" s="21" t="s">
        <v>30</v>
      </c>
      <c r="AD1004" s="24" t="s">
        <v>2342</v>
      </c>
      <c r="AE1004" s="6" t="s">
        <v>38</v>
      </c>
      <c r="AF1004" s="6"/>
      <c r="AG1004" s="6" t="s">
        <v>3042</v>
      </c>
    </row>
    <row r="1005" spans="1:33" ht="15" customHeight="1" x14ac:dyDescent="0.25">
      <c r="A1005" s="5">
        <v>44</v>
      </c>
      <c r="B1005" s="38">
        <v>44134</v>
      </c>
      <c r="C1005" s="38">
        <v>44120</v>
      </c>
      <c r="D1005" s="38">
        <v>44113</v>
      </c>
      <c r="E1005" s="35">
        <v>44134</v>
      </c>
      <c r="F1005" s="5">
        <v>5677</v>
      </c>
      <c r="G1005" s="5" t="s">
        <v>91</v>
      </c>
      <c r="H1005" s="5" t="s">
        <v>40</v>
      </c>
      <c r="I1005" s="5" t="s">
        <v>92</v>
      </c>
      <c r="J1005" s="21" t="s">
        <v>131</v>
      </c>
      <c r="K1005" s="21" t="s">
        <v>2343</v>
      </c>
      <c r="L1005" s="6" t="s">
        <v>2344</v>
      </c>
      <c r="M1005" s="5">
        <v>11</v>
      </c>
      <c r="N1005" s="5" t="s">
        <v>91</v>
      </c>
      <c r="O1005" s="5" t="s">
        <v>91</v>
      </c>
      <c r="P1005" s="5" t="s">
        <v>91</v>
      </c>
      <c r="Q1005" s="6" t="s">
        <v>105</v>
      </c>
      <c r="R1005" s="6"/>
      <c r="S1005" s="6"/>
      <c r="T1005" s="6"/>
      <c r="U1005" s="5"/>
      <c r="V1005" s="6"/>
      <c r="W1005" s="6" t="s">
        <v>138</v>
      </c>
      <c r="X1005" s="6"/>
      <c r="Y1005" s="22"/>
      <c r="Z1005" s="6"/>
      <c r="AA1005" s="21"/>
      <c r="AB1005" s="23">
        <v>44096</v>
      </c>
      <c r="AC1005" s="21" t="s">
        <v>33</v>
      </c>
      <c r="AD1005" s="24" t="s">
        <v>2342</v>
      </c>
      <c r="AE1005" s="6" t="s">
        <v>31</v>
      </c>
      <c r="AF1005" s="6"/>
      <c r="AG1005" s="6" t="s">
        <v>3039</v>
      </c>
    </row>
    <row r="1006" spans="1:33" ht="15" customHeight="1" x14ac:dyDescent="0.25">
      <c r="A1006" s="5">
        <v>44</v>
      </c>
      <c r="B1006" s="38">
        <v>44134</v>
      </c>
      <c r="C1006" s="38">
        <v>44120</v>
      </c>
      <c r="D1006" s="38">
        <v>44113</v>
      </c>
      <c r="E1006" s="35">
        <v>44134</v>
      </c>
      <c r="F1006" s="5">
        <v>5678</v>
      </c>
      <c r="G1006" s="5" t="s">
        <v>91</v>
      </c>
      <c r="H1006" s="5" t="s">
        <v>40</v>
      </c>
      <c r="I1006" s="5" t="s">
        <v>92</v>
      </c>
      <c r="J1006" s="21" t="s">
        <v>131</v>
      </c>
      <c r="K1006" s="21" t="s">
        <v>2345</v>
      </c>
      <c r="L1006" s="6" t="s">
        <v>2344</v>
      </c>
      <c r="M1006" s="5">
        <v>11</v>
      </c>
      <c r="N1006" s="5" t="s">
        <v>91</v>
      </c>
      <c r="O1006" s="5" t="s">
        <v>91</v>
      </c>
      <c r="P1006" s="5" t="s">
        <v>91</v>
      </c>
      <c r="Q1006" s="6" t="s">
        <v>105</v>
      </c>
      <c r="R1006" s="6"/>
      <c r="S1006" s="6"/>
      <c r="T1006" s="6"/>
      <c r="U1006" s="5"/>
      <c r="V1006" s="6"/>
      <c r="W1006" s="6" t="s">
        <v>2072</v>
      </c>
      <c r="X1006" s="6"/>
      <c r="Y1006" s="22"/>
      <c r="Z1006" s="6"/>
      <c r="AA1006" s="21"/>
      <c r="AB1006" s="23">
        <v>44096</v>
      </c>
      <c r="AC1006" s="21" t="s">
        <v>32</v>
      </c>
      <c r="AD1006" s="24" t="s">
        <v>2342</v>
      </c>
      <c r="AE1006" s="6" t="s">
        <v>36</v>
      </c>
      <c r="AF1006" s="6"/>
      <c r="AG1006" s="6" t="s">
        <v>3040</v>
      </c>
    </row>
    <row r="1007" spans="1:33" ht="15" customHeight="1" x14ac:dyDescent="0.25">
      <c r="A1007" s="5">
        <v>44</v>
      </c>
      <c r="B1007" s="38">
        <v>44134</v>
      </c>
      <c r="C1007" s="38">
        <v>44120</v>
      </c>
      <c r="D1007" s="38">
        <v>44113</v>
      </c>
      <c r="E1007" s="35">
        <v>44134</v>
      </c>
      <c r="F1007" s="5">
        <v>5679</v>
      </c>
      <c r="G1007" s="5" t="s">
        <v>91</v>
      </c>
      <c r="H1007" s="5" t="s">
        <v>40</v>
      </c>
      <c r="I1007" s="5" t="s">
        <v>92</v>
      </c>
      <c r="J1007" s="21" t="s">
        <v>131</v>
      </c>
      <c r="K1007" s="21" t="s">
        <v>2347</v>
      </c>
      <c r="L1007" s="6" t="s">
        <v>2344</v>
      </c>
      <c r="M1007" s="5">
        <v>11</v>
      </c>
      <c r="N1007" s="5" t="s">
        <v>91</v>
      </c>
      <c r="O1007" s="5" t="s">
        <v>91</v>
      </c>
      <c r="P1007" s="5" t="s">
        <v>91</v>
      </c>
      <c r="Q1007" s="6" t="s">
        <v>105</v>
      </c>
      <c r="R1007" s="6"/>
      <c r="S1007" s="6"/>
      <c r="T1007" s="6"/>
      <c r="U1007" s="5"/>
      <c r="V1007" s="6"/>
      <c r="W1007" s="6" t="s">
        <v>2072</v>
      </c>
      <c r="X1007" s="6"/>
      <c r="Y1007" s="22"/>
      <c r="Z1007" s="6"/>
      <c r="AA1007" s="21"/>
      <c r="AB1007" s="23">
        <v>44096</v>
      </c>
      <c r="AC1007" s="21" t="s">
        <v>30</v>
      </c>
      <c r="AD1007" s="24" t="s">
        <v>2342</v>
      </c>
      <c r="AE1007" s="6" t="s">
        <v>31</v>
      </c>
      <c r="AF1007" s="6"/>
      <c r="AG1007" s="6" t="s">
        <v>3042</v>
      </c>
    </row>
    <row r="1008" spans="1:33" ht="15" customHeight="1" x14ac:dyDescent="0.25">
      <c r="A1008" s="5">
        <v>44</v>
      </c>
      <c r="B1008" s="38">
        <v>44134</v>
      </c>
      <c r="C1008" s="38">
        <v>44120</v>
      </c>
      <c r="D1008" s="38">
        <v>44113</v>
      </c>
      <c r="E1008" s="35">
        <v>44134</v>
      </c>
      <c r="F1008" s="5">
        <v>5680</v>
      </c>
      <c r="G1008" s="5" t="s">
        <v>91</v>
      </c>
      <c r="H1008" s="5" t="s">
        <v>40</v>
      </c>
      <c r="I1008" s="5" t="s">
        <v>92</v>
      </c>
      <c r="J1008" s="21" t="s">
        <v>131</v>
      </c>
      <c r="K1008" s="21" t="s">
        <v>2348</v>
      </c>
      <c r="L1008" s="6" t="s">
        <v>2344</v>
      </c>
      <c r="M1008" s="5">
        <v>11</v>
      </c>
      <c r="N1008" s="5" t="s">
        <v>91</v>
      </c>
      <c r="O1008" s="5" t="s">
        <v>91</v>
      </c>
      <c r="P1008" s="5" t="s">
        <v>91</v>
      </c>
      <c r="Q1008" s="6" t="s">
        <v>105</v>
      </c>
      <c r="R1008" s="6"/>
      <c r="S1008" s="6"/>
      <c r="T1008" s="6"/>
      <c r="U1008" s="5"/>
      <c r="V1008" s="6"/>
      <c r="W1008" s="6" t="s">
        <v>2072</v>
      </c>
      <c r="X1008" s="6"/>
      <c r="Y1008" s="22"/>
      <c r="Z1008" s="6"/>
      <c r="AA1008" s="21"/>
      <c r="AB1008" s="23">
        <v>44096</v>
      </c>
      <c r="AC1008" s="21" t="s">
        <v>30</v>
      </c>
      <c r="AD1008" s="24" t="s">
        <v>2342</v>
      </c>
      <c r="AE1008" s="6" t="s">
        <v>37</v>
      </c>
      <c r="AF1008" s="6"/>
      <c r="AG1008" s="6" t="s">
        <v>3039</v>
      </c>
    </row>
    <row r="1009" spans="1:33" ht="15" customHeight="1" x14ac:dyDescent="0.25">
      <c r="A1009" s="5">
        <v>44</v>
      </c>
      <c r="B1009" s="38">
        <v>44134</v>
      </c>
      <c r="C1009" s="38">
        <v>44120</v>
      </c>
      <c r="D1009" s="38">
        <v>44113</v>
      </c>
      <c r="E1009" s="35">
        <v>44134</v>
      </c>
      <c r="F1009" s="5">
        <v>6753</v>
      </c>
      <c r="G1009" s="5" t="s">
        <v>91</v>
      </c>
      <c r="H1009" s="5" t="s">
        <v>43</v>
      </c>
      <c r="I1009" s="5" t="s">
        <v>92</v>
      </c>
      <c r="J1009" s="21" t="s">
        <v>191</v>
      </c>
      <c r="K1009" s="21" t="s">
        <v>2352</v>
      </c>
      <c r="L1009" s="6" t="s">
        <v>95</v>
      </c>
      <c r="M1009" s="5">
        <v>13</v>
      </c>
      <c r="N1009" s="5" t="s">
        <v>91</v>
      </c>
      <c r="O1009" s="5" t="s">
        <v>91</v>
      </c>
      <c r="P1009" s="5" t="s">
        <v>91</v>
      </c>
      <c r="Q1009" s="6" t="s">
        <v>96</v>
      </c>
      <c r="R1009" s="6" t="s">
        <v>194</v>
      </c>
      <c r="S1009" s="6"/>
      <c r="T1009" s="6"/>
      <c r="U1009" s="5"/>
      <c r="V1009" s="6"/>
      <c r="W1009" s="6" t="s">
        <v>2353</v>
      </c>
      <c r="X1009" s="6"/>
      <c r="Y1009" s="22"/>
      <c r="Z1009" s="6">
        <v>3</v>
      </c>
      <c r="AA1009" s="21"/>
      <c r="AB1009" s="23">
        <v>44125</v>
      </c>
      <c r="AC1009" s="21" t="s">
        <v>33</v>
      </c>
      <c r="AD1009" s="24" t="s">
        <v>2354</v>
      </c>
      <c r="AE1009" s="6" t="s">
        <v>31</v>
      </c>
      <c r="AF1009" s="6"/>
      <c r="AG1009" s="6" t="s">
        <v>3041</v>
      </c>
    </row>
    <row r="1010" spans="1:33" ht="7.5" customHeight="1" x14ac:dyDescent="0.25">
      <c r="A1010" s="27"/>
      <c r="B1010" s="39"/>
      <c r="C1010" s="39"/>
      <c r="D1010" s="39"/>
      <c r="E1010" s="28"/>
      <c r="F1010" s="27"/>
      <c r="G1010" s="27"/>
      <c r="H1010" s="27"/>
      <c r="I1010" s="27"/>
      <c r="J1010" s="30"/>
      <c r="K1010" s="30"/>
      <c r="L1010" s="29"/>
      <c r="M1010" s="27"/>
      <c r="N1010" s="27"/>
      <c r="O1010" s="27"/>
      <c r="P1010" s="27"/>
      <c r="Q1010" s="29"/>
      <c r="R1010" s="29"/>
      <c r="S1010" s="29"/>
      <c r="T1010" s="29"/>
      <c r="U1010" s="27"/>
      <c r="V1010" s="29"/>
      <c r="W1010" s="29"/>
      <c r="X1010" s="29"/>
      <c r="Y1010" s="31"/>
      <c r="Z1010" s="29"/>
      <c r="AA1010" s="30"/>
      <c r="AB1010" s="32"/>
      <c r="AC1010" s="30"/>
      <c r="AD1010" s="33"/>
      <c r="AE1010" s="29"/>
      <c r="AF1010" s="29"/>
      <c r="AG1010" s="29"/>
    </row>
    <row r="1011" spans="1:33" ht="15" customHeight="1" x14ac:dyDescent="0.25">
      <c r="A1011" s="5">
        <v>46</v>
      </c>
      <c r="B1011" s="38">
        <v>44147</v>
      </c>
      <c r="C1011" s="38">
        <v>44120</v>
      </c>
      <c r="D1011" s="38">
        <v>44111</v>
      </c>
      <c r="E1011" s="28">
        <v>44147</v>
      </c>
      <c r="F1011" s="5">
        <v>6744</v>
      </c>
      <c r="G1011" s="5" t="s">
        <v>91</v>
      </c>
      <c r="H1011" s="5" t="s">
        <v>41</v>
      </c>
      <c r="I1011" s="5" t="s">
        <v>92</v>
      </c>
      <c r="J1011" s="21" t="s">
        <v>191</v>
      </c>
      <c r="K1011" s="21" t="s">
        <v>363</v>
      </c>
      <c r="L1011" s="6" t="s">
        <v>2624</v>
      </c>
      <c r="M1011" s="5">
        <v>14</v>
      </c>
      <c r="N1011" s="5" t="s">
        <v>91</v>
      </c>
      <c r="O1011" s="5" t="s">
        <v>91</v>
      </c>
      <c r="P1011" s="5" t="s">
        <v>1215</v>
      </c>
      <c r="Q1011" s="6" t="s">
        <v>2573</v>
      </c>
      <c r="R1011" s="6" t="s">
        <v>194</v>
      </c>
      <c r="S1011" s="6"/>
      <c r="T1011" s="6"/>
      <c r="U1011" s="5"/>
      <c r="V1011" s="6" t="s">
        <v>2625</v>
      </c>
      <c r="W1011" s="6" t="s">
        <v>347</v>
      </c>
      <c r="X1011" s="6"/>
      <c r="Y1011" s="22"/>
      <c r="Z1011" s="6"/>
      <c r="AA1011" s="21">
        <v>15714</v>
      </c>
      <c r="AB1011" s="23">
        <v>44120</v>
      </c>
      <c r="AC1011" s="21" t="s">
        <v>32</v>
      </c>
      <c r="AD1011" s="24" t="s">
        <v>2626</v>
      </c>
      <c r="AE1011" s="6" t="s">
        <v>36</v>
      </c>
      <c r="AF1011" s="6"/>
      <c r="AG1011" s="6" t="s">
        <v>3039</v>
      </c>
    </row>
    <row r="1012" spans="1:33" ht="7.5" customHeight="1" x14ac:dyDescent="0.25">
      <c r="A1012" s="27"/>
      <c r="B1012" s="39"/>
      <c r="C1012" s="39"/>
      <c r="D1012" s="39"/>
      <c r="E1012" s="28"/>
      <c r="F1012" s="27"/>
      <c r="G1012" s="27"/>
      <c r="H1012" s="27"/>
      <c r="I1012" s="27"/>
      <c r="J1012" s="30"/>
      <c r="K1012" s="30"/>
      <c r="L1012" s="29"/>
      <c r="M1012" s="27"/>
      <c r="N1012" s="27"/>
      <c r="O1012" s="27"/>
      <c r="P1012" s="27"/>
      <c r="Q1012" s="29"/>
      <c r="R1012" s="29"/>
      <c r="S1012" s="29"/>
      <c r="T1012" s="29"/>
      <c r="U1012" s="27"/>
      <c r="V1012" s="29"/>
      <c r="W1012" s="29"/>
      <c r="X1012" s="29"/>
      <c r="Y1012" s="31"/>
      <c r="Z1012" s="29"/>
      <c r="AA1012" s="30"/>
      <c r="AB1012" s="32"/>
      <c r="AC1012" s="30"/>
      <c r="AD1012" s="33"/>
      <c r="AE1012" s="29"/>
      <c r="AF1012" s="29"/>
      <c r="AG1012" s="29"/>
    </row>
    <row r="1013" spans="1:33" ht="15" customHeight="1" x14ac:dyDescent="0.25">
      <c r="A1013" s="5">
        <v>44</v>
      </c>
      <c r="B1013" s="38">
        <v>44131</v>
      </c>
      <c r="C1013" s="38">
        <v>44120</v>
      </c>
      <c r="D1013" s="38">
        <v>44111</v>
      </c>
      <c r="E1013" s="35">
        <v>44131</v>
      </c>
      <c r="F1013" s="5">
        <v>8783</v>
      </c>
      <c r="G1013" s="5" t="s">
        <v>91</v>
      </c>
      <c r="H1013" s="5" t="s">
        <v>41</v>
      </c>
      <c r="I1013" s="5" t="s">
        <v>92</v>
      </c>
      <c r="J1013" s="21" t="s">
        <v>147</v>
      </c>
      <c r="K1013" s="21" t="s">
        <v>2243</v>
      </c>
      <c r="L1013" s="6" t="s">
        <v>2244</v>
      </c>
      <c r="M1013" s="5">
        <v>9</v>
      </c>
      <c r="N1013" s="5" t="s">
        <v>91</v>
      </c>
      <c r="O1013" s="5" t="s">
        <v>91</v>
      </c>
      <c r="P1013" s="5" t="s">
        <v>91</v>
      </c>
      <c r="Q1013" s="6" t="s">
        <v>153</v>
      </c>
      <c r="R1013" s="6" t="s">
        <v>313</v>
      </c>
      <c r="S1013" s="6" t="s">
        <v>2245</v>
      </c>
      <c r="T1013" s="6"/>
      <c r="U1013" s="5"/>
      <c r="V1013" s="6" t="s">
        <v>2246</v>
      </c>
      <c r="W1013" s="6" t="s">
        <v>2247</v>
      </c>
      <c r="X1013" s="6" t="s">
        <v>2248</v>
      </c>
      <c r="Y1013" s="22"/>
      <c r="Z1013" s="6"/>
      <c r="AA1013" s="21"/>
      <c r="AB1013" s="23">
        <v>44104</v>
      </c>
      <c r="AC1013" s="21" t="s">
        <v>30</v>
      </c>
      <c r="AD1013" s="24">
        <v>5853.59</v>
      </c>
      <c r="AE1013" s="6" t="s">
        <v>36</v>
      </c>
      <c r="AF1013" s="6"/>
      <c r="AG1013" s="6" t="s">
        <v>3040</v>
      </c>
    </row>
    <row r="1014" spans="1:33" ht="15" customHeight="1" x14ac:dyDescent="0.25">
      <c r="A1014" s="5">
        <v>44</v>
      </c>
      <c r="B1014" s="38">
        <v>44131</v>
      </c>
      <c r="C1014" s="38">
        <v>44120</v>
      </c>
      <c r="D1014" s="38">
        <v>44111</v>
      </c>
      <c r="E1014" s="35">
        <v>44131</v>
      </c>
      <c r="F1014" s="5">
        <v>8784</v>
      </c>
      <c r="G1014" s="5" t="s">
        <v>91</v>
      </c>
      <c r="H1014" s="5" t="s">
        <v>41</v>
      </c>
      <c r="I1014" s="5" t="s">
        <v>92</v>
      </c>
      <c r="J1014" s="21" t="s">
        <v>147</v>
      </c>
      <c r="K1014" s="21" t="s">
        <v>2249</v>
      </c>
      <c r="L1014" s="6" t="s">
        <v>2244</v>
      </c>
      <c r="M1014" s="5">
        <v>9</v>
      </c>
      <c r="N1014" s="5" t="s">
        <v>91</v>
      </c>
      <c r="O1014" s="5" t="s">
        <v>91</v>
      </c>
      <c r="P1014" s="5" t="s">
        <v>91</v>
      </c>
      <c r="Q1014" s="6"/>
      <c r="R1014" s="6" t="s">
        <v>313</v>
      </c>
      <c r="S1014" s="6" t="s">
        <v>2245</v>
      </c>
      <c r="T1014" s="6"/>
      <c r="U1014" s="5"/>
      <c r="V1014" s="6" t="s">
        <v>2250</v>
      </c>
      <c r="W1014" s="6" t="s">
        <v>2247</v>
      </c>
      <c r="X1014" s="6" t="s">
        <v>2248</v>
      </c>
      <c r="Y1014" s="22"/>
      <c r="Z1014" s="6"/>
      <c r="AA1014" s="21"/>
      <c r="AB1014" s="23">
        <v>44104</v>
      </c>
      <c r="AC1014" s="21" t="s">
        <v>30</v>
      </c>
      <c r="AD1014" s="24">
        <v>5853.59</v>
      </c>
      <c r="AE1014" s="6" t="s">
        <v>31</v>
      </c>
      <c r="AF1014" s="6"/>
      <c r="AG1014" s="6" t="s">
        <v>3041</v>
      </c>
    </row>
    <row r="1015" spans="1:33" ht="7.5" customHeight="1" x14ac:dyDescent="0.25">
      <c r="A1015" s="27"/>
      <c r="B1015" s="39"/>
      <c r="C1015" s="39"/>
      <c r="D1015" s="39"/>
      <c r="E1015" s="28"/>
      <c r="F1015" s="27"/>
      <c r="G1015" s="27"/>
      <c r="H1015" s="27"/>
      <c r="I1015" s="27"/>
      <c r="J1015" s="30"/>
      <c r="K1015" s="30"/>
      <c r="L1015" s="29"/>
      <c r="M1015" s="27"/>
      <c r="N1015" s="27"/>
      <c r="O1015" s="27"/>
      <c r="P1015" s="27"/>
      <c r="Q1015" s="29"/>
      <c r="R1015" s="29"/>
      <c r="S1015" s="29"/>
      <c r="T1015" s="29"/>
      <c r="U1015" s="27"/>
      <c r="V1015" s="29"/>
      <c r="W1015" s="29"/>
      <c r="X1015" s="29"/>
      <c r="Y1015" s="31"/>
      <c r="Z1015" s="29"/>
      <c r="AA1015" s="30"/>
      <c r="AB1015" s="32"/>
      <c r="AC1015" s="30"/>
      <c r="AD1015" s="33"/>
      <c r="AE1015" s="29"/>
      <c r="AF1015" s="29"/>
      <c r="AG1015" s="29"/>
    </row>
    <row r="1016" spans="1:33" ht="15" customHeight="1" x14ac:dyDescent="0.25">
      <c r="A1016" s="5">
        <v>44</v>
      </c>
      <c r="B1016" s="38">
        <v>44132</v>
      </c>
      <c r="C1016" s="38">
        <v>44123</v>
      </c>
      <c r="D1016" s="38">
        <v>44144</v>
      </c>
      <c r="E1016" s="35">
        <v>44132</v>
      </c>
      <c r="F1016" s="5">
        <v>10709</v>
      </c>
      <c r="G1016" s="5" t="s">
        <v>91</v>
      </c>
      <c r="H1016" s="5" t="s">
        <v>43</v>
      </c>
      <c r="I1016" s="5" t="s">
        <v>92</v>
      </c>
      <c r="J1016" s="21" t="s">
        <v>170</v>
      </c>
      <c r="K1016" s="21" t="s">
        <v>2276</v>
      </c>
      <c r="L1016" s="6" t="s">
        <v>2277</v>
      </c>
      <c r="M1016" s="5">
        <v>0</v>
      </c>
      <c r="N1016" s="5" t="s">
        <v>91</v>
      </c>
      <c r="O1016" s="5" t="s">
        <v>91</v>
      </c>
      <c r="P1016" s="5" t="s">
        <v>91</v>
      </c>
      <c r="Q1016" s="6"/>
      <c r="R1016" s="6" t="s">
        <v>112</v>
      </c>
      <c r="S1016" s="6"/>
      <c r="T1016" s="6"/>
      <c r="U1016" s="5"/>
      <c r="V1016" s="6"/>
      <c r="W1016" s="6" t="s">
        <v>2278</v>
      </c>
      <c r="X1016" s="6"/>
      <c r="Y1016" s="22"/>
      <c r="Z1016" s="6"/>
      <c r="AA1016" s="21"/>
      <c r="AB1016" s="23">
        <v>44120</v>
      </c>
      <c r="AC1016" s="21" t="s">
        <v>33</v>
      </c>
      <c r="AD1016" s="24" t="s">
        <v>2279</v>
      </c>
      <c r="AE1016" s="6" t="s">
        <v>38</v>
      </c>
      <c r="AF1016" s="6"/>
      <c r="AG1016" s="6" t="s">
        <v>3041</v>
      </c>
    </row>
    <row r="1017" spans="1:33" ht="15" customHeight="1" x14ac:dyDescent="0.25">
      <c r="A1017" s="5">
        <v>44</v>
      </c>
      <c r="B1017" s="38">
        <v>44132</v>
      </c>
      <c r="C1017" s="38">
        <v>44123</v>
      </c>
      <c r="D1017" s="38">
        <v>44118</v>
      </c>
      <c r="E1017" s="35">
        <v>44132</v>
      </c>
      <c r="F1017" s="5">
        <v>10713</v>
      </c>
      <c r="G1017" s="5" t="s">
        <v>91</v>
      </c>
      <c r="H1017" s="5" t="s">
        <v>43</v>
      </c>
      <c r="I1017" s="5" t="s">
        <v>92</v>
      </c>
      <c r="J1017" s="21" t="s">
        <v>170</v>
      </c>
      <c r="K1017" s="21" t="s">
        <v>2280</v>
      </c>
      <c r="L1017" s="6" t="s">
        <v>2281</v>
      </c>
      <c r="M1017" s="5">
        <v>0</v>
      </c>
      <c r="N1017" s="5" t="s">
        <v>91</v>
      </c>
      <c r="O1017" s="5" t="s">
        <v>91</v>
      </c>
      <c r="P1017" s="5" t="s">
        <v>91</v>
      </c>
      <c r="Q1017" s="6"/>
      <c r="R1017" s="6" t="s">
        <v>112</v>
      </c>
      <c r="S1017" s="6"/>
      <c r="T1017" s="6"/>
      <c r="U1017" s="5"/>
      <c r="V1017" s="6"/>
      <c r="W1017" s="6" t="s">
        <v>838</v>
      </c>
      <c r="X1017" s="6"/>
      <c r="Y1017" s="22"/>
      <c r="Z1017" s="6"/>
      <c r="AA1017" s="21"/>
      <c r="AB1017" s="23">
        <v>44124</v>
      </c>
      <c r="AC1017" s="21" t="s">
        <v>30</v>
      </c>
      <c r="AD1017" s="24" t="s">
        <v>2282</v>
      </c>
      <c r="AE1017" s="6" t="s">
        <v>31</v>
      </c>
      <c r="AF1017" s="6"/>
      <c r="AG1017" s="6" t="s">
        <v>3042</v>
      </c>
    </row>
    <row r="1018" spans="1:33" ht="7.5" customHeight="1" x14ac:dyDescent="0.25">
      <c r="A1018" s="27"/>
      <c r="B1018" s="39"/>
      <c r="C1018" s="39"/>
      <c r="D1018" s="39"/>
      <c r="E1018" s="28"/>
      <c r="F1018" s="27"/>
      <c r="G1018" s="27"/>
      <c r="H1018" s="27"/>
      <c r="I1018" s="27"/>
      <c r="J1018" s="30"/>
      <c r="K1018" s="30"/>
      <c r="L1018" s="29"/>
      <c r="M1018" s="27"/>
      <c r="N1018" s="27"/>
      <c r="O1018" s="27"/>
      <c r="P1018" s="27"/>
      <c r="Q1018" s="29"/>
      <c r="R1018" s="29"/>
      <c r="S1018" s="29"/>
      <c r="T1018" s="29"/>
      <c r="U1018" s="27"/>
      <c r="V1018" s="29"/>
      <c r="W1018" s="29"/>
      <c r="X1018" s="29"/>
      <c r="Y1018" s="31"/>
      <c r="Z1018" s="29"/>
      <c r="AA1018" s="30"/>
      <c r="AB1018" s="32"/>
      <c r="AC1018" s="30"/>
      <c r="AD1018" s="33"/>
      <c r="AE1018" s="29"/>
      <c r="AF1018" s="29"/>
      <c r="AG1018" s="29"/>
    </row>
    <row r="1019" spans="1:33" ht="15" customHeight="1" x14ac:dyDescent="0.25">
      <c r="A1019" s="5">
        <v>46</v>
      </c>
      <c r="B1019" s="38">
        <v>44144</v>
      </c>
      <c r="C1019" s="38">
        <v>44123</v>
      </c>
      <c r="D1019" s="38">
        <v>44116</v>
      </c>
      <c r="E1019" s="28">
        <v>44144</v>
      </c>
      <c r="F1019" s="5">
        <v>10717</v>
      </c>
      <c r="G1019" s="5" t="s">
        <v>91</v>
      </c>
      <c r="H1019" s="5" t="s">
        <v>43</v>
      </c>
      <c r="I1019" s="5" t="s">
        <v>92</v>
      </c>
      <c r="J1019" s="21" t="s">
        <v>170</v>
      </c>
      <c r="K1019" s="21" t="s">
        <v>2492</v>
      </c>
      <c r="L1019" s="6" t="s">
        <v>2493</v>
      </c>
      <c r="M1019" s="5">
        <v>6</v>
      </c>
      <c r="N1019" s="5" t="s">
        <v>91</v>
      </c>
      <c r="O1019" s="5" t="s">
        <v>91</v>
      </c>
      <c r="P1019" s="5" t="s">
        <v>91</v>
      </c>
      <c r="Q1019" s="6" t="s">
        <v>105</v>
      </c>
      <c r="R1019" s="6" t="s">
        <v>112</v>
      </c>
      <c r="S1019" s="6"/>
      <c r="T1019" s="6"/>
      <c r="U1019" s="5"/>
      <c r="V1019" s="6" t="s">
        <v>2494</v>
      </c>
      <c r="W1019" s="6" t="s">
        <v>2495</v>
      </c>
      <c r="X1019" s="6" t="s">
        <v>251</v>
      </c>
      <c r="Y1019" s="22"/>
      <c r="Z1019" s="6"/>
      <c r="AA1019" s="21"/>
      <c r="AB1019" s="23"/>
      <c r="AC1019" s="21" t="s">
        <v>33</v>
      </c>
      <c r="AD1019" s="24"/>
      <c r="AE1019" s="6" t="s">
        <v>31</v>
      </c>
      <c r="AF1019" s="6"/>
      <c r="AG1019" s="6" t="s">
        <v>3039</v>
      </c>
    </row>
    <row r="1020" spans="1:33" ht="7.5" customHeight="1" x14ac:dyDescent="0.25">
      <c r="A1020" s="27"/>
      <c r="B1020" s="39"/>
      <c r="C1020" s="39"/>
      <c r="D1020" s="39"/>
      <c r="E1020" s="28"/>
      <c r="F1020" s="27"/>
      <c r="G1020" s="27"/>
      <c r="H1020" s="27"/>
      <c r="I1020" s="27"/>
      <c r="J1020" s="30"/>
      <c r="K1020" s="30"/>
      <c r="L1020" s="29"/>
      <c r="M1020" s="27"/>
      <c r="N1020" s="27"/>
      <c r="O1020" s="27"/>
      <c r="P1020" s="27"/>
      <c r="Q1020" s="29"/>
      <c r="R1020" s="29"/>
      <c r="S1020" s="29"/>
      <c r="T1020" s="29"/>
      <c r="U1020" s="27"/>
      <c r="V1020" s="29"/>
      <c r="W1020" s="29"/>
      <c r="X1020" s="29"/>
      <c r="Y1020" s="31"/>
      <c r="Z1020" s="29"/>
      <c r="AA1020" s="30"/>
      <c r="AB1020" s="32"/>
      <c r="AC1020" s="30"/>
      <c r="AD1020" s="33"/>
      <c r="AE1020" s="29"/>
      <c r="AF1020" s="29"/>
      <c r="AG1020" s="29"/>
    </row>
    <row r="1021" spans="1:33" ht="15" customHeight="1" x14ac:dyDescent="0.25">
      <c r="A1021" s="5">
        <v>44</v>
      </c>
      <c r="B1021" s="38">
        <v>44132</v>
      </c>
      <c r="C1021" s="38">
        <v>44123</v>
      </c>
      <c r="D1021" s="38">
        <v>44110</v>
      </c>
      <c r="E1021" s="35">
        <v>44132</v>
      </c>
      <c r="F1021" s="5">
        <v>3108</v>
      </c>
      <c r="G1021" s="5" t="s">
        <v>91</v>
      </c>
      <c r="H1021" s="5" t="s">
        <v>41</v>
      </c>
      <c r="I1021" s="5" t="s">
        <v>92</v>
      </c>
      <c r="J1021" s="21" t="s">
        <v>93</v>
      </c>
      <c r="K1021" s="21" t="s">
        <v>2287</v>
      </c>
      <c r="L1021" s="6" t="s">
        <v>95</v>
      </c>
      <c r="M1021" s="5">
        <v>12</v>
      </c>
      <c r="N1021" s="5" t="s">
        <v>91</v>
      </c>
      <c r="O1021" s="5" t="s">
        <v>91</v>
      </c>
      <c r="P1021" s="5" t="s">
        <v>91</v>
      </c>
      <c r="Q1021" s="6" t="s">
        <v>105</v>
      </c>
      <c r="R1021" s="6" t="s">
        <v>515</v>
      </c>
      <c r="S1021" s="6" t="s">
        <v>668</v>
      </c>
      <c r="T1021" s="6"/>
      <c r="U1021" s="5"/>
      <c r="V1021" s="6" t="s">
        <v>2288</v>
      </c>
      <c r="W1021" s="6" t="s">
        <v>2289</v>
      </c>
      <c r="X1021" s="6" t="s">
        <v>2290</v>
      </c>
      <c r="Y1021" s="22"/>
      <c r="Z1021" s="6"/>
      <c r="AA1021" s="21"/>
      <c r="AB1021" s="23">
        <v>44105</v>
      </c>
      <c r="AC1021" s="21" t="s">
        <v>30</v>
      </c>
      <c r="AD1021" s="24" t="s">
        <v>2291</v>
      </c>
      <c r="AE1021" s="6" t="s">
        <v>31</v>
      </c>
      <c r="AF1021" s="6"/>
      <c r="AG1021" s="6" t="s">
        <v>3040</v>
      </c>
    </row>
    <row r="1022" spans="1:33" ht="7.5" customHeight="1" x14ac:dyDescent="0.25">
      <c r="A1022" s="27"/>
      <c r="B1022" s="39"/>
      <c r="C1022" s="39"/>
      <c r="D1022" s="39"/>
      <c r="E1022" s="28"/>
      <c r="F1022" s="27"/>
      <c r="G1022" s="27"/>
      <c r="H1022" s="27"/>
      <c r="I1022" s="27"/>
      <c r="J1022" s="30"/>
      <c r="K1022" s="30"/>
      <c r="L1022" s="29"/>
      <c r="M1022" s="27"/>
      <c r="N1022" s="27"/>
      <c r="O1022" s="27"/>
      <c r="P1022" s="27"/>
      <c r="Q1022" s="29"/>
      <c r="R1022" s="29"/>
      <c r="S1022" s="29"/>
      <c r="T1022" s="29"/>
      <c r="U1022" s="27"/>
      <c r="V1022" s="29"/>
      <c r="W1022" s="29"/>
      <c r="X1022" s="29"/>
      <c r="Y1022" s="31"/>
      <c r="Z1022" s="29"/>
      <c r="AA1022" s="30"/>
      <c r="AB1022" s="32"/>
      <c r="AC1022" s="30"/>
      <c r="AD1022" s="33"/>
      <c r="AE1022" s="29"/>
      <c r="AF1022" s="29"/>
      <c r="AG1022" s="29"/>
    </row>
    <row r="1023" spans="1:33" ht="15" customHeight="1" x14ac:dyDescent="0.25">
      <c r="A1023" s="5">
        <v>45</v>
      </c>
      <c r="B1023" s="38">
        <v>44137</v>
      </c>
      <c r="C1023" s="38">
        <v>44123</v>
      </c>
      <c r="D1023" s="38">
        <v>44116</v>
      </c>
      <c r="E1023" s="36">
        <v>44137</v>
      </c>
      <c r="F1023" s="5">
        <v>3113</v>
      </c>
      <c r="G1023" s="5" t="s">
        <v>91</v>
      </c>
      <c r="H1023" s="5" t="s">
        <v>41</v>
      </c>
      <c r="I1023" s="5" t="s">
        <v>92</v>
      </c>
      <c r="J1023" s="21" t="s">
        <v>93</v>
      </c>
      <c r="K1023" s="21" t="s">
        <v>2362</v>
      </c>
      <c r="L1023" s="6" t="s">
        <v>306</v>
      </c>
      <c r="M1023" s="5">
        <v>11</v>
      </c>
      <c r="N1023" s="5" t="s">
        <v>91</v>
      </c>
      <c r="O1023" s="5" t="s">
        <v>91</v>
      </c>
      <c r="P1023" s="5" t="s">
        <v>91</v>
      </c>
      <c r="Q1023" s="6" t="s">
        <v>96</v>
      </c>
      <c r="R1023" s="6" t="s">
        <v>97</v>
      </c>
      <c r="S1023" s="6" t="s">
        <v>1287</v>
      </c>
      <c r="T1023" s="6"/>
      <c r="U1023" s="5"/>
      <c r="V1023" s="6"/>
      <c r="W1023" s="6" t="s">
        <v>2363</v>
      </c>
      <c r="X1023" s="6" t="s">
        <v>2364</v>
      </c>
      <c r="Y1023" s="22"/>
      <c r="Z1023" s="6"/>
      <c r="AA1023" s="21" t="s">
        <v>2365</v>
      </c>
      <c r="AB1023" s="23">
        <v>44070</v>
      </c>
      <c r="AC1023" s="21" t="s">
        <v>30</v>
      </c>
      <c r="AD1023" s="24">
        <v>17245.07</v>
      </c>
      <c r="AE1023" s="6" t="s">
        <v>31</v>
      </c>
      <c r="AF1023" s="6"/>
      <c r="AG1023" s="6" t="s">
        <v>3040</v>
      </c>
    </row>
    <row r="1024" spans="1:33" ht="7.5" customHeight="1" x14ac:dyDescent="0.25">
      <c r="A1024" s="27"/>
      <c r="B1024" s="39"/>
      <c r="C1024" s="39"/>
      <c r="D1024" s="39"/>
      <c r="E1024" s="28"/>
      <c r="F1024" s="27"/>
      <c r="G1024" s="27"/>
      <c r="H1024" s="27"/>
      <c r="I1024" s="27"/>
      <c r="J1024" s="30"/>
      <c r="K1024" s="30"/>
      <c r="L1024" s="29"/>
      <c r="M1024" s="27"/>
      <c r="N1024" s="27"/>
      <c r="O1024" s="27"/>
      <c r="P1024" s="27"/>
      <c r="Q1024" s="29"/>
      <c r="R1024" s="29"/>
      <c r="S1024" s="29"/>
      <c r="T1024" s="29"/>
      <c r="U1024" s="27"/>
      <c r="V1024" s="29"/>
      <c r="W1024" s="29"/>
      <c r="X1024" s="29"/>
      <c r="Y1024" s="31"/>
      <c r="Z1024" s="29"/>
      <c r="AA1024" s="30"/>
      <c r="AB1024" s="32"/>
      <c r="AC1024" s="30"/>
      <c r="AD1024" s="33"/>
      <c r="AE1024" s="29"/>
      <c r="AF1024" s="29"/>
      <c r="AG1024" s="29"/>
    </row>
    <row r="1025" spans="1:33" ht="15" customHeight="1" x14ac:dyDescent="0.25">
      <c r="A1025" s="5">
        <v>44</v>
      </c>
      <c r="B1025" s="38">
        <v>44132</v>
      </c>
      <c r="C1025" s="38">
        <v>44123</v>
      </c>
      <c r="D1025" s="38">
        <v>44112</v>
      </c>
      <c r="E1025" s="35">
        <v>44132</v>
      </c>
      <c r="F1025" s="5">
        <v>4852</v>
      </c>
      <c r="G1025" s="5" t="s">
        <v>91</v>
      </c>
      <c r="H1025" s="5" t="s">
        <v>43</v>
      </c>
      <c r="I1025" s="5" t="s">
        <v>92</v>
      </c>
      <c r="J1025" s="21" t="s">
        <v>109</v>
      </c>
      <c r="K1025" s="21" t="s">
        <v>2295</v>
      </c>
      <c r="L1025" s="6" t="s">
        <v>2296</v>
      </c>
      <c r="M1025" s="5">
        <v>0</v>
      </c>
      <c r="N1025" s="5" t="s">
        <v>91</v>
      </c>
      <c r="O1025" s="5" t="s">
        <v>91</v>
      </c>
      <c r="P1025" s="5" t="s">
        <v>91</v>
      </c>
      <c r="Q1025" s="6"/>
      <c r="R1025" s="6" t="s">
        <v>112</v>
      </c>
      <c r="S1025" s="6"/>
      <c r="T1025" s="6"/>
      <c r="U1025" s="5"/>
      <c r="V1025" s="6"/>
      <c r="W1025" s="6" t="s">
        <v>2297</v>
      </c>
      <c r="X1025" s="6"/>
      <c r="Y1025" s="22"/>
      <c r="Z1025" s="6"/>
      <c r="AA1025" s="21" t="s">
        <v>2298</v>
      </c>
      <c r="AB1025" s="23">
        <v>44118</v>
      </c>
      <c r="AC1025" s="21" t="s">
        <v>30</v>
      </c>
      <c r="AD1025" s="24" t="s">
        <v>2299</v>
      </c>
      <c r="AE1025" s="6" t="s">
        <v>37</v>
      </c>
      <c r="AF1025" s="6"/>
      <c r="AG1025" s="6" t="s">
        <v>3042</v>
      </c>
    </row>
    <row r="1026" spans="1:33" ht="15" customHeight="1" x14ac:dyDescent="0.25">
      <c r="A1026" s="5">
        <v>44</v>
      </c>
      <c r="B1026" s="38">
        <v>44132</v>
      </c>
      <c r="C1026" s="38">
        <v>44123</v>
      </c>
      <c r="D1026" s="38">
        <v>44113</v>
      </c>
      <c r="E1026" s="35">
        <v>44132</v>
      </c>
      <c r="F1026" s="5">
        <v>4856</v>
      </c>
      <c r="G1026" s="5" t="s">
        <v>91</v>
      </c>
      <c r="H1026" s="5" t="s">
        <v>43</v>
      </c>
      <c r="I1026" s="5" t="s">
        <v>92</v>
      </c>
      <c r="J1026" s="21" t="s">
        <v>109</v>
      </c>
      <c r="K1026" s="21" t="s">
        <v>2300</v>
      </c>
      <c r="L1026" s="6" t="s">
        <v>1540</v>
      </c>
      <c r="M1026" s="5">
        <v>0</v>
      </c>
      <c r="N1026" s="5" t="s">
        <v>91</v>
      </c>
      <c r="O1026" s="5" t="s">
        <v>91</v>
      </c>
      <c r="P1026" s="5" t="s">
        <v>91</v>
      </c>
      <c r="Q1026" s="6" t="s">
        <v>105</v>
      </c>
      <c r="R1026" s="6" t="s">
        <v>112</v>
      </c>
      <c r="S1026" s="6"/>
      <c r="T1026" s="6"/>
      <c r="U1026" s="5"/>
      <c r="V1026" s="6"/>
      <c r="W1026" s="6" t="s">
        <v>2301</v>
      </c>
      <c r="X1026" s="6"/>
      <c r="Y1026" s="22"/>
      <c r="Z1026" s="6"/>
      <c r="AA1026" s="21" t="s">
        <v>2302</v>
      </c>
      <c r="AB1026" s="23">
        <v>44119</v>
      </c>
      <c r="AC1026" s="21" t="s">
        <v>32</v>
      </c>
      <c r="AD1026" s="24" t="s">
        <v>2299</v>
      </c>
      <c r="AE1026" s="6" t="s">
        <v>36</v>
      </c>
      <c r="AF1026" s="6"/>
      <c r="AG1026" s="6" t="s">
        <v>3039</v>
      </c>
    </row>
    <row r="1027" spans="1:33" ht="15" customHeight="1" x14ac:dyDescent="0.25">
      <c r="A1027" s="5">
        <v>44</v>
      </c>
      <c r="B1027" s="38">
        <v>44132</v>
      </c>
      <c r="C1027" s="38">
        <v>44123</v>
      </c>
      <c r="D1027" s="38">
        <v>44110</v>
      </c>
      <c r="E1027" s="35">
        <v>44132</v>
      </c>
      <c r="F1027" s="5">
        <v>4857</v>
      </c>
      <c r="G1027" s="5" t="s">
        <v>91</v>
      </c>
      <c r="H1027" s="5" t="s">
        <v>43</v>
      </c>
      <c r="I1027" s="5" t="s">
        <v>92</v>
      </c>
      <c r="J1027" s="21" t="s">
        <v>109</v>
      </c>
      <c r="K1027" s="21" t="s">
        <v>2303</v>
      </c>
      <c r="L1027" s="6" t="s">
        <v>2304</v>
      </c>
      <c r="M1027" s="5">
        <v>0</v>
      </c>
      <c r="N1027" s="5" t="s">
        <v>91</v>
      </c>
      <c r="O1027" s="5" t="s">
        <v>91</v>
      </c>
      <c r="P1027" s="5" t="s">
        <v>91</v>
      </c>
      <c r="Q1027" s="6"/>
      <c r="R1027" s="6" t="s">
        <v>112</v>
      </c>
      <c r="S1027" s="6"/>
      <c r="T1027" s="6"/>
      <c r="U1027" s="5"/>
      <c r="V1027" s="6" t="s">
        <v>2305</v>
      </c>
      <c r="W1027" s="6" t="s">
        <v>1041</v>
      </c>
      <c r="X1027" s="6"/>
      <c r="Y1027" s="22"/>
      <c r="Z1027" s="6"/>
      <c r="AA1027" s="21"/>
      <c r="AB1027" s="23">
        <v>44120</v>
      </c>
      <c r="AC1027" s="21" t="s">
        <v>32</v>
      </c>
      <c r="AD1027" s="24" t="s">
        <v>2306</v>
      </c>
      <c r="AE1027" s="6" t="s">
        <v>38</v>
      </c>
      <c r="AF1027" s="6"/>
      <c r="AG1027" s="6" t="s">
        <v>3040</v>
      </c>
    </row>
    <row r="1028" spans="1:33" ht="7.5" customHeight="1" x14ac:dyDescent="0.25">
      <c r="A1028" s="27"/>
      <c r="B1028" s="39"/>
      <c r="C1028" s="39"/>
      <c r="D1028" s="39"/>
      <c r="E1028" s="28"/>
      <c r="F1028" s="27"/>
      <c r="G1028" s="27"/>
      <c r="H1028" s="27"/>
      <c r="I1028" s="27"/>
      <c r="J1028" s="30"/>
      <c r="K1028" s="30"/>
      <c r="L1028" s="29"/>
      <c r="M1028" s="27"/>
      <c r="N1028" s="27"/>
      <c r="O1028" s="27"/>
      <c r="P1028" s="27"/>
      <c r="Q1028" s="29"/>
      <c r="R1028" s="29"/>
      <c r="S1028" s="29"/>
      <c r="T1028" s="29"/>
      <c r="U1028" s="27"/>
      <c r="V1028" s="29"/>
      <c r="W1028" s="29"/>
      <c r="X1028" s="29"/>
      <c r="Y1028" s="31"/>
      <c r="Z1028" s="29"/>
      <c r="AA1028" s="30"/>
      <c r="AB1028" s="32"/>
      <c r="AC1028" s="30"/>
      <c r="AD1028" s="33"/>
      <c r="AE1028" s="29"/>
      <c r="AF1028" s="29"/>
      <c r="AG1028" s="29"/>
    </row>
    <row r="1029" spans="1:33" ht="15" customHeight="1" x14ac:dyDescent="0.25">
      <c r="A1029" s="5">
        <v>45</v>
      </c>
      <c r="B1029" s="38">
        <v>44137</v>
      </c>
      <c r="C1029" s="38">
        <v>44123</v>
      </c>
      <c r="D1029" s="38">
        <v>44116</v>
      </c>
      <c r="E1029" s="36">
        <v>44137</v>
      </c>
      <c r="F1029" s="5">
        <v>4849</v>
      </c>
      <c r="G1029" s="5" t="s">
        <v>91</v>
      </c>
      <c r="H1029" s="5" t="s">
        <v>43</v>
      </c>
      <c r="I1029" s="5" t="s">
        <v>92</v>
      </c>
      <c r="J1029" s="21" t="s">
        <v>109</v>
      </c>
      <c r="K1029" s="21" t="s">
        <v>2376</v>
      </c>
      <c r="L1029" s="6" t="s">
        <v>2377</v>
      </c>
      <c r="M1029" s="5">
        <v>15</v>
      </c>
      <c r="N1029" s="5" t="s">
        <v>91</v>
      </c>
      <c r="O1029" s="5" t="s">
        <v>91</v>
      </c>
      <c r="P1029" s="5" t="s">
        <v>91</v>
      </c>
      <c r="Q1029" s="6" t="s">
        <v>105</v>
      </c>
      <c r="R1029" s="6" t="s">
        <v>112</v>
      </c>
      <c r="S1029" s="6"/>
      <c r="T1029" s="6"/>
      <c r="U1029" s="5"/>
      <c r="V1029" s="6"/>
      <c r="W1029" s="6" t="s">
        <v>2378</v>
      </c>
      <c r="X1029" s="6"/>
      <c r="Y1029" s="22"/>
      <c r="Z1029" s="6">
        <v>4</v>
      </c>
      <c r="AA1029" s="21"/>
      <c r="AB1029" s="23">
        <v>44075</v>
      </c>
      <c r="AC1029" s="21" t="s">
        <v>30</v>
      </c>
      <c r="AD1029" s="24" t="s">
        <v>115</v>
      </c>
      <c r="AE1029" s="6" t="s">
        <v>37</v>
      </c>
      <c r="AF1029" s="6"/>
      <c r="AG1029" s="6" t="s">
        <v>3040</v>
      </c>
    </row>
    <row r="1030" spans="1:33" ht="7.5" customHeight="1" x14ac:dyDescent="0.25">
      <c r="A1030" s="27"/>
      <c r="B1030" s="39"/>
      <c r="C1030" s="39"/>
      <c r="D1030" s="39"/>
      <c r="E1030" s="28"/>
      <c r="F1030" s="27"/>
      <c r="G1030" s="27"/>
      <c r="H1030" s="27"/>
      <c r="I1030" s="27"/>
      <c r="J1030" s="30"/>
      <c r="K1030" s="30"/>
      <c r="L1030" s="29"/>
      <c r="M1030" s="27"/>
      <c r="N1030" s="27"/>
      <c r="O1030" s="27"/>
      <c r="P1030" s="27"/>
      <c r="Q1030" s="29"/>
      <c r="R1030" s="29"/>
      <c r="S1030" s="29"/>
      <c r="T1030" s="29"/>
      <c r="U1030" s="27"/>
      <c r="V1030" s="29"/>
      <c r="W1030" s="29"/>
      <c r="X1030" s="29"/>
      <c r="Y1030" s="31"/>
      <c r="Z1030" s="29"/>
      <c r="AA1030" s="30"/>
      <c r="AB1030" s="32"/>
      <c r="AC1030" s="30"/>
      <c r="AD1030" s="33"/>
      <c r="AE1030" s="29"/>
      <c r="AF1030" s="29"/>
      <c r="AG1030" s="29"/>
    </row>
    <row r="1031" spans="1:33" ht="15" customHeight="1" x14ac:dyDescent="0.25">
      <c r="A1031" s="5">
        <v>46</v>
      </c>
      <c r="B1031" s="38">
        <v>44144</v>
      </c>
      <c r="C1031" s="38">
        <v>44123</v>
      </c>
      <c r="D1031" s="38">
        <v>44116</v>
      </c>
      <c r="E1031" s="28">
        <v>44144</v>
      </c>
      <c r="F1031" s="5">
        <v>4853</v>
      </c>
      <c r="G1031" s="5" t="s">
        <v>91</v>
      </c>
      <c r="H1031" s="5" t="s">
        <v>43</v>
      </c>
      <c r="I1031" s="5" t="s">
        <v>92</v>
      </c>
      <c r="J1031" s="21" t="s">
        <v>109</v>
      </c>
      <c r="K1031" s="21" t="s">
        <v>2508</v>
      </c>
      <c r="L1031" s="6" t="s">
        <v>2509</v>
      </c>
      <c r="M1031" s="5">
        <v>15</v>
      </c>
      <c r="N1031" s="5" t="s">
        <v>91</v>
      </c>
      <c r="O1031" s="5" t="s">
        <v>91</v>
      </c>
      <c r="P1031" s="5" t="s">
        <v>91</v>
      </c>
      <c r="Q1031" s="6" t="s">
        <v>105</v>
      </c>
      <c r="R1031" s="6" t="s">
        <v>112</v>
      </c>
      <c r="S1031" s="6"/>
      <c r="T1031" s="6"/>
      <c r="U1031" s="5"/>
      <c r="V1031" s="6" t="s">
        <v>2510</v>
      </c>
      <c r="W1031" s="6" t="s">
        <v>2511</v>
      </c>
      <c r="X1031" s="6"/>
      <c r="Y1031" s="22"/>
      <c r="Z1031" s="6">
        <v>7.1</v>
      </c>
      <c r="AA1031" s="21"/>
      <c r="AB1031" s="23">
        <v>44117</v>
      </c>
      <c r="AC1031" s="21" t="s">
        <v>32</v>
      </c>
      <c r="AD1031" s="24">
        <v>2842.72</v>
      </c>
      <c r="AE1031" s="6" t="s">
        <v>37</v>
      </c>
      <c r="AF1031" s="6"/>
      <c r="AG1031" s="6" t="s">
        <v>3039</v>
      </c>
    </row>
    <row r="1032" spans="1:33" ht="7.5" customHeight="1" x14ac:dyDescent="0.25">
      <c r="A1032" s="27"/>
      <c r="B1032" s="39"/>
      <c r="C1032" s="39"/>
      <c r="D1032" s="39"/>
      <c r="E1032" s="28"/>
      <c r="F1032" s="27"/>
      <c r="G1032" s="27"/>
      <c r="H1032" s="27"/>
      <c r="I1032" s="27"/>
      <c r="J1032" s="30"/>
      <c r="K1032" s="30"/>
      <c r="L1032" s="29"/>
      <c r="M1032" s="27"/>
      <c r="N1032" s="27"/>
      <c r="O1032" s="27"/>
      <c r="P1032" s="27"/>
      <c r="Q1032" s="29"/>
      <c r="R1032" s="29"/>
      <c r="S1032" s="29"/>
      <c r="T1032" s="29"/>
      <c r="U1032" s="27"/>
      <c r="V1032" s="29"/>
      <c r="W1032" s="29"/>
      <c r="X1032" s="29"/>
      <c r="Y1032" s="31"/>
      <c r="Z1032" s="29"/>
      <c r="AA1032" s="30"/>
      <c r="AB1032" s="32"/>
      <c r="AC1032" s="30"/>
      <c r="AD1032" s="33"/>
      <c r="AE1032" s="29"/>
      <c r="AF1032" s="29"/>
      <c r="AG1032" s="29"/>
    </row>
    <row r="1033" spans="1:33" ht="15" customHeight="1" x14ac:dyDescent="0.25">
      <c r="A1033" s="5">
        <v>47</v>
      </c>
      <c r="B1033" s="38">
        <v>44153</v>
      </c>
      <c r="C1033" s="38">
        <v>44123</v>
      </c>
      <c r="D1033" s="38">
        <v>44116</v>
      </c>
      <c r="E1033" s="37">
        <v>44153</v>
      </c>
      <c r="F1033" s="5">
        <v>5752</v>
      </c>
      <c r="G1033" s="5" t="s">
        <v>91</v>
      </c>
      <c r="H1033" s="5" t="s">
        <v>41</v>
      </c>
      <c r="I1033" s="5" t="s">
        <v>92</v>
      </c>
      <c r="J1033" s="21" t="s">
        <v>131</v>
      </c>
      <c r="K1033" s="21" t="s">
        <v>2745</v>
      </c>
      <c r="L1033" s="6" t="s">
        <v>2746</v>
      </c>
      <c r="M1033" s="5">
        <v>0</v>
      </c>
      <c r="N1033" s="5" t="s">
        <v>91</v>
      </c>
      <c r="O1033" s="5" t="s">
        <v>91</v>
      </c>
      <c r="P1033" s="5" t="s">
        <v>91</v>
      </c>
      <c r="Q1033" s="6"/>
      <c r="R1033" s="6" t="s">
        <v>2368</v>
      </c>
      <c r="S1033" s="6"/>
      <c r="T1033" s="6"/>
      <c r="U1033" s="5"/>
      <c r="V1033" s="6"/>
      <c r="W1033" s="6" t="s">
        <v>2747</v>
      </c>
      <c r="X1033" s="6"/>
      <c r="Y1033" s="22"/>
      <c r="Z1033" s="6"/>
      <c r="AA1033" s="21"/>
      <c r="AB1033" s="23">
        <v>44139</v>
      </c>
      <c r="AC1033" s="21" t="s">
        <v>30</v>
      </c>
      <c r="AD1033" s="24" t="s">
        <v>296</v>
      </c>
      <c r="AE1033" s="6" t="s">
        <v>31</v>
      </c>
      <c r="AF1033" s="6"/>
      <c r="AG1033" s="6" t="s">
        <v>3041</v>
      </c>
    </row>
    <row r="1034" spans="1:33" ht="15" customHeight="1" x14ac:dyDescent="0.25">
      <c r="A1034" s="5">
        <v>47</v>
      </c>
      <c r="B1034" s="38">
        <v>44153</v>
      </c>
      <c r="C1034" s="38">
        <v>44123</v>
      </c>
      <c r="D1034" s="38">
        <v>44116</v>
      </c>
      <c r="E1034" s="37">
        <v>44153</v>
      </c>
      <c r="F1034" s="5">
        <v>6741</v>
      </c>
      <c r="G1034" s="5" t="s">
        <v>91</v>
      </c>
      <c r="H1034" s="5" t="s">
        <v>41</v>
      </c>
      <c r="I1034" s="5" t="s">
        <v>92</v>
      </c>
      <c r="J1034" s="21" t="s">
        <v>191</v>
      </c>
      <c r="K1034" s="21" t="s">
        <v>2756</v>
      </c>
      <c r="L1034" s="6" t="s">
        <v>2757</v>
      </c>
      <c r="M1034" s="5">
        <v>11</v>
      </c>
      <c r="N1034" s="5" t="s">
        <v>91</v>
      </c>
      <c r="O1034" s="5" t="s">
        <v>91</v>
      </c>
      <c r="P1034" s="5" t="s">
        <v>91</v>
      </c>
      <c r="Q1034" s="6" t="s">
        <v>2546</v>
      </c>
      <c r="R1034" s="6" t="s">
        <v>194</v>
      </c>
      <c r="S1034" s="6"/>
      <c r="T1034" s="6"/>
      <c r="U1034" s="5"/>
      <c r="V1034" s="6"/>
      <c r="W1034" s="6" t="s">
        <v>2758</v>
      </c>
      <c r="X1034" s="6"/>
      <c r="Y1034" s="22"/>
      <c r="Z1034" s="6">
        <v>4</v>
      </c>
      <c r="AA1034" s="21"/>
      <c r="AB1034" s="23">
        <v>44095</v>
      </c>
      <c r="AC1034" s="21" t="s">
        <v>33</v>
      </c>
      <c r="AD1034" s="24" t="s">
        <v>2759</v>
      </c>
      <c r="AE1034" s="6" t="s">
        <v>36</v>
      </c>
      <c r="AF1034" s="6"/>
      <c r="AG1034" s="6" t="s">
        <v>3041</v>
      </c>
    </row>
    <row r="1035" spans="1:33" ht="7.5" customHeight="1" x14ac:dyDescent="0.25">
      <c r="A1035" s="27"/>
      <c r="B1035" s="39"/>
      <c r="C1035" s="39"/>
      <c r="D1035" s="39"/>
      <c r="E1035" s="28"/>
      <c r="F1035" s="27"/>
      <c r="G1035" s="27"/>
      <c r="H1035" s="27"/>
      <c r="I1035" s="27"/>
      <c r="J1035" s="30"/>
      <c r="K1035" s="30"/>
      <c r="L1035" s="29"/>
      <c r="M1035" s="27"/>
      <c r="N1035" s="27"/>
      <c r="O1035" s="27"/>
      <c r="P1035" s="27"/>
      <c r="Q1035" s="29"/>
      <c r="R1035" s="29"/>
      <c r="S1035" s="29"/>
      <c r="T1035" s="29"/>
      <c r="U1035" s="27"/>
      <c r="V1035" s="29"/>
      <c r="W1035" s="29"/>
      <c r="X1035" s="29"/>
      <c r="Y1035" s="31"/>
      <c r="Z1035" s="29"/>
      <c r="AA1035" s="30"/>
      <c r="AB1035" s="32"/>
      <c r="AC1035" s="30"/>
      <c r="AD1035" s="33"/>
      <c r="AE1035" s="29"/>
      <c r="AF1035" s="29"/>
      <c r="AG1035" s="29"/>
    </row>
    <row r="1036" spans="1:33" ht="15" customHeight="1" x14ac:dyDescent="0.25">
      <c r="A1036" s="5">
        <v>45</v>
      </c>
      <c r="B1036" s="38">
        <v>44138</v>
      </c>
      <c r="C1036" s="38">
        <v>44124</v>
      </c>
      <c r="D1036" s="38">
        <v>44117</v>
      </c>
      <c r="E1036" s="36">
        <v>44138</v>
      </c>
      <c r="F1036" s="5">
        <v>3114</v>
      </c>
      <c r="G1036" s="5" t="s">
        <v>91</v>
      </c>
      <c r="H1036" s="5" t="s">
        <v>43</v>
      </c>
      <c r="I1036" s="5" t="s">
        <v>92</v>
      </c>
      <c r="J1036" s="21" t="s">
        <v>93</v>
      </c>
      <c r="K1036" s="21" t="s">
        <v>2394</v>
      </c>
      <c r="L1036" s="6" t="s">
        <v>2395</v>
      </c>
      <c r="M1036" s="5">
        <v>15</v>
      </c>
      <c r="N1036" s="5" t="s">
        <v>91</v>
      </c>
      <c r="O1036" s="5" t="s">
        <v>91</v>
      </c>
      <c r="P1036" s="5" t="s">
        <v>1215</v>
      </c>
      <c r="Q1036" s="6" t="s">
        <v>105</v>
      </c>
      <c r="R1036" s="6" t="s">
        <v>1727</v>
      </c>
      <c r="S1036" s="6" t="s">
        <v>516</v>
      </c>
      <c r="T1036" s="6"/>
      <c r="U1036" s="5"/>
      <c r="V1036" s="6" t="s">
        <v>2396</v>
      </c>
      <c r="W1036" s="6" t="s">
        <v>2397</v>
      </c>
      <c r="X1036" s="6" t="s">
        <v>2398</v>
      </c>
      <c r="Y1036" s="22"/>
      <c r="Z1036" s="6"/>
      <c r="AA1036" s="21"/>
      <c r="AB1036" s="23"/>
      <c r="AC1036" s="21" t="s">
        <v>30</v>
      </c>
      <c r="AD1036" s="24"/>
      <c r="AE1036" s="6" t="s">
        <v>31</v>
      </c>
      <c r="AF1036" s="6"/>
      <c r="AG1036" s="6" t="s">
        <v>3042</v>
      </c>
    </row>
    <row r="1037" spans="1:33" ht="15" customHeight="1" x14ac:dyDescent="0.25">
      <c r="A1037" s="5">
        <v>45</v>
      </c>
      <c r="B1037" s="38">
        <v>44138</v>
      </c>
      <c r="C1037" s="38">
        <v>44124</v>
      </c>
      <c r="D1037" s="38">
        <v>44117</v>
      </c>
      <c r="E1037" s="36">
        <v>44138</v>
      </c>
      <c r="F1037" s="5">
        <v>3118</v>
      </c>
      <c r="G1037" s="5" t="s">
        <v>91</v>
      </c>
      <c r="H1037" s="5" t="s">
        <v>41</v>
      </c>
      <c r="I1037" s="5" t="s">
        <v>92</v>
      </c>
      <c r="J1037" s="21" t="s">
        <v>93</v>
      </c>
      <c r="K1037" s="21" t="s">
        <v>2399</v>
      </c>
      <c r="L1037" s="6" t="s">
        <v>95</v>
      </c>
      <c r="M1037" s="5">
        <v>15</v>
      </c>
      <c r="N1037" s="5" t="s">
        <v>91</v>
      </c>
      <c r="O1037" s="5" t="s">
        <v>91</v>
      </c>
      <c r="P1037" s="5" t="s">
        <v>91</v>
      </c>
      <c r="Q1037" s="6" t="s">
        <v>105</v>
      </c>
      <c r="R1037" s="6" t="s">
        <v>2138</v>
      </c>
      <c r="S1037" s="6" t="s">
        <v>98</v>
      </c>
      <c r="T1037" s="6"/>
      <c r="U1037" s="5"/>
      <c r="V1037" s="6"/>
      <c r="W1037" s="6" t="s">
        <v>2400</v>
      </c>
      <c r="X1037" s="6" t="s">
        <v>2401</v>
      </c>
      <c r="Y1037" s="22"/>
      <c r="Z1037" s="6"/>
      <c r="AA1037" s="21">
        <v>10204</v>
      </c>
      <c r="AB1037" s="23">
        <v>44114</v>
      </c>
      <c r="AC1037" s="21" t="s">
        <v>30</v>
      </c>
      <c r="AD1037" s="24" t="s">
        <v>2402</v>
      </c>
      <c r="AE1037" s="6" t="s">
        <v>31</v>
      </c>
      <c r="AF1037" s="6"/>
      <c r="AG1037" s="6" t="s">
        <v>3039</v>
      </c>
    </row>
    <row r="1038" spans="1:33" ht="15" customHeight="1" x14ac:dyDescent="0.25">
      <c r="A1038" s="5">
        <v>45</v>
      </c>
      <c r="B1038" s="38">
        <v>44138</v>
      </c>
      <c r="C1038" s="38">
        <v>44124</v>
      </c>
      <c r="D1038" s="38">
        <v>44117</v>
      </c>
      <c r="E1038" s="36">
        <v>44138</v>
      </c>
      <c r="F1038" s="5">
        <v>3132</v>
      </c>
      <c r="G1038" s="5" t="s">
        <v>91</v>
      </c>
      <c r="H1038" s="5" t="s">
        <v>43</v>
      </c>
      <c r="I1038" s="5" t="s">
        <v>92</v>
      </c>
      <c r="J1038" s="21" t="s">
        <v>93</v>
      </c>
      <c r="K1038" s="21" t="s">
        <v>2403</v>
      </c>
      <c r="L1038" s="6" t="s">
        <v>483</v>
      </c>
      <c r="M1038" s="5">
        <v>0</v>
      </c>
      <c r="N1038" s="5" t="s">
        <v>91</v>
      </c>
      <c r="O1038" s="5"/>
      <c r="P1038" s="5"/>
      <c r="Q1038" s="6" t="s">
        <v>96</v>
      </c>
      <c r="R1038" s="6" t="s">
        <v>107</v>
      </c>
      <c r="S1038" s="6"/>
      <c r="T1038" s="6"/>
      <c r="U1038" s="5"/>
      <c r="V1038" s="6" t="s">
        <v>2404</v>
      </c>
      <c r="W1038" s="6" t="s">
        <v>107</v>
      </c>
      <c r="X1038" s="6"/>
      <c r="Y1038" s="22"/>
      <c r="Z1038" s="6"/>
      <c r="AA1038" s="21">
        <v>10197</v>
      </c>
      <c r="AB1038" s="23">
        <v>44118</v>
      </c>
      <c r="AC1038" s="21" t="s">
        <v>32</v>
      </c>
      <c r="AD1038" s="24" t="s">
        <v>2405</v>
      </c>
      <c r="AE1038" s="6" t="s">
        <v>36</v>
      </c>
      <c r="AF1038" s="6"/>
      <c r="AG1038" s="6" t="s">
        <v>3040</v>
      </c>
    </row>
    <row r="1039" spans="1:33" ht="15" customHeight="1" x14ac:dyDescent="0.25">
      <c r="A1039" s="5">
        <v>45</v>
      </c>
      <c r="B1039" s="38">
        <v>44138</v>
      </c>
      <c r="C1039" s="38">
        <v>44124</v>
      </c>
      <c r="D1039" s="38">
        <v>44117</v>
      </c>
      <c r="E1039" s="36">
        <v>44138</v>
      </c>
      <c r="F1039" s="5">
        <v>4845</v>
      </c>
      <c r="G1039" s="5" t="s">
        <v>91</v>
      </c>
      <c r="H1039" s="5" t="s">
        <v>43</v>
      </c>
      <c r="I1039" s="5" t="s">
        <v>92</v>
      </c>
      <c r="J1039" s="21" t="s">
        <v>109</v>
      </c>
      <c r="K1039" s="21" t="s">
        <v>2409</v>
      </c>
      <c r="L1039" s="6" t="s">
        <v>2410</v>
      </c>
      <c r="M1039" s="5">
        <v>14</v>
      </c>
      <c r="N1039" s="5" t="s">
        <v>91</v>
      </c>
      <c r="O1039" s="5" t="s">
        <v>91</v>
      </c>
      <c r="P1039" s="5" t="s">
        <v>91</v>
      </c>
      <c r="Q1039" s="6" t="s">
        <v>96</v>
      </c>
      <c r="R1039" s="6" t="s">
        <v>123</v>
      </c>
      <c r="S1039" s="6"/>
      <c r="T1039" s="6"/>
      <c r="U1039" s="5"/>
      <c r="V1039" s="6"/>
      <c r="W1039" s="6" t="s">
        <v>2411</v>
      </c>
      <c r="X1039" s="6"/>
      <c r="Y1039" s="22"/>
      <c r="Z1039" s="6">
        <v>5.75</v>
      </c>
      <c r="AA1039" s="21">
        <v>15490</v>
      </c>
      <c r="AB1039" s="23">
        <v>44091</v>
      </c>
      <c r="AC1039" s="21" t="s">
        <v>32</v>
      </c>
      <c r="AD1039" s="24" t="s">
        <v>115</v>
      </c>
      <c r="AE1039" s="6" t="s">
        <v>31</v>
      </c>
      <c r="AF1039" s="6"/>
      <c r="AG1039" s="6" t="s">
        <v>3042</v>
      </c>
    </row>
    <row r="1040" spans="1:33" ht="7.5" customHeight="1" x14ac:dyDescent="0.25">
      <c r="A1040" s="27"/>
      <c r="B1040" s="39"/>
      <c r="C1040" s="39"/>
      <c r="D1040" s="39"/>
      <c r="E1040" s="28"/>
      <c r="F1040" s="27"/>
      <c r="G1040" s="27"/>
      <c r="H1040" s="27"/>
      <c r="I1040" s="27"/>
      <c r="J1040" s="30"/>
      <c r="K1040" s="30"/>
      <c r="L1040" s="29"/>
      <c r="M1040" s="27"/>
      <c r="N1040" s="27"/>
      <c r="O1040" s="27"/>
      <c r="P1040" s="27"/>
      <c r="Q1040" s="29"/>
      <c r="R1040" s="29"/>
      <c r="S1040" s="29"/>
      <c r="T1040" s="29"/>
      <c r="U1040" s="27"/>
      <c r="V1040" s="29"/>
      <c r="W1040" s="29"/>
      <c r="X1040" s="29"/>
      <c r="Y1040" s="31"/>
      <c r="Z1040" s="29"/>
      <c r="AA1040" s="30"/>
      <c r="AB1040" s="32"/>
      <c r="AC1040" s="30"/>
      <c r="AD1040" s="33"/>
      <c r="AE1040" s="29"/>
      <c r="AF1040" s="29"/>
      <c r="AG1040" s="29"/>
    </row>
    <row r="1041" spans="1:33" ht="15" customHeight="1" x14ac:dyDescent="0.25">
      <c r="A1041" s="5">
        <v>47</v>
      </c>
      <c r="B1041" s="38">
        <v>44151</v>
      </c>
      <c r="C1041" s="38">
        <v>44124</v>
      </c>
      <c r="D1041" s="38">
        <v>44098</v>
      </c>
      <c r="E1041" s="37">
        <v>44151</v>
      </c>
      <c r="F1041" s="5">
        <v>5688</v>
      </c>
      <c r="G1041" s="5" t="s">
        <v>91</v>
      </c>
      <c r="H1041" s="5" t="s">
        <v>43</v>
      </c>
      <c r="I1041" s="5" t="s">
        <v>92</v>
      </c>
      <c r="J1041" s="21" t="s">
        <v>131</v>
      </c>
      <c r="K1041" s="21" t="s">
        <v>2668</v>
      </c>
      <c r="L1041" s="6" t="s">
        <v>2669</v>
      </c>
      <c r="M1041" s="5">
        <v>14</v>
      </c>
      <c r="N1041" s="5" t="s">
        <v>91</v>
      </c>
      <c r="O1041" s="5" t="s">
        <v>91</v>
      </c>
      <c r="P1041" s="5" t="s">
        <v>1215</v>
      </c>
      <c r="Q1041" s="6" t="s">
        <v>2546</v>
      </c>
      <c r="R1041" s="6" t="s">
        <v>2368</v>
      </c>
      <c r="S1041" s="6"/>
      <c r="T1041" s="6"/>
      <c r="U1041" s="5"/>
      <c r="V1041" s="6" t="s">
        <v>2670</v>
      </c>
      <c r="W1041" s="6" t="s">
        <v>502</v>
      </c>
      <c r="X1041" s="6"/>
      <c r="Y1041" s="22"/>
      <c r="Z1041" s="6">
        <v>5.5</v>
      </c>
      <c r="AA1041" s="21">
        <v>15395</v>
      </c>
      <c r="AB1041" s="23">
        <v>44124</v>
      </c>
      <c r="AC1041" s="21" t="s">
        <v>32</v>
      </c>
      <c r="AD1041" s="24" t="s">
        <v>2671</v>
      </c>
      <c r="AE1041" s="6" t="s">
        <v>38</v>
      </c>
      <c r="AF1041" s="6"/>
      <c r="AG1041" s="6" t="s">
        <v>3039</v>
      </c>
    </row>
    <row r="1042" spans="1:33" ht="7.5" customHeight="1" x14ac:dyDescent="0.25">
      <c r="A1042" s="27"/>
      <c r="B1042" s="39"/>
      <c r="C1042" s="39"/>
      <c r="D1042" s="39"/>
      <c r="E1042" s="28"/>
      <c r="F1042" s="27"/>
      <c r="G1042" s="27"/>
      <c r="H1042" s="27"/>
      <c r="I1042" s="27"/>
      <c r="J1042" s="30"/>
      <c r="K1042" s="30"/>
      <c r="L1042" s="29"/>
      <c r="M1042" s="27"/>
      <c r="N1042" s="27"/>
      <c r="O1042" s="27"/>
      <c r="P1042" s="27"/>
      <c r="Q1042" s="29"/>
      <c r="R1042" s="29"/>
      <c r="S1042" s="29"/>
      <c r="T1042" s="29"/>
      <c r="U1042" s="27"/>
      <c r="V1042" s="29"/>
      <c r="W1042" s="29"/>
      <c r="X1042" s="29"/>
      <c r="Y1042" s="31"/>
      <c r="Z1042" s="29"/>
      <c r="AA1042" s="30"/>
      <c r="AB1042" s="32"/>
      <c r="AC1042" s="30"/>
      <c r="AD1042" s="33"/>
      <c r="AE1042" s="29"/>
      <c r="AF1042" s="29"/>
      <c r="AG1042" s="29"/>
    </row>
    <row r="1043" spans="1:33" ht="15" customHeight="1" x14ac:dyDescent="0.25">
      <c r="A1043" s="5">
        <v>44</v>
      </c>
      <c r="B1043" s="38">
        <v>44133</v>
      </c>
      <c r="C1043" s="38">
        <v>44124</v>
      </c>
      <c r="D1043" s="38">
        <v>44092</v>
      </c>
      <c r="E1043" s="35">
        <v>44133</v>
      </c>
      <c r="F1043" s="5">
        <v>9698</v>
      </c>
      <c r="G1043" s="5" t="s">
        <v>91</v>
      </c>
      <c r="H1043" s="5" t="s">
        <v>43</v>
      </c>
      <c r="I1043" s="5" t="s">
        <v>92</v>
      </c>
      <c r="J1043" s="21" t="s">
        <v>159</v>
      </c>
      <c r="K1043" s="21">
        <v>257991</v>
      </c>
      <c r="L1043" s="6" t="s">
        <v>152</v>
      </c>
      <c r="M1043" s="5">
        <v>16</v>
      </c>
      <c r="N1043" s="5" t="s">
        <v>91</v>
      </c>
      <c r="O1043" s="5" t="s">
        <v>91</v>
      </c>
      <c r="P1043" s="5" t="s">
        <v>91</v>
      </c>
      <c r="Q1043" s="6"/>
      <c r="R1043" s="6" t="s">
        <v>163</v>
      </c>
      <c r="S1043" s="6"/>
      <c r="T1043" s="6"/>
      <c r="U1043" s="5"/>
      <c r="V1043" s="6" t="s">
        <v>164</v>
      </c>
      <c r="W1043" s="6" t="s">
        <v>165</v>
      </c>
      <c r="X1043" s="6"/>
      <c r="Y1043" s="22"/>
      <c r="Z1043" s="6"/>
      <c r="AA1043" s="21">
        <v>257991</v>
      </c>
      <c r="AB1043" s="23">
        <v>44098</v>
      </c>
      <c r="AC1043" s="21" t="s">
        <v>32</v>
      </c>
      <c r="AD1043" s="24" t="s">
        <v>2331</v>
      </c>
      <c r="AE1043" s="6" t="s">
        <v>31</v>
      </c>
      <c r="AF1043" s="6"/>
      <c r="AG1043" s="6" t="s">
        <v>3041</v>
      </c>
    </row>
    <row r="1044" spans="1:33" ht="15" customHeight="1" x14ac:dyDescent="0.25">
      <c r="A1044" s="5">
        <v>44</v>
      </c>
      <c r="B1044" s="38">
        <v>44133</v>
      </c>
      <c r="C1044" s="38">
        <v>44124</v>
      </c>
      <c r="D1044" s="38">
        <v>44097</v>
      </c>
      <c r="E1044" s="35">
        <v>44133</v>
      </c>
      <c r="F1044" s="5">
        <v>9702</v>
      </c>
      <c r="G1044" s="5" t="s">
        <v>91</v>
      </c>
      <c r="H1044" s="5" t="s">
        <v>40</v>
      </c>
      <c r="I1044" s="5" t="s">
        <v>92</v>
      </c>
      <c r="J1044" s="21" t="s">
        <v>159</v>
      </c>
      <c r="K1044" s="21">
        <v>258056</v>
      </c>
      <c r="L1044" s="6" t="s">
        <v>2332</v>
      </c>
      <c r="M1044" s="5">
        <v>20</v>
      </c>
      <c r="N1044" s="5" t="s">
        <v>91</v>
      </c>
      <c r="O1044" s="5" t="s">
        <v>91</v>
      </c>
      <c r="P1044" s="5" t="s">
        <v>91</v>
      </c>
      <c r="Q1044" s="6"/>
      <c r="R1044" s="6" t="s">
        <v>107</v>
      </c>
      <c r="S1044" s="6"/>
      <c r="T1044" s="6"/>
      <c r="U1044" s="5"/>
      <c r="V1044" s="6" t="s">
        <v>161</v>
      </c>
      <c r="W1044" s="6" t="s">
        <v>106</v>
      </c>
      <c r="X1044" s="6"/>
      <c r="Y1044" s="22"/>
      <c r="Z1044" s="6"/>
      <c r="AA1044" s="21">
        <v>258056</v>
      </c>
      <c r="AB1044" s="23">
        <v>44103</v>
      </c>
      <c r="AC1044" s="21" t="s">
        <v>32</v>
      </c>
      <c r="AD1044" s="24" t="s">
        <v>1772</v>
      </c>
      <c r="AE1044" s="6" t="s">
        <v>36</v>
      </c>
      <c r="AF1044" s="6"/>
      <c r="AG1044" s="6" t="s">
        <v>3042</v>
      </c>
    </row>
    <row r="1045" spans="1:33" ht="15" customHeight="1" x14ac:dyDescent="0.25">
      <c r="A1045" s="5">
        <v>44</v>
      </c>
      <c r="B1045" s="38">
        <v>44133</v>
      </c>
      <c r="C1045" s="38">
        <v>44124</v>
      </c>
      <c r="D1045" s="38">
        <v>44097</v>
      </c>
      <c r="E1045" s="35">
        <v>44133</v>
      </c>
      <c r="F1045" s="5">
        <v>9704</v>
      </c>
      <c r="G1045" s="5" t="s">
        <v>91</v>
      </c>
      <c r="H1045" s="5" t="s">
        <v>40</v>
      </c>
      <c r="I1045" s="5" t="s">
        <v>92</v>
      </c>
      <c r="J1045" s="21" t="s">
        <v>159</v>
      </c>
      <c r="K1045" s="21">
        <v>258051</v>
      </c>
      <c r="L1045" s="6" t="s">
        <v>152</v>
      </c>
      <c r="M1045" s="5">
        <v>20</v>
      </c>
      <c r="N1045" s="5" t="s">
        <v>91</v>
      </c>
      <c r="O1045" s="5" t="s">
        <v>91</v>
      </c>
      <c r="P1045" s="5" t="s">
        <v>91</v>
      </c>
      <c r="Q1045" s="6"/>
      <c r="R1045" s="6" t="s">
        <v>163</v>
      </c>
      <c r="S1045" s="6"/>
      <c r="T1045" s="6"/>
      <c r="U1045" s="5"/>
      <c r="V1045" s="6" t="s">
        <v>164</v>
      </c>
      <c r="W1045" s="6" t="s">
        <v>2333</v>
      </c>
      <c r="X1045" s="6"/>
      <c r="Y1045" s="22"/>
      <c r="Z1045" s="6"/>
      <c r="AA1045" s="21">
        <v>258051</v>
      </c>
      <c r="AB1045" s="23">
        <v>44103</v>
      </c>
      <c r="AC1045" s="21" t="s">
        <v>32</v>
      </c>
      <c r="AD1045" s="24" t="s">
        <v>2334</v>
      </c>
      <c r="AE1045" s="6" t="s">
        <v>31</v>
      </c>
      <c r="AF1045" s="6"/>
      <c r="AG1045" s="6" t="s">
        <v>3039</v>
      </c>
    </row>
    <row r="1046" spans="1:33" ht="15" customHeight="1" x14ac:dyDescent="0.25">
      <c r="A1046" s="5">
        <v>44</v>
      </c>
      <c r="B1046" s="38">
        <v>44133</v>
      </c>
      <c r="C1046" s="38">
        <v>44124</v>
      </c>
      <c r="D1046" s="38">
        <v>44102</v>
      </c>
      <c r="E1046" s="35">
        <v>44133</v>
      </c>
      <c r="F1046" s="5">
        <v>9707</v>
      </c>
      <c r="G1046" s="5" t="s">
        <v>91</v>
      </c>
      <c r="H1046" s="5" t="s">
        <v>43</v>
      </c>
      <c r="I1046" s="5" t="s">
        <v>92</v>
      </c>
      <c r="J1046" s="21" t="s">
        <v>159</v>
      </c>
      <c r="K1046" s="21">
        <v>258110</v>
      </c>
      <c r="L1046" s="6" t="s">
        <v>152</v>
      </c>
      <c r="M1046" s="5">
        <v>4</v>
      </c>
      <c r="N1046" s="5" t="s">
        <v>91</v>
      </c>
      <c r="O1046" s="5" t="s">
        <v>91</v>
      </c>
      <c r="P1046" s="5" t="s">
        <v>91</v>
      </c>
      <c r="Q1046" s="6"/>
      <c r="R1046" s="6" t="s">
        <v>163</v>
      </c>
      <c r="S1046" s="6"/>
      <c r="T1046" s="6"/>
      <c r="U1046" s="5"/>
      <c r="V1046" s="6" t="s">
        <v>164</v>
      </c>
      <c r="W1046" s="6" t="s">
        <v>2335</v>
      </c>
      <c r="X1046" s="6"/>
      <c r="Y1046" s="22"/>
      <c r="Z1046" s="6"/>
      <c r="AA1046" s="21"/>
      <c r="AB1046" s="23">
        <v>44106</v>
      </c>
      <c r="AC1046" s="21" t="s">
        <v>30</v>
      </c>
      <c r="AD1046" s="24" t="s">
        <v>2336</v>
      </c>
      <c r="AE1046" s="6" t="s">
        <v>31</v>
      </c>
      <c r="AF1046" s="6"/>
      <c r="AG1046" s="6" t="s">
        <v>3040</v>
      </c>
    </row>
    <row r="1047" spans="1:33" ht="7.5" customHeight="1" x14ac:dyDescent="0.25">
      <c r="A1047" s="27"/>
      <c r="B1047" s="39"/>
      <c r="C1047" s="39"/>
      <c r="D1047" s="39"/>
      <c r="E1047" s="28"/>
      <c r="F1047" s="27"/>
      <c r="G1047" s="27"/>
      <c r="H1047" s="27"/>
      <c r="I1047" s="27"/>
      <c r="J1047" s="30"/>
      <c r="K1047" s="30"/>
      <c r="L1047" s="29"/>
      <c r="M1047" s="27"/>
      <c r="N1047" s="27"/>
      <c r="O1047" s="27"/>
      <c r="P1047" s="27"/>
      <c r="Q1047" s="29"/>
      <c r="R1047" s="29"/>
      <c r="S1047" s="29"/>
      <c r="T1047" s="29"/>
      <c r="U1047" s="27"/>
      <c r="V1047" s="29"/>
      <c r="W1047" s="29"/>
      <c r="X1047" s="29"/>
      <c r="Y1047" s="31"/>
      <c r="Z1047" s="29"/>
      <c r="AA1047" s="30"/>
      <c r="AB1047" s="32"/>
      <c r="AC1047" s="30"/>
      <c r="AD1047" s="33"/>
      <c r="AE1047" s="29"/>
      <c r="AF1047" s="29"/>
      <c r="AG1047" s="29"/>
    </row>
    <row r="1048" spans="1:33" ht="15" customHeight="1" x14ac:dyDescent="0.25">
      <c r="A1048" s="5">
        <v>46</v>
      </c>
      <c r="B1048" s="38">
        <v>44146</v>
      </c>
      <c r="C1048" s="38">
        <v>44125</v>
      </c>
      <c r="D1048" s="38">
        <v>44118</v>
      </c>
      <c r="E1048" s="28">
        <v>44146</v>
      </c>
      <c r="F1048" s="5">
        <v>2392</v>
      </c>
      <c r="G1048" s="5" t="s">
        <v>91</v>
      </c>
      <c r="H1048" s="5" t="s">
        <v>40</v>
      </c>
      <c r="I1048" s="5" t="s">
        <v>92</v>
      </c>
      <c r="J1048" s="21" t="s">
        <v>231</v>
      </c>
      <c r="K1048" s="21" t="s">
        <v>2568</v>
      </c>
      <c r="L1048" s="6" t="s">
        <v>2055</v>
      </c>
      <c r="M1048" s="5">
        <v>15</v>
      </c>
      <c r="N1048" s="5" t="s">
        <v>91</v>
      </c>
      <c r="O1048" s="5" t="s">
        <v>91</v>
      </c>
      <c r="P1048" s="5" t="s">
        <v>91</v>
      </c>
      <c r="Q1048" s="6" t="s">
        <v>2557</v>
      </c>
      <c r="R1048" s="6" t="s">
        <v>2258</v>
      </c>
      <c r="S1048" s="6" t="s">
        <v>1264</v>
      </c>
      <c r="T1048" s="6" t="s">
        <v>2569</v>
      </c>
      <c r="U1048" s="5"/>
      <c r="V1048" s="6"/>
      <c r="W1048" s="6" t="s">
        <v>2570</v>
      </c>
      <c r="X1048" s="6" t="s">
        <v>235</v>
      </c>
      <c r="Y1048" s="22"/>
      <c r="Z1048" s="6"/>
      <c r="AA1048" s="21"/>
      <c r="AB1048" s="23"/>
      <c r="AC1048" s="21" t="s">
        <v>30</v>
      </c>
      <c r="AD1048" s="24"/>
      <c r="AE1048" s="6" t="s">
        <v>34</v>
      </c>
      <c r="AF1048" s="6"/>
      <c r="AG1048" s="6" t="s">
        <v>3041</v>
      </c>
    </row>
    <row r="1049" spans="1:33" ht="15" customHeight="1" x14ac:dyDescent="0.25">
      <c r="A1049" s="5">
        <v>46</v>
      </c>
      <c r="B1049" s="38">
        <v>44146</v>
      </c>
      <c r="C1049" s="38">
        <v>44125</v>
      </c>
      <c r="D1049" s="38">
        <v>44118</v>
      </c>
      <c r="E1049" s="28">
        <v>44146</v>
      </c>
      <c r="F1049" s="5">
        <v>10710</v>
      </c>
      <c r="G1049" s="5" t="s">
        <v>91</v>
      </c>
      <c r="H1049" s="5" t="s">
        <v>40</v>
      </c>
      <c r="I1049" s="5" t="s">
        <v>92</v>
      </c>
      <c r="J1049" s="21" t="s">
        <v>170</v>
      </c>
      <c r="K1049" s="21" t="s">
        <v>2571</v>
      </c>
      <c r="L1049" s="6" t="s">
        <v>2572</v>
      </c>
      <c r="M1049" s="5">
        <v>13</v>
      </c>
      <c r="N1049" s="5" t="s">
        <v>91</v>
      </c>
      <c r="O1049" s="5" t="s">
        <v>91</v>
      </c>
      <c r="P1049" s="5" t="s">
        <v>91</v>
      </c>
      <c r="Q1049" s="6" t="s">
        <v>2573</v>
      </c>
      <c r="R1049" s="6" t="s">
        <v>123</v>
      </c>
      <c r="S1049" s="6"/>
      <c r="T1049" s="6"/>
      <c r="U1049" s="5"/>
      <c r="V1049" s="6"/>
      <c r="W1049" s="6" t="s">
        <v>2574</v>
      </c>
      <c r="X1049" s="6" t="s">
        <v>2575</v>
      </c>
      <c r="Y1049" s="22"/>
      <c r="Z1049" s="6">
        <v>6.3</v>
      </c>
      <c r="AA1049" s="21" t="s">
        <v>2576</v>
      </c>
      <c r="AB1049" s="23">
        <v>44097</v>
      </c>
      <c r="AC1049" s="21" t="s">
        <v>30</v>
      </c>
      <c r="AD1049" s="24">
        <v>8341.1299999999992</v>
      </c>
      <c r="AE1049" s="6" t="s">
        <v>31</v>
      </c>
      <c r="AF1049" s="6"/>
      <c r="AG1049" s="6" t="s">
        <v>3042</v>
      </c>
    </row>
    <row r="1050" spans="1:33" ht="15" customHeight="1" x14ac:dyDescent="0.25">
      <c r="A1050" s="5">
        <v>46</v>
      </c>
      <c r="B1050" s="38">
        <v>44146</v>
      </c>
      <c r="C1050" s="38">
        <v>44125</v>
      </c>
      <c r="D1050" s="38">
        <v>44118</v>
      </c>
      <c r="E1050" s="28">
        <v>44146</v>
      </c>
      <c r="F1050" s="5">
        <v>3123</v>
      </c>
      <c r="G1050" s="5" t="s">
        <v>91</v>
      </c>
      <c r="H1050" s="5" t="s">
        <v>40</v>
      </c>
      <c r="I1050" s="5" t="s">
        <v>92</v>
      </c>
      <c r="J1050" s="21" t="s">
        <v>93</v>
      </c>
      <c r="K1050" s="21" t="s">
        <v>2580</v>
      </c>
      <c r="L1050" s="6" t="s">
        <v>2581</v>
      </c>
      <c r="M1050" s="5">
        <v>15</v>
      </c>
      <c r="N1050" s="5" t="s">
        <v>91</v>
      </c>
      <c r="O1050" s="5" t="s">
        <v>91</v>
      </c>
      <c r="P1050" s="5" t="s">
        <v>1215</v>
      </c>
      <c r="Q1050" s="6" t="s">
        <v>2582</v>
      </c>
      <c r="R1050" s="6" t="s">
        <v>264</v>
      </c>
      <c r="S1050" s="6" t="s">
        <v>98</v>
      </c>
      <c r="T1050" s="6"/>
      <c r="U1050" s="5"/>
      <c r="V1050" s="6" t="s">
        <v>2583</v>
      </c>
      <c r="W1050" s="6" t="s">
        <v>2584</v>
      </c>
      <c r="X1050" s="6"/>
      <c r="Y1050" s="22"/>
      <c r="Z1050" s="6"/>
      <c r="AA1050" s="21"/>
      <c r="AB1050" s="23">
        <v>44140</v>
      </c>
      <c r="AC1050" s="21" t="s">
        <v>33</v>
      </c>
      <c r="AD1050" s="24" t="s">
        <v>2585</v>
      </c>
      <c r="AE1050" s="6" t="s">
        <v>31</v>
      </c>
      <c r="AF1050" s="6"/>
      <c r="AG1050" s="6" t="s">
        <v>3040</v>
      </c>
    </row>
    <row r="1051" spans="1:33" ht="7.5" customHeight="1" x14ac:dyDescent="0.25">
      <c r="A1051" s="27"/>
      <c r="B1051" s="39"/>
      <c r="C1051" s="39"/>
      <c r="D1051" s="39"/>
      <c r="E1051" s="28"/>
      <c r="F1051" s="27"/>
      <c r="G1051" s="27"/>
      <c r="H1051" s="27"/>
      <c r="I1051" s="27"/>
      <c r="J1051" s="30"/>
      <c r="K1051" s="30"/>
      <c r="L1051" s="29"/>
      <c r="M1051" s="27"/>
      <c r="N1051" s="27"/>
      <c r="O1051" s="27"/>
      <c r="P1051" s="27"/>
      <c r="Q1051" s="29"/>
      <c r="R1051" s="29"/>
      <c r="S1051" s="29"/>
      <c r="T1051" s="29"/>
      <c r="U1051" s="27"/>
      <c r="V1051" s="29"/>
      <c r="W1051" s="29"/>
      <c r="X1051" s="29"/>
      <c r="Y1051" s="31"/>
      <c r="Z1051" s="29"/>
      <c r="AA1051" s="30"/>
      <c r="AB1051" s="32"/>
      <c r="AC1051" s="30"/>
      <c r="AD1051" s="33"/>
      <c r="AE1051" s="29"/>
      <c r="AF1051" s="29"/>
      <c r="AG1051" s="29"/>
    </row>
    <row r="1052" spans="1:33" ht="15" customHeight="1" x14ac:dyDescent="0.25">
      <c r="A1052" s="5">
        <v>47</v>
      </c>
      <c r="B1052" s="38">
        <v>44155</v>
      </c>
      <c r="C1052" s="38">
        <v>44125</v>
      </c>
      <c r="D1052" s="38">
        <v>44118</v>
      </c>
      <c r="E1052" s="37">
        <v>44155</v>
      </c>
      <c r="F1052" s="5">
        <v>3119</v>
      </c>
      <c r="G1052" s="5" t="s">
        <v>91</v>
      </c>
      <c r="H1052" s="5" t="s">
        <v>40</v>
      </c>
      <c r="I1052" s="5" t="s">
        <v>92</v>
      </c>
      <c r="J1052" s="21" t="s">
        <v>93</v>
      </c>
      <c r="K1052" s="21" t="s">
        <v>2798</v>
      </c>
      <c r="L1052" s="6" t="s">
        <v>927</v>
      </c>
      <c r="M1052" s="5">
        <v>9</v>
      </c>
      <c r="N1052" s="5" t="s">
        <v>91</v>
      </c>
      <c r="O1052" s="5" t="s">
        <v>91</v>
      </c>
      <c r="P1052" s="5" t="s">
        <v>1215</v>
      </c>
      <c r="Q1052" s="6" t="s">
        <v>2557</v>
      </c>
      <c r="R1052" s="6" t="s">
        <v>264</v>
      </c>
      <c r="S1052" s="6" t="s">
        <v>155</v>
      </c>
      <c r="T1052" s="6"/>
      <c r="U1052" s="5"/>
      <c r="V1052" s="6"/>
      <c r="W1052" s="6" t="s">
        <v>2799</v>
      </c>
      <c r="X1052" s="6" t="s">
        <v>2401</v>
      </c>
      <c r="Y1052" s="22"/>
      <c r="Z1052" s="6"/>
      <c r="AA1052" s="21"/>
      <c r="AB1052" s="23">
        <v>44131</v>
      </c>
      <c r="AC1052" s="21" t="s">
        <v>30</v>
      </c>
      <c r="AD1052" s="24" t="s">
        <v>2800</v>
      </c>
      <c r="AE1052" s="6" t="s">
        <v>31</v>
      </c>
      <c r="AF1052" s="6"/>
      <c r="AG1052" s="6" t="s">
        <v>3042</v>
      </c>
    </row>
    <row r="1053" spans="1:33" ht="7.5" customHeight="1" x14ac:dyDescent="0.25">
      <c r="A1053" s="27"/>
      <c r="B1053" s="39"/>
      <c r="C1053" s="39"/>
      <c r="D1053" s="39"/>
      <c r="E1053" s="28"/>
      <c r="F1053" s="27"/>
      <c r="G1053" s="27"/>
      <c r="H1053" s="27"/>
      <c r="I1053" s="27"/>
      <c r="J1053" s="30"/>
      <c r="K1053" s="30"/>
      <c r="L1053" s="29"/>
      <c r="M1053" s="27"/>
      <c r="N1053" s="27"/>
      <c r="O1053" s="27"/>
      <c r="P1053" s="27"/>
      <c r="Q1053" s="29"/>
      <c r="R1053" s="29"/>
      <c r="S1053" s="29"/>
      <c r="T1053" s="29"/>
      <c r="U1053" s="27"/>
      <c r="V1053" s="29"/>
      <c r="W1053" s="29"/>
      <c r="X1053" s="29"/>
      <c r="Y1053" s="31"/>
      <c r="Z1053" s="29"/>
      <c r="AA1053" s="30"/>
      <c r="AB1053" s="32"/>
      <c r="AC1053" s="30"/>
      <c r="AD1053" s="33"/>
      <c r="AE1053" s="29"/>
      <c r="AF1053" s="29"/>
      <c r="AG1053" s="29"/>
    </row>
    <row r="1054" spans="1:33" ht="15" customHeight="1" x14ac:dyDescent="0.25">
      <c r="A1054" s="5">
        <v>45</v>
      </c>
      <c r="B1054" s="38">
        <v>44139</v>
      </c>
      <c r="C1054" s="38">
        <v>44125</v>
      </c>
      <c r="D1054" s="38">
        <v>44118</v>
      </c>
      <c r="E1054" s="36">
        <v>44139</v>
      </c>
      <c r="F1054" s="5">
        <v>12099</v>
      </c>
      <c r="G1054" s="5" t="s">
        <v>91</v>
      </c>
      <c r="H1054" s="5" t="s">
        <v>43</v>
      </c>
      <c r="I1054" s="5" t="s">
        <v>92</v>
      </c>
      <c r="J1054" s="21" t="s">
        <v>275</v>
      </c>
      <c r="K1054" s="21" t="s">
        <v>2423</v>
      </c>
      <c r="L1054" s="6" t="s">
        <v>2424</v>
      </c>
      <c r="M1054" s="5">
        <v>7</v>
      </c>
      <c r="N1054" s="5" t="s">
        <v>91</v>
      </c>
      <c r="O1054" s="5" t="s">
        <v>91</v>
      </c>
      <c r="P1054" s="5" t="s">
        <v>91</v>
      </c>
      <c r="Q1054" s="6" t="s">
        <v>96</v>
      </c>
      <c r="R1054" s="6" t="s">
        <v>2106</v>
      </c>
      <c r="S1054" s="6"/>
      <c r="T1054" s="6"/>
      <c r="U1054" s="5"/>
      <c r="V1054" s="6"/>
      <c r="W1054" s="6" t="s">
        <v>2425</v>
      </c>
      <c r="X1054" s="6"/>
      <c r="Y1054" s="22"/>
      <c r="Z1054" s="6"/>
      <c r="AA1054" s="21">
        <v>10143</v>
      </c>
      <c r="AB1054" s="23">
        <v>44118</v>
      </c>
      <c r="AC1054" s="21" t="s">
        <v>30</v>
      </c>
      <c r="AD1054" s="24" t="s">
        <v>2426</v>
      </c>
      <c r="AE1054" s="6" t="s">
        <v>37</v>
      </c>
      <c r="AF1054" s="6"/>
      <c r="AG1054" s="6" t="s">
        <v>3039</v>
      </c>
    </row>
    <row r="1055" spans="1:33" ht="15" customHeight="1" x14ac:dyDescent="0.25">
      <c r="A1055" s="5">
        <v>45</v>
      </c>
      <c r="B1055" s="38">
        <v>44139</v>
      </c>
      <c r="C1055" s="38">
        <v>44125</v>
      </c>
      <c r="D1055" s="38">
        <v>44118</v>
      </c>
      <c r="E1055" s="36">
        <v>44139</v>
      </c>
      <c r="F1055" s="5">
        <v>4863</v>
      </c>
      <c r="G1055" s="5" t="s">
        <v>91</v>
      </c>
      <c r="H1055" s="5" t="s">
        <v>43</v>
      </c>
      <c r="I1055" s="5" t="s">
        <v>92</v>
      </c>
      <c r="J1055" s="21" t="s">
        <v>109</v>
      </c>
      <c r="K1055" s="21" t="s">
        <v>2429</v>
      </c>
      <c r="L1055" s="6" t="s">
        <v>2430</v>
      </c>
      <c r="M1055" s="5">
        <v>5</v>
      </c>
      <c r="N1055" s="5" t="s">
        <v>91</v>
      </c>
      <c r="O1055" s="5" t="s">
        <v>91</v>
      </c>
      <c r="P1055" s="5" t="s">
        <v>91</v>
      </c>
      <c r="Q1055" s="6"/>
      <c r="R1055" s="6" t="s">
        <v>112</v>
      </c>
      <c r="S1055" s="6"/>
      <c r="T1055" s="6"/>
      <c r="U1055" s="5"/>
      <c r="V1055" s="6"/>
      <c r="W1055" s="6" t="s">
        <v>2431</v>
      </c>
      <c r="X1055" s="6"/>
      <c r="Y1055" s="22"/>
      <c r="Z1055" s="6">
        <v>0.55000000000000004</v>
      </c>
      <c r="AA1055" s="21"/>
      <c r="AB1055" s="23">
        <v>44116</v>
      </c>
      <c r="AC1055" s="21" t="s">
        <v>30</v>
      </c>
      <c r="AD1055" s="24" t="s">
        <v>2432</v>
      </c>
      <c r="AE1055" s="6" t="s">
        <v>31</v>
      </c>
      <c r="AF1055" s="6"/>
      <c r="AG1055" s="6" t="s">
        <v>3041</v>
      </c>
    </row>
    <row r="1056" spans="1:33" ht="7.5" customHeight="1" x14ac:dyDescent="0.25">
      <c r="A1056" s="27"/>
      <c r="B1056" s="39"/>
      <c r="C1056" s="39"/>
      <c r="D1056" s="39"/>
      <c r="E1056" s="28"/>
      <c r="F1056" s="27"/>
      <c r="G1056" s="27"/>
      <c r="H1056" s="27"/>
      <c r="I1056" s="27"/>
      <c r="J1056" s="30"/>
      <c r="K1056" s="30"/>
      <c r="L1056" s="29"/>
      <c r="M1056" s="27"/>
      <c r="N1056" s="27"/>
      <c r="O1056" s="27"/>
      <c r="P1056" s="27"/>
      <c r="Q1056" s="29"/>
      <c r="R1056" s="29"/>
      <c r="S1056" s="29"/>
      <c r="T1056" s="29"/>
      <c r="U1056" s="27"/>
      <c r="V1056" s="29"/>
      <c r="W1056" s="29"/>
      <c r="X1056" s="29"/>
      <c r="Y1056" s="31"/>
      <c r="Z1056" s="29"/>
      <c r="AA1056" s="30"/>
      <c r="AB1056" s="32"/>
      <c r="AC1056" s="30"/>
      <c r="AD1056" s="33"/>
      <c r="AE1056" s="29"/>
      <c r="AF1056" s="29"/>
      <c r="AG1056" s="29"/>
    </row>
    <row r="1057" spans="1:33" ht="15" customHeight="1" x14ac:dyDescent="0.25">
      <c r="A1057" s="5">
        <v>44</v>
      </c>
      <c r="B1057" s="38">
        <v>44134</v>
      </c>
      <c r="C1057" s="38">
        <v>44125</v>
      </c>
      <c r="D1057" s="38">
        <v>44099</v>
      </c>
      <c r="E1057" s="35">
        <v>44134</v>
      </c>
      <c r="F1057" s="5">
        <v>5665</v>
      </c>
      <c r="G1057" s="5" t="s">
        <v>91</v>
      </c>
      <c r="H1057" s="5" t="s">
        <v>40</v>
      </c>
      <c r="I1057" s="5" t="s">
        <v>92</v>
      </c>
      <c r="J1057" s="21" t="s">
        <v>131</v>
      </c>
      <c r="K1057" s="21" t="s">
        <v>2346</v>
      </c>
      <c r="L1057" s="6" t="s">
        <v>2067</v>
      </c>
      <c r="M1057" s="5">
        <v>6</v>
      </c>
      <c r="N1057" s="5" t="s">
        <v>91</v>
      </c>
      <c r="O1057" s="5" t="s">
        <v>91</v>
      </c>
      <c r="P1057" s="5" t="s">
        <v>91</v>
      </c>
      <c r="Q1057" s="6"/>
      <c r="R1057" s="6"/>
      <c r="S1057" s="6"/>
      <c r="T1057" s="6"/>
      <c r="U1057" s="5"/>
      <c r="V1057" s="6"/>
      <c r="W1057" s="6" t="s">
        <v>2068</v>
      </c>
      <c r="X1057" s="6"/>
      <c r="Y1057" s="22"/>
      <c r="Z1057" s="6"/>
      <c r="AA1057" s="21"/>
      <c r="AB1057" s="23">
        <v>44085</v>
      </c>
      <c r="AC1057" s="21" t="s">
        <v>30</v>
      </c>
      <c r="AD1057" s="24" t="s">
        <v>2342</v>
      </c>
      <c r="AE1057" s="6" t="s">
        <v>31</v>
      </c>
      <c r="AF1057" s="6"/>
      <c r="AG1057" s="6" t="s">
        <v>3041</v>
      </c>
    </row>
    <row r="1058" spans="1:33" ht="7.5" customHeight="1" x14ac:dyDescent="0.25">
      <c r="A1058" s="27"/>
      <c r="B1058" s="39"/>
      <c r="C1058" s="39"/>
      <c r="D1058" s="39"/>
      <c r="E1058" s="28"/>
      <c r="F1058" s="27"/>
      <c r="G1058" s="27"/>
      <c r="H1058" s="27"/>
      <c r="I1058" s="27"/>
      <c r="J1058" s="30"/>
      <c r="K1058" s="30"/>
      <c r="L1058" s="29"/>
      <c r="M1058" s="27"/>
      <c r="N1058" s="27"/>
      <c r="O1058" s="27"/>
      <c r="P1058" s="27"/>
      <c r="Q1058" s="29"/>
      <c r="R1058" s="29"/>
      <c r="S1058" s="29"/>
      <c r="T1058" s="29"/>
      <c r="U1058" s="27"/>
      <c r="V1058" s="29"/>
      <c r="W1058" s="29"/>
      <c r="X1058" s="29"/>
      <c r="Y1058" s="31"/>
      <c r="Z1058" s="29"/>
      <c r="AA1058" s="30"/>
      <c r="AB1058" s="32"/>
      <c r="AC1058" s="30"/>
      <c r="AD1058" s="33"/>
      <c r="AE1058" s="29"/>
      <c r="AF1058" s="29"/>
      <c r="AG1058" s="29"/>
    </row>
    <row r="1059" spans="1:33" ht="15" customHeight="1" x14ac:dyDescent="0.25">
      <c r="A1059" s="5">
        <v>45</v>
      </c>
      <c r="B1059" s="38">
        <v>44139</v>
      </c>
      <c r="C1059" s="38">
        <v>44125</v>
      </c>
      <c r="D1059" s="38">
        <v>44118</v>
      </c>
      <c r="E1059" s="36">
        <v>44139</v>
      </c>
      <c r="F1059" s="5">
        <v>5725</v>
      </c>
      <c r="G1059" s="5" t="s">
        <v>91</v>
      </c>
      <c r="H1059" s="5" t="s">
        <v>41</v>
      </c>
      <c r="I1059" s="5" t="s">
        <v>92</v>
      </c>
      <c r="J1059" s="21" t="s">
        <v>131</v>
      </c>
      <c r="K1059" s="21" t="s">
        <v>2439</v>
      </c>
      <c r="L1059" s="6" t="s">
        <v>2440</v>
      </c>
      <c r="M1059" s="5">
        <v>0</v>
      </c>
      <c r="N1059" s="5" t="s">
        <v>91</v>
      </c>
      <c r="O1059" s="5" t="s">
        <v>91</v>
      </c>
      <c r="P1059" s="5" t="s">
        <v>91</v>
      </c>
      <c r="Q1059" s="6"/>
      <c r="R1059" s="6" t="s">
        <v>2106</v>
      </c>
      <c r="S1059" s="6"/>
      <c r="T1059" s="6"/>
      <c r="U1059" s="5"/>
      <c r="V1059" s="6"/>
      <c r="W1059" s="6" t="s">
        <v>794</v>
      </c>
      <c r="X1059" s="6"/>
      <c r="Y1059" s="22"/>
      <c r="Z1059" s="6"/>
      <c r="AA1059" s="21"/>
      <c r="AB1059" s="23">
        <v>44117</v>
      </c>
      <c r="AC1059" s="21" t="s">
        <v>32</v>
      </c>
      <c r="AD1059" s="24" t="s">
        <v>2441</v>
      </c>
      <c r="AE1059" s="6" t="s">
        <v>31</v>
      </c>
      <c r="AF1059" s="6"/>
      <c r="AG1059" s="6" t="s">
        <v>3041</v>
      </c>
    </row>
    <row r="1060" spans="1:33" ht="15" customHeight="1" x14ac:dyDescent="0.25">
      <c r="A1060" s="5">
        <v>45</v>
      </c>
      <c r="B1060" s="38">
        <v>44139</v>
      </c>
      <c r="C1060" s="38">
        <v>44125</v>
      </c>
      <c r="D1060" s="38">
        <v>44118</v>
      </c>
      <c r="E1060" s="36">
        <v>44139</v>
      </c>
      <c r="F1060" s="5">
        <v>5732</v>
      </c>
      <c r="G1060" s="5" t="s">
        <v>91</v>
      </c>
      <c r="H1060" s="5" t="s">
        <v>41</v>
      </c>
      <c r="I1060" s="5" t="s">
        <v>92</v>
      </c>
      <c r="J1060" s="21" t="s">
        <v>131</v>
      </c>
      <c r="K1060" s="21" t="s">
        <v>2442</v>
      </c>
      <c r="L1060" s="6" t="s">
        <v>924</v>
      </c>
      <c r="M1060" s="5">
        <v>0</v>
      </c>
      <c r="N1060" s="5" t="s">
        <v>91</v>
      </c>
      <c r="O1060" s="5" t="s">
        <v>91</v>
      </c>
      <c r="P1060" s="5" t="s">
        <v>91</v>
      </c>
      <c r="Q1060" s="6" t="s">
        <v>105</v>
      </c>
      <c r="R1060" s="6" t="s">
        <v>2368</v>
      </c>
      <c r="S1060" s="6"/>
      <c r="T1060" s="6"/>
      <c r="U1060" s="5"/>
      <c r="V1060" s="6" t="s">
        <v>113</v>
      </c>
      <c r="W1060" s="6" t="s">
        <v>183</v>
      </c>
      <c r="X1060" s="6"/>
      <c r="Y1060" s="22"/>
      <c r="Z1060" s="6"/>
      <c r="AA1060" s="21"/>
      <c r="AB1060" s="23">
        <v>44124</v>
      </c>
      <c r="AC1060" s="21" t="s">
        <v>32</v>
      </c>
      <c r="AD1060" s="24" t="s">
        <v>2282</v>
      </c>
      <c r="AE1060" s="6" t="s">
        <v>36</v>
      </c>
      <c r="AF1060" s="6"/>
      <c r="AG1060" s="6" t="s">
        <v>3042</v>
      </c>
    </row>
    <row r="1061" spans="1:33" ht="15" customHeight="1" x14ac:dyDescent="0.25">
      <c r="A1061" s="5">
        <v>45</v>
      </c>
      <c r="B1061" s="38">
        <v>44139</v>
      </c>
      <c r="C1061" s="38">
        <v>44125</v>
      </c>
      <c r="D1061" s="38">
        <v>44118</v>
      </c>
      <c r="E1061" s="36">
        <v>44139</v>
      </c>
      <c r="F1061" s="5">
        <v>5740</v>
      </c>
      <c r="G1061" s="5" t="s">
        <v>91</v>
      </c>
      <c r="H1061" s="5" t="s">
        <v>43</v>
      </c>
      <c r="I1061" s="5" t="s">
        <v>92</v>
      </c>
      <c r="J1061" s="21" t="s">
        <v>131</v>
      </c>
      <c r="K1061" s="21" t="s">
        <v>2443</v>
      </c>
      <c r="L1061" s="6" t="s">
        <v>2444</v>
      </c>
      <c r="M1061" s="5">
        <v>0</v>
      </c>
      <c r="N1061" s="5" t="s">
        <v>91</v>
      </c>
      <c r="O1061" s="5" t="s">
        <v>91</v>
      </c>
      <c r="P1061" s="5" t="s">
        <v>91</v>
      </c>
      <c r="Q1061" s="6"/>
      <c r="R1061" s="6" t="s">
        <v>2368</v>
      </c>
      <c r="S1061" s="6"/>
      <c r="T1061" s="6"/>
      <c r="U1061" s="5"/>
      <c r="V1061" s="6" t="s">
        <v>113</v>
      </c>
      <c r="W1061" s="6" t="s">
        <v>183</v>
      </c>
      <c r="X1061" s="6"/>
      <c r="Y1061" s="22"/>
      <c r="Z1061" s="6"/>
      <c r="AA1061" s="21"/>
      <c r="AB1061" s="23">
        <v>44131</v>
      </c>
      <c r="AC1061" s="21" t="s">
        <v>32</v>
      </c>
      <c r="AD1061" s="24" t="s">
        <v>2445</v>
      </c>
      <c r="AE1061" s="6" t="s">
        <v>38</v>
      </c>
      <c r="AF1061" s="6"/>
      <c r="AG1061" s="6" t="s">
        <v>3039</v>
      </c>
    </row>
    <row r="1062" spans="1:33" ht="7.5" customHeight="1" x14ac:dyDescent="0.25">
      <c r="A1062" s="27"/>
      <c r="B1062" s="39"/>
      <c r="C1062" s="39"/>
      <c r="D1062" s="39"/>
      <c r="E1062" s="28"/>
      <c r="F1062" s="27"/>
      <c r="G1062" s="27"/>
      <c r="H1062" s="27"/>
      <c r="I1062" s="27"/>
      <c r="J1062" s="30"/>
      <c r="K1062" s="30"/>
      <c r="L1062" s="29"/>
      <c r="M1062" s="27"/>
      <c r="N1062" s="27"/>
      <c r="O1062" s="27"/>
      <c r="P1062" s="27"/>
      <c r="Q1062" s="29"/>
      <c r="R1062" s="29"/>
      <c r="S1062" s="29"/>
      <c r="T1062" s="29"/>
      <c r="U1062" s="27"/>
      <c r="V1062" s="29"/>
      <c r="W1062" s="29"/>
      <c r="X1062" s="29"/>
      <c r="Y1062" s="31"/>
      <c r="Z1062" s="29"/>
      <c r="AA1062" s="30"/>
      <c r="AB1062" s="32"/>
      <c r="AC1062" s="30"/>
      <c r="AD1062" s="33"/>
      <c r="AE1062" s="29"/>
      <c r="AF1062" s="29"/>
      <c r="AG1062" s="29"/>
    </row>
    <row r="1063" spans="1:33" ht="15" customHeight="1" x14ac:dyDescent="0.25">
      <c r="A1063" s="5">
        <v>46</v>
      </c>
      <c r="B1063" s="38">
        <v>44146</v>
      </c>
      <c r="C1063" s="38">
        <v>44125</v>
      </c>
      <c r="D1063" s="38">
        <v>44118</v>
      </c>
      <c r="E1063" s="28">
        <v>44146</v>
      </c>
      <c r="F1063" s="5">
        <v>5712</v>
      </c>
      <c r="G1063" s="5" t="s">
        <v>91</v>
      </c>
      <c r="H1063" s="5" t="s">
        <v>43</v>
      </c>
      <c r="I1063" s="5" t="s">
        <v>92</v>
      </c>
      <c r="J1063" s="21" t="s">
        <v>131</v>
      </c>
      <c r="K1063" s="21" t="s">
        <v>2596</v>
      </c>
      <c r="L1063" s="6" t="s">
        <v>989</v>
      </c>
      <c r="M1063" s="5">
        <v>13</v>
      </c>
      <c r="N1063" s="5" t="s">
        <v>91</v>
      </c>
      <c r="O1063" s="5" t="s">
        <v>91</v>
      </c>
      <c r="P1063" s="5" t="s">
        <v>1215</v>
      </c>
      <c r="Q1063" s="6" t="s">
        <v>2582</v>
      </c>
      <c r="R1063" s="6" t="s">
        <v>2106</v>
      </c>
      <c r="S1063" s="6"/>
      <c r="T1063" s="6"/>
      <c r="U1063" s="5"/>
      <c r="V1063" s="6" t="s">
        <v>2597</v>
      </c>
      <c r="W1063" s="6" t="s">
        <v>794</v>
      </c>
      <c r="X1063" s="6"/>
      <c r="Y1063" s="22"/>
      <c r="Z1063" s="6">
        <v>4.5</v>
      </c>
      <c r="AA1063" s="21">
        <v>15532</v>
      </c>
      <c r="AB1063" s="23">
        <v>44119</v>
      </c>
      <c r="AC1063" s="21" t="s">
        <v>32</v>
      </c>
      <c r="AD1063" s="24" t="s">
        <v>2598</v>
      </c>
      <c r="AE1063" s="6" t="s">
        <v>31</v>
      </c>
      <c r="AF1063" s="6"/>
      <c r="AG1063" s="6" t="s">
        <v>3042</v>
      </c>
    </row>
    <row r="1064" spans="1:33" ht="15" customHeight="1" x14ac:dyDescent="0.25">
      <c r="A1064" s="5">
        <v>46</v>
      </c>
      <c r="B1064" s="38">
        <v>44146</v>
      </c>
      <c r="C1064" s="38">
        <v>44125</v>
      </c>
      <c r="D1064" s="38">
        <v>44118</v>
      </c>
      <c r="E1064" s="28">
        <v>44146</v>
      </c>
      <c r="F1064" s="5">
        <v>5726</v>
      </c>
      <c r="G1064" s="5" t="s">
        <v>91</v>
      </c>
      <c r="H1064" s="5" t="s">
        <v>40</v>
      </c>
      <c r="I1064" s="5" t="s">
        <v>92</v>
      </c>
      <c r="J1064" s="21" t="s">
        <v>131</v>
      </c>
      <c r="K1064" s="21" t="s">
        <v>2599</v>
      </c>
      <c r="L1064" s="6" t="s">
        <v>2600</v>
      </c>
      <c r="M1064" s="5">
        <v>4</v>
      </c>
      <c r="N1064" s="5" t="s">
        <v>91</v>
      </c>
      <c r="O1064" s="5" t="s">
        <v>91</v>
      </c>
      <c r="P1064" s="5" t="s">
        <v>91</v>
      </c>
      <c r="Q1064" s="6" t="s">
        <v>2557</v>
      </c>
      <c r="R1064" s="6" t="s">
        <v>2368</v>
      </c>
      <c r="S1064" s="6"/>
      <c r="T1064" s="6"/>
      <c r="U1064" s="5"/>
      <c r="V1064" s="6"/>
      <c r="W1064" s="6" t="s">
        <v>183</v>
      </c>
      <c r="X1064" s="6"/>
      <c r="Y1064" s="22"/>
      <c r="Z1064" s="6">
        <v>2</v>
      </c>
      <c r="AA1064" s="21"/>
      <c r="AB1064" s="23">
        <v>44123</v>
      </c>
      <c r="AC1064" s="21" t="s">
        <v>32</v>
      </c>
      <c r="AD1064" s="24" t="s">
        <v>2601</v>
      </c>
      <c r="AE1064" s="6" t="s">
        <v>36</v>
      </c>
      <c r="AF1064" s="6"/>
      <c r="AG1064" s="6" t="s">
        <v>3039</v>
      </c>
    </row>
    <row r="1065" spans="1:33" ht="7.5" customHeight="1" x14ac:dyDescent="0.25">
      <c r="A1065" s="27"/>
      <c r="B1065" s="39"/>
      <c r="C1065" s="39"/>
      <c r="D1065" s="39"/>
      <c r="E1065" s="28"/>
      <c r="F1065" s="27"/>
      <c r="G1065" s="27"/>
      <c r="H1065" s="27"/>
      <c r="I1065" s="27"/>
      <c r="J1065" s="30"/>
      <c r="K1065" s="30"/>
      <c r="L1065" s="29"/>
      <c r="M1065" s="27"/>
      <c r="N1065" s="27"/>
      <c r="O1065" s="27"/>
      <c r="P1065" s="27"/>
      <c r="Q1065" s="29"/>
      <c r="R1065" s="29"/>
      <c r="S1065" s="29"/>
      <c r="T1065" s="29"/>
      <c r="U1065" s="27"/>
      <c r="V1065" s="29"/>
      <c r="W1065" s="29"/>
      <c r="X1065" s="29"/>
      <c r="Y1065" s="31"/>
      <c r="Z1065" s="29"/>
      <c r="AA1065" s="30"/>
      <c r="AB1065" s="32"/>
      <c r="AC1065" s="30"/>
      <c r="AD1065" s="33"/>
      <c r="AE1065" s="29"/>
      <c r="AF1065" s="29"/>
      <c r="AG1065" s="29"/>
    </row>
    <row r="1066" spans="1:33" ht="15" customHeight="1" x14ac:dyDescent="0.25">
      <c r="A1066" s="5">
        <v>44</v>
      </c>
      <c r="B1066" s="38">
        <v>44134</v>
      </c>
      <c r="C1066" s="38">
        <v>44125</v>
      </c>
      <c r="D1066" s="38">
        <v>44083</v>
      </c>
      <c r="E1066" s="35">
        <v>44134</v>
      </c>
      <c r="F1066" s="5">
        <v>6729</v>
      </c>
      <c r="G1066" s="5" t="s">
        <v>91</v>
      </c>
      <c r="H1066" s="5" t="s">
        <v>40</v>
      </c>
      <c r="I1066" s="5" t="s">
        <v>92</v>
      </c>
      <c r="J1066" s="21" t="s">
        <v>191</v>
      </c>
      <c r="K1066" s="21" t="s">
        <v>2349</v>
      </c>
      <c r="L1066" s="6" t="s">
        <v>95</v>
      </c>
      <c r="M1066" s="5">
        <v>8</v>
      </c>
      <c r="N1066" s="5" t="s">
        <v>91</v>
      </c>
      <c r="O1066" s="5" t="s">
        <v>91</v>
      </c>
      <c r="P1066" s="5" t="s">
        <v>91</v>
      </c>
      <c r="Q1066" s="6" t="s">
        <v>96</v>
      </c>
      <c r="R1066" s="6" t="s">
        <v>194</v>
      </c>
      <c r="S1066" s="6"/>
      <c r="T1066" s="6"/>
      <c r="U1066" s="5"/>
      <c r="V1066" s="6"/>
      <c r="W1066" s="6" t="s">
        <v>2350</v>
      </c>
      <c r="X1066" s="6"/>
      <c r="Y1066" s="22"/>
      <c r="Z1066" s="6">
        <v>2</v>
      </c>
      <c r="AA1066" s="21"/>
      <c r="AB1066" s="23">
        <v>44089</v>
      </c>
      <c r="AC1066" s="21" t="s">
        <v>32</v>
      </c>
      <c r="AD1066" s="24" t="s">
        <v>2351</v>
      </c>
      <c r="AE1066" s="6" t="s">
        <v>34</v>
      </c>
      <c r="AF1066" s="6"/>
      <c r="AG1066" s="6" t="s">
        <v>3040</v>
      </c>
    </row>
    <row r="1067" spans="1:33" ht="15" customHeight="1" x14ac:dyDescent="0.25">
      <c r="A1067" s="5">
        <v>44</v>
      </c>
      <c r="B1067" s="38">
        <v>44134</v>
      </c>
      <c r="C1067" s="38">
        <v>44125</v>
      </c>
      <c r="D1067" s="38">
        <v>44104</v>
      </c>
      <c r="E1067" s="35">
        <v>44134</v>
      </c>
      <c r="F1067" s="5">
        <v>8775</v>
      </c>
      <c r="G1067" s="5" t="s">
        <v>91</v>
      </c>
      <c r="H1067" s="5" t="s">
        <v>41</v>
      </c>
      <c r="I1067" s="5" t="s">
        <v>92</v>
      </c>
      <c r="J1067" s="21" t="s">
        <v>147</v>
      </c>
      <c r="K1067" s="21" t="s">
        <v>2355</v>
      </c>
      <c r="L1067" s="6" t="s">
        <v>1794</v>
      </c>
      <c r="M1067" s="5">
        <v>6</v>
      </c>
      <c r="N1067" s="5" t="s">
        <v>91</v>
      </c>
      <c r="O1067" s="5" t="s">
        <v>91</v>
      </c>
      <c r="P1067" s="5" t="s">
        <v>91</v>
      </c>
      <c r="Q1067" s="6" t="s">
        <v>105</v>
      </c>
      <c r="R1067" s="6" t="s">
        <v>223</v>
      </c>
      <c r="S1067" s="6" t="s">
        <v>2139</v>
      </c>
      <c r="T1067" s="6" t="s">
        <v>2356</v>
      </c>
      <c r="U1067" s="5"/>
      <c r="V1067" s="6"/>
      <c r="W1067" s="6" t="s">
        <v>2357</v>
      </c>
      <c r="X1067" s="6" t="s">
        <v>2358</v>
      </c>
      <c r="Y1067" s="22"/>
      <c r="Z1067" s="6"/>
      <c r="AA1067" s="21"/>
      <c r="AB1067" s="23">
        <v>44095</v>
      </c>
      <c r="AC1067" s="21" t="s">
        <v>33</v>
      </c>
      <c r="AD1067" s="24" t="s">
        <v>2359</v>
      </c>
      <c r="AE1067" s="6" t="s">
        <v>35</v>
      </c>
      <c r="AF1067" s="6"/>
      <c r="AG1067" s="6" t="s">
        <v>3042</v>
      </c>
    </row>
    <row r="1068" spans="1:33" ht="7.5" customHeight="1" x14ac:dyDescent="0.25">
      <c r="A1068" s="27"/>
      <c r="B1068" s="39"/>
      <c r="C1068" s="39"/>
      <c r="D1068" s="39"/>
      <c r="E1068" s="28"/>
      <c r="F1068" s="27"/>
      <c r="G1068" s="27"/>
      <c r="H1068" s="27"/>
      <c r="I1068" s="27"/>
      <c r="J1068" s="30"/>
      <c r="K1068" s="30"/>
      <c r="L1068" s="29"/>
      <c r="M1068" s="27"/>
      <c r="N1068" s="27"/>
      <c r="O1068" s="27"/>
      <c r="P1068" s="27"/>
      <c r="Q1068" s="29"/>
      <c r="R1068" s="29"/>
      <c r="S1068" s="29"/>
      <c r="T1068" s="29"/>
      <c r="U1068" s="27"/>
      <c r="V1068" s="29"/>
      <c r="W1068" s="29"/>
      <c r="X1068" s="29"/>
      <c r="Y1068" s="31"/>
      <c r="Z1068" s="29"/>
      <c r="AA1068" s="30"/>
      <c r="AB1068" s="32"/>
      <c r="AC1068" s="30"/>
      <c r="AD1068" s="33"/>
      <c r="AE1068" s="29"/>
      <c r="AF1068" s="29"/>
      <c r="AG1068" s="29"/>
    </row>
    <row r="1069" spans="1:33" ht="15" customHeight="1" x14ac:dyDescent="0.25">
      <c r="A1069" s="5">
        <v>45</v>
      </c>
      <c r="B1069" s="38">
        <v>44141</v>
      </c>
      <c r="C1069" s="38">
        <v>44125</v>
      </c>
      <c r="D1069" s="38">
        <v>44110</v>
      </c>
      <c r="E1069" s="36">
        <v>44141</v>
      </c>
      <c r="F1069" s="5">
        <v>8778</v>
      </c>
      <c r="G1069" s="5" t="s">
        <v>91</v>
      </c>
      <c r="H1069" s="5" t="s">
        <v>40</v>
      </c>
      <c r="I1069" s="5" t="s">
        <v>92</v>
      </c>
      <c r="J1069" s="21" t="s">
        <v>147</v>
      </c>
      <c r="K1069" s="21" t="s">
        <v>2486</v>
      </c>
      <c r="L1069" s="6" t="s">
        <v>2484</v>
      </c>
      <c r="M1069" s="5">
        <v>20</v>
      </c>
      <c r="N1069" s="5" t="s">
        <v>91</v>
      </c>
      <c r="O1069" s="5" t="s">
        <v>91</v>
      </c>
      <c r="P1069" s="5" t="s">
        <v>91</v>
      </c>
      <c r="Q1069" s="6" t="s">
        <v>105</v>
      </c>
      <c r="R1069" s="6" t="s">
        <v>2487</v>
      </c>
      <c r="S1069" s="6" t="s">
        <v>2488</v>
      </c>
      <c r="T1069" s="6"/>
      <c r="U1069" s="5"/>
      <c r="V1069" s="6"/>
      <c r="W1069" s="6" t="s">
        <v>2489</v>
      </c>
      <c r="X1069" s="6" t="s">
        <v>2490</v>
      </c>
      <c r="Y1069" s="22"/>
      <c r="Z1069" s="6"/>
      <c r="AA1069" s="21"/>
      <c r="AB1069" s="23">
        <v>44106</v>
      </c>
      <c r="AC1069" s="21" t="s">
        <v>30</v>
      </c>
      <c r="AD1069" s="24">
        <v>1512.09</v>
      </c>
      <c r="AE1069" s="6" t="s">
        <v>35</v>
      </c>
      <c r="AF1069" s="6"/>
      <c r="AG1069" s="6" t="s">
        <v>3040</v>
      </c>
    </row>
    <row r="1070" spans="1:33" ht="15" customHeight="1" x14ac:dyDescent="0.25">
      <c r="A1070" s="5">
        <v>45</v>
      </c>
      <c r="B1070" s="38">
        <v>44141</v>
      </c>
      <c r="C1070" s="38">
        <v>44125</v>
      </c>
      <c r="D1070" s="38">
        <v>44110</v>
      </c>
      <c r="E1070" s="36">
        <v>44141</v>
      </c>
      <c r="F1070" s="5">
        <v>9713</v>
      </c>
      <c r="G1070" s="5" t="s">
        <v>91</v>
      </c>
      <c r="H1070" s="5" t="s">
        <v>40</v>
      </c>
      <c r="I1070" s="5" t="s">
        <v>92</v>
      </c>
      <c r="J1070" s="21" t="s">
        <v>159</v>
      </c>
      <c r="K1070" s="21">
        <v>258218</v>
      </c>
      <c r="L1070" s="6" t="s">
        <v>152</v>
      </c>
      <c r="M1070" s="5">
        <v>6</v>
      </c>
      <c r="N1070" s="5" t="s">
        <v>91</v>
      </c>
      <c r="O1070" s="5" t="s">
        <v>91</v>
      </c>
      <c r="P1070" s="5" t="s">
        <v>91</v>
      </c>
      <c r="Q1070" s="6"/>
      <c r="R1070" s="6" t="s">
        <v>163</v>
      </c>
      <c r="S1070" s="6"/>
      <c r="T1070" s="6"/>
      <c r="U1070" s="5"/>
      <c r="V1070" s="6" t="s">
        <v>167</v>
      </c>
      <c r="W1070" s="6" t="s">
        <v>2254</v>
      </c>
      <c r="X1070" s="6"/>
      <c r="Y1070" s="22"/>
      <c r="Z1070" s="6"/>
      <c r="AA1070" s="21"/>
      <c r="AB1070" s="23">
        <v>44098</v>
      </c>
      <c r="AC1070" s="21" t="s">
        <v>30</v>
      </c>
      <c r="AD1070" s="24" t="s">
        <v>2491</v>
      </c>
      <c r="AE1070" s="6" t="s">
        <v>34</v>
      </c>
      <c r="AF1070" s="6"/>
      <c r="AG1070" s="6" t="s">
        <v>3041</v>
      </c>
    </row>
    <row r="1071" spans="1:33" ht="15" customHeight="1" x14ac:dyDescent="0.25">
      <c r="A1071" s="5">
        <v>45</v>
      </c>
      <c r="B1071" s="38">
        <v>44141</v>
      </c>
      <c r="C1071" s="38">
        <v>44125</v>
      </c>
      <c r="D1071" s="38">
        <v>44110</v>
      </c>
      <c r="E1071" s="36">
        <v>44141</v>
      </c>
      <c r="F1071" s="5">
        <v>9714</v>
      </c>
      <c r="G1071" s="5" t="s">
        <v>91</v>
      </c>
      <c r="H1071" s="5" t="s">
        <v>40</v>
      </c>
      <c r="I1071" s="5" t="s">
        <v>92</v>
      </c>
      <c r="J1071" s="21" t="s">
        <v>159</v>
      </c>
      <c r="K1071" s="21">
        <v>258243</v>
      </c>
      <c r="L1071" s="6" t="s">
        <v>152</v>
      </c>
      <c r="M1071" s="5">
        <v>5</v>
      </c>
      <c r="N1071" s="5" t="s">
        <v>91</v>
      </c>
      <c r="O1071" s="5" t="s">
        <v>91</v>
      </c>
      <c r="P1071" s="5" t="s">
        <v>91</v>
      </c>
      <c r="Q1071" s="6" t="s">
        <v>105</v>
      </c>
      <c r="R1071" s="6" t="s">
        <v>163</v>
      </c>
      <c r="S1071" s="6"/>
      <c r="T1071" s="6"/>
      <c r="U1071" s="5"/>
      <c r="V1071" s="6" t="s">
        <v>167</v>
      </c>
      <c r="W1071" s="6" t="s">
        <v>1672</v>
      </c>
      <c r="X1071" s="6"/>
      <c r="Y1071" s="22"/>
      <c r="Z1071" s="6"/>
      <c r="AA1071" s="21">
        <v>258218</v>
      </c>
      <c r="AB1071" s="23">
        <v>44116</v>
      </c>
      <c r="AC1071" s="21" t="s">
        <v>32</v>
      </c>
      <c r="AD1071" s="24">
        <v>743.59</v>
      </c>
      <c r="AE1071" s="6" t="s">
        <v>31</v>
      </c>
      <c r="AF1071" s="6"/>
      <c r="AG1071" s="6" t="s">
        <v>3042</v>
      </c>
    </row>
    <row r="1072" spans="1:33" ht="7.5" customHeight="1" x14ac:dyDescent="0.25">
      <c r="A1072" s="27"/>
      <c r="B1072" s="39"/>
      <c r="C1072" s="39"/>
      <c r="D1072" s="39"/>
      <c r="E1072" s="28"/>
      <c r="F1072" s="27"/>
      <c r="G1072" s="27"/>
      <c r="H1072" s="27"/>
      <c r="I1072" s="27"/>
      <c r="J1072" s="30"/>
      <c r="K1072" s="30"/>
      <c r="L1072" s="29"/>
      <c r="M1072" s="27"/>
      <c r="N1072" s="27"/>
      <c r="O1072" s="27"/>
      <c r="P1072" s="27"/>
      <c r="Q1072" s="29"/>
      <c r="R1072" s="29"/>
      <c r="S1072" s="29"/>
      <c r="T1072" s="29"/>
      <c r="U1072" s="27"/>
      <c r="V1072" s="29"/>
      <c r="W1072" s="29"/>
      <c r="X1072" s="29"/>
      <c r="Y1072" s="31"/>
      <c r="Z1072" s="29"/>
      <c r="AA1072" s="30"/>
      <c r="AB1072" s="32"/>
      <c r="AC1072" s="30"/>
      <c r="AD1072" s="33"/>
      <c r="AE1072" s="29"/>
      <c r="AF1072" s="29"/>
      <c r="AG1072" s="29"/>
    </row>
    <row r="1073" spans="1:33" ht="15" customHeight="1" x14ac:dyDescent="0.25">
      <c r="A1073" s="5">
        <v>45</v>
      </c>
      <c r="B1073" s="38">
        <v>44140</v>
      </c>
      <c r="C1073" s="38">
        <v>44126</v>
      </c>
      <c r="D1073" s="38">
        <v>44119</v>
      </c>
      <c r="E1073" s="36">
        <v>44140</v>
      </c>
      <c r="F1073" s="5">
        <v>3125</v>
      </c>
      <c r="G1073" s="5" t="s">
        <v>91</v>
      </c>
      <c r="H1073" s="5" t="s">
        <v>43</v>
      </c>
      <c r="I1073" s="5" t="s">
        <v>92</v>
      </c>
      <c r="J1073" s="21" t="s">
        <v>93</v>
      </c>
      <c r="K1073" s="21" t="s">
        <v>2451</v>
      </c>
      <c r="L1073" s="6" t="s">
        <v>2452</v>
      </c>
      <c r="M1073" s="5">
        <v>0</v>
      </c>
      <c r="N1073" s="5" t="s">
        <v>91</v>
      </c>
      <c r="O1073" s="5" t="s">
        <v>91</v>
      </c>
      <c r="P1073" s="5" t="s">
        <v>91</v>
      </c>
      <c r="Q1073" s="6" t="s">
        <v>96</v>
      </c>
      <c r="R1073" s="6" t="s">
        <v>106</v>
      </c>
      <c r="S1073" s="6"/>
      <c r="T1073" s="6"/>
      <c r="U1073" s="5"/>
      <c r="V1073" s="6"/>
      <c r="W1073" s="6" t="s">
        <v>106</v>
      </c>
      <c r="X1073" s="6"/>
      <c r="Y1073" s="22"/>
      <c r="Z1073" s="6"/>
      <c r="AA1073" s="21" t="s">
        <v>2453</v>
      </c>
      <c r="AB1073" s="23">
        <v>44084</v>
      </c>
      <c r="AC1073" s="21" t="s">
        <v>33</v>
      </c>
      <c r="AD1073" s="24">
        <v>6837.45</v>
      </c>
      <c r="AE1073" s="6" t="s">
        <v>37</v>
      </c>
      <c r="AF1073" s="6"/>
      <c r="AG1073" s="6" t="s">
        <v>3041</v>
      </c>
    </row>
    <row r="1074" spans="1:33" ht="15" customHeight="1" x14ac:dyDescent="0.25">
      <c r="A1074" s="5">
        <v>45</v>
      </c>
      <c r="B1074" s="38">
        <v>44140</v>
      </c>
      <c r="C1074" s="38">
        <v>44126</v>
      </c>
      <c r="D1074" s="38">
        <v>44119</v>
      </c>
      <c r="E1074" s="36">
        <v>44140</v>
      </c>
      <c r="F1074" s="5">
        <v>3134</v>
      </c>
      <c r="G1074" s="5" t="s">
        <v>91</v>
      </c>
      <c r="H1074" s="5" t="s">
        <v>43</v>
      </c>
      <c r="I1074" s="5" t="s">
        <v>92</v>
      </c>
      <c r="J1074" s="21" t="s">
        <v>93</v>
      </c>
      <c r="K1074" s="21" t="s">
        <v>2454</v>
      </c>
      <c r="L1074" s="6" t="s">
        <v>2455</v>
      </c>
      <c r="M1074" s="5">
        <v>0</v>
      </c>
      <c r="N1074" s="5" t="s">
        <v>91</v>
      </c>
      <c r="O1074" s="5" t="s">
        <v>91</v>
      </c>
      <c r="P1074" s="5" t="s">
        <v>91</v>
      </c>
      <c r="Q1074" s="6"/>
      <c r="R1074" s="6" t="s">
        <v>380</v>
      </c>
      <c r="S1074" s="6"/>
      <c r="T1074" s="6"/>
      <c r="U1074" s="5"/>
      <c r="V1074" s="6" t="s">
        <v>2456</v>
      </c>
      <c r="W1074" s="6" t="s">
        <v>380</v>
      </c>
      <c r="X1074" s="6"/>
      <c r="Y1074" s="22"/>
      <c r="Z1074" s="6">
        <v>0</v>
      </c>
      <c r="AA1074" s="21" t="s">
        <v>2457</v>
      </c>
      <c r="AB1074" s="23">
        <v>44125</v>
      </c>
      <c r="AC1074" s="21" t="s">
        <v>30</v>
      </c>
      <c r="AD1074" s="24" t="s">
        <v>2458</v>
      </c>
      <c r="AE1074" s="6" t="s">
        <v>31</v>
      </c>
      <c r="AF1074" s="6"/>
      <c r="AG1074" s="6" t="s">
        <v>3042</v>
      </c>
    </row>
    <row r="1075" spans="1:33" ht="15" customHeight="1" x14ac:dyDescent="0.25">
      <c r="A1075" s="5">
        <v>45</v>
      </c>
      <c r="B1075" s="38">
        <v>44140</v>
      </c>
      <c r="C1075" s="38">
        <v>44126</v>
      </c>
      <c r="D1075" s="38">
        <v>44119</v>
      </c>
      <c r="E1075" s="36">
        <v>44140</v>
      </c>
      <c r="F1075" s="5">
        <v>3135</v>
      </c>
      <c r="G1075" s="5" t="s">
        <v>91</v>
      </c>
      <c r="H1075" s="5" t="s">
        <v>43</v>
      </c>
      <c r="I1075" s="5" t="s">
        <v>92</v>
      </c>
      <c r="J1075" s="21" t="s">
        <v>93</v>
      </c>
      <c r="K1075" s="21" t="s">
        <v>2459</v>
      </c>
      <c r="L1075" s="6" t="s">
        <v>2460</v>
      </c>
      <c r="M1075" s="5">
        <v>0</v>
      </c>
      <c r="N1075" s="5" t="s">
        <v>91</v>
      </c>
      <c r="O1075" s="5" t="s">
        <v>91</v>
      </c>
      <c r="P1075" s="5" t="s">
        <v>91</v>
      </c>
      <c r="Q1075" s="6"/>
      <c r="R1075" s="6" t="s">
        <v>380</v>
      </c>
      <c r="S1075" s="6"/>
      <c r="T1075" s="6"/>
      <c r="U1075" s="5"/>
      <c r="V1075" s="6" t="s">
        <v>2461</v>
      </c>
      <c r="W1075" s="6" t="s">
        <v>380</v>
      </c>
      <c r="X1075" s="6"/>
      <c r="Y1075" s="22"/>
      <c r="Z1075" s="6"/>
      <c r="AA1075" s="21"/>
      <c r="AB1075" s="23">
        <v>44132</v>
      </c>
      <c r="AC1075" s="21" t="s">
        <v>39</v>
      </c>
      <c r="AD1075" s="24" t="s">
        <v>2462</v>
      </c>
      <c r="AE1075" s="6" t="s">
        <v>31</v>
      </c>
      <c r="AF1075" s="6"/>
      <c r="AG1075" s="6" t="s">
        <v>3039</v>
      </c>
    </row>
    <row r="1076" spans="1:33" ht="7.5" customHeight="1" x14ac:dyDescent="0.25">
      <c r="A1076" s="27"/>
      <c r="B1076" s="39"/>
      <c r="C1076" s="39"/>
      <c r="D1076" s="39"/>
      <c r="E1076" s="28"/>
      <c r="F1076" s="27"/>
      <c r="G1076" s="27"/>
      <c r="H1076" s="27"/>
      <c r="I1076" s="27"/>
      <c r="J1076" s="30"/>
      <c r="K1076" s="30"/>
      <c r="L1076" s="29"/>
      <c r="M1076" s="27"/>
      <c r="N1076" s="27"/>
      <c r="O1076" s="27"/>
      <c r="P1076" s="27"/>
      <c r="Q1076" s="29"/>
      <c r="R1076" s="29"/>
      <c r="S1076" s="29"/>
      <c r="T1076" s="29"/>
      <c r="U1076" s="27"/>
      <c r="V1076" s="29"/>
      <c r="W1076" s="29"/>
      <c r="X1076" s="29"/>
      <c r="Y1076" s="31"/>
      <c r="Z1076" s="29"/>
      <c r="AA1076" s="30"/>
      <c r="AB1076" s="32"/>
      <c r="AC1076" s="30"/>
      <c r="AD1076" s="33"/>
      <c r="AE1076" s="29"/>
      <c r="AF1076" s="29"/>
      <c r="AG1076" s="29"/>
    </row>
    <row r="1077" spans="1:33" ht="15" customHeight="1" x14ac:dyDescent="0.25">
      <c r="A1077" s="5">
        <v>45</v>
      </c>
      <c r="B1077" s="38">
        <v>44137</v>
      </c>
      <c r="C1077" s="38">
        <v>44126</v>
      </c>
      <c r="D1077" s="38">
        <v>44118</v>
      </c>
      <c r="E1077" s="36">
        <v>44137</v>
      </c>
      <c r="F1077" s="5">
        <v>12097</v>
      </c>
      <c r="G1077" s="5" t="s">
        <v>91</v>
      </c>
      <c r="H1077" s="5" t="s">
        <v>41</v>
      </c>
      <c r="I1077" s="5" t="s">
        <v>92</v>
      </c>
      <c r="J1077" s="21" t="s">
        <v>275</v>
      </c>
      <c r="K1077" s="21" t="s">
        <v>2366</v>
      </c>
      <c r="L1077" s="6" t="s">
        <v>2367</v>
      </c>
      <c r="M1077" s="5">
        <v>16</v>
      </c>
      <c r="N1077" s="5" t="s">
        <v>91</v>
      </c>
      <c r="O1077" s="5" t="s">
        <v>91</v>
      </c>
      <c r="P1077" s="5" t="s">
        <v>1215</v>
      </c>
      <c r="Q1077" s="6" t="s">
        <v>105</v>
      </c>
      <c r="R1077" s="6" t="s">
        <v>2368</v>
      </c>
      <c r="S1077" s="6"/>
      <c r="T1077" s="6"/>
      <c r="U1077" s="5"/>
      <c r="V1077" s="6" t="s">
        <v>2369</v>
      </c>
      <c r="W1077" s="6" t="s">
        <v>416</v>
      </c>
      <c r="X1077" s="6"/>
      <c r="Y1077" s="22"/>
      <c r="Z1077" s="6">
        <v>5</v>
      </c>
      <c r="AA1077" s="21">
        <v>10209</v>
      </c>
      <c r="AB1077" s="23">
        <v>44114</v>
      </c>
      <c r="AC1077" s="21" t="s">
        <v>30</v>
      </c>
      <c r="AD1077" s="24" t="s">
        <v>2370</v>
      </c>
      <c r="AE1077" s="6" t="s">
        <v>36</v>
      </c>
      <c r="AF1077" s="6"/>
      <c r="AG1077" s="6" t="s">
        <v>3041</v>
      </c>
    </row>
    <row r="1078" spans="1:33" ht="15" customHeight="1" x14ac:dyDescent="0.25">
      <c r="A1078" s="5">
        <v>45</v>
      </c>
      <c r="B1078" s="38">
        <v>44137</v>
      </c>
      <c r="C1078" s="38">
        <v>44126</v>
      </c>
      <c r="D1078" s="38">
        <v>44113</v>
      </c>
      <c r="E1078" s="36">
        <v>44137</v>
      </c>
      <c r="F1078" s="5">
        <v>12103</v>
      </c>
      <c r="G1078" s="5" t="s">
        <v>91</v>
      </c>
      <c r="H1078" s="5" t="s">
        <v>41</v>
      </c>
      <c r="I1078" s="5" t="s">
        <v>92</v>
      </c>
      <c r="J1078" s="21" t="s">
        <v>275</v>
      </c>
      <c r="K1078" s="21" t="s">
        <v>2371</v>
      </c>
      <c r="L1078" s="6" t="s">
        <v>321</v>
      </c>
      <c r="M1078" s="5">
        <v>0</v>
      </c>
      <c r="N1078" s="5" t="s">
        <v>91</v>
      </c>
      <c r="O1078" s="5" t="s">
        <v>91</v>
      </c>
      <c r="P1078" s="5" t="s">
        <v>91</v>
      </c>
      <c r="Q1078" s="6" t="s">
        <v>105</v>
      </c>
      <c r="R1078" s="6" t="s">
        <v>296</v>
      </c>
      <c r="S1078" s="6"/>
      <c r="T1078" s="6"/>
      <c r="U1078" s="5"/>
      <c r="V1078" s="6"/>
      <c r="W1078" s="6" t="s">
        <v>2372</v>
      </c>
      <c r="X1078" s="6"/>
      <c r="Y1078" s="22"/>
      <c r="Z1078" s="6"/>
      <c r="AA1078" s="21"/>
      <c r="AB1078" s="23">
        <v>44105</v>
      </c>
      <c r="AC1078" s="21" t="s">
        <v>30</v>
      </c>
      <c r="AD1078" s="24" t="s">
        <v>2373</v>
      </c>
      <c r="AE1078" s="6" t="s">
        <v>31</v>
      </c>
      <c r="AF1078" s="6"/>
      <c r="AG1078" s="6" t="s">
        <v>3042</v>
      </c>
    </row>
    <row r="1079" spans="1:33" ht="15" customHeight="1" x14ac:dyDescent="0.25">
      <c r="A1079" s="5">
        <v>45</v>
      </c>
      <c r="B1079" s="38">
        <v>44137</v>
      </c>
      <c r="C1079" s="38">
        <v>44126</v>
      </c>
      <c r="D1079" s="38">
        <v>44088</v>
      </c>
      <c r="E1079" s="36">
        <v>44137</v>
      </c>
      <c r="F1079" s="5">
        <v>12086</v>
      </c>
      <c r="G1079" s="5" t="s">
        <v>91</v>
      </c>
      <c r="H1079" s="5" t="s">
        <v>41</v>
      </c>
      <c r="I1079" s="5" t="s">
        <v>92</v>
      </c>
      <c r="J1079" s="21" t="s">
        <v>275</v>
      </c>
      <c r="K1079" s="21" t="s">
        <v>2374</v>
      </c>
      <c r="L1079" s="6" t="s">
        <v>498</v>
      </c>
      <c r="M1079" s="5">
        <v>0</v>
      </c>
      <c r="N1079" s="5" t="s">
        <v>91</v>
      </c>
      <c r="O1079" s="5" t="s">
        <v>91</v>
      </c>
      <c r="P1079" s="5" t="s">
        <v>91</v>
      </c>
      <c r="Q1079" s="6"/>
      <c r="R1079" s="6" t="s">
        <v>2368</v>
      </c>
      <c r="S1079" s="6"/>
      <c r="T1079" s="6"/>
      <c r="U1079" s="5"/>
      <c r="V1079" s="6"/>
      <c r="W1079" s="6" t="s">
        <v>1766</v>
      </c>
      <c r="X1079" s="6"/>
      <c r="Y1079" s="22"/>
      <c r="Z1079" s="6">
        <v>0</v>
      </c>
      <c r="AA1079" s="21"/>
      <c r="AB1079" s="23">
        <v>44119</v>
      </c>
      <c r="AC1079" s="21" t="s">
        <v>30</v>
      </c>
      <c r="AD1079" s="24" t="s">
        <v>2375</v>
      </c>
      <c r="AE1079" s="6" t="s">
        <v>31</v>
      </c>
      <c r="AF1079" s="6"/>
      <c r="AG1079" s="6" t="s">
        <v>3039</v>
      </c>
    </row>
    <row r="1080" spans="1:33" ht="7.5" customHeight="1" x14ac:dyDescent="0.25">
      <c r="A1080" s="27"/>
      <c r="B1080" s="39"/>
      <c r="C1080" s="39"/>
      <c r="D1080" s="39"/>
      <c r="E1080" s="28"/>
      <c r="F1080" s="27"/>
      <c r="G1080" s="27"/>
      <c r="H1080" s="27"/>
      <c r="I1080" s="27"/>
      <c r="J1080" s="30"/>
      <c r="K1080" s="30"/>
      <c r="L1080" s="29"/>
      <c r="M1080" s="27"/>
      <c r="N1080" s="27"/>
      <c r="O1080" s="27"/>
      <c r="P1080" s="27"/>
      <c r="Q1080" s="29"/>
      <c r="R1080" s="29"/>
      <c r="S1080" s="29"/>
      <c r="T1080" s="29"/>
      <c r="U1080" s="27"/>
      <c r="V1080" s="29"/>
      <c r="W1080" s="29"/>
      <c r="X1080" s="29"/>
      <c r="Y1080" s="31"/>
      <c r="Z1080" s="29"/>
      <c r="AA1080" s="30"/>
      <c r="AB1080" s="32"/>
      <c r="AC1080" s="30"/>
      <c r="AD1080" s="33"/>
      <c r="AE1080" s="29"/>
      <c r="AF1080" s="29"/>
      <c r="AG1080" s="29"/>
    </row>
    <row r="1081" spans="1:33" ht="15" customHeight="1" x14ac:dyDescent="0.25">
      <c r="A1081" s="5">
        <v>46</v>
      </c>
      <c r="B1081" s="38">
        <v>44144</v>
      </c>
      <c r="C1081" s="38">
        <v>44126</v>
      </c>
      <c r="D1081" s="38">
        <v>44111</v>
      </c>
      <c r="E1081" s="28">
        <v>44144</v>
      </c>
      <c r="F1081" s="5">
        <v>12101</v>
      </c>
      <c r="G1081" s="5" t="s">
        <v>91</v>
      </c>
      <c r="H1081" s="5" t="s">
        <v>43</v>
      </c>
      <c r="I1081" s="5" t="s">
        <v>92</v>
      </c>
      <c r="J1081" s="21" t="s">
        <v>275</v>
      </c>
      <c r="K1081" s="21" t="s">
        <v>2499</v>
      </c>
      <c r="L1081" s="6" t="s">
        <v>2500</v>
      </c>
      <c r="M1081" s="5">
        <v>7</v>
      </c>
      <c r="N1081" s="5" t="s">
        <v>91</v>
      </c>
      <c r="O1081" s="5" t="s">
        <v>91</v>
      </c>
      <c r="P1081" s="5" t="s">
        <v>91</v>
      </c>
      <c r="Q1081" s="6" t="s">
        <v>105</v>
      </c>
      <c r="R1081" s="6" t="s">
        <v>2106</v>
      </c>
      <c r="S1081" s="6"/>
      <c r="T1081" s="6"/>
      <c r="U1081" s="5"/>
      <c r="V1081" s="6" t="s">
        <v>2501</v>
      </c>
      <c r="W1081" s="6" t="s">
        <v>2502</v>
      </c>
      <c r="X1081" s="6"/>
      <c r="Y1081" s="22"/>
      <c r="Z1081" s="6"/>
      <c r="AA1081" s="21">
        <v>10055</v>
      </c>
      <c r="AB1081" s="23">
        <v>44109</v>
      </c>
      <c r="AC1081" s="21" t="s">
        <v>32</v>
      </c>
      <c r="AD1081" s="24" t="s">
        <v>2503</v>
      </c>
      <c r="AE1081" s="6" t="s">
        <v>31</v>
      </c>
      <c r="AF1081" s="6"/>
      <c r="AG1081" s="6" t="s">
        <v>3041</v>
      </c>
    </row>
    <row r="1082" spans="1:33" ht="15" customHeight="1" x14ac:dyDescent="0.25">
      <c r="A1082" s="5">
        <v>46</v>
      </c>
      <c r="B1082" s="38">
        <v>44144</v>
      </c>
      <c r="C1082" s="38">
        <v>44126</v>
      </c>
      <c r="D1082" s="38">
        <v>44111</v>
      </c>
      <c r="E1082" s="28">
        <v>44144</v>
      </c>
      <c r="F1082" s="5">
        <v>12102</v>
      </c>
      <c r="G1082" s="5" t="s">
        <v>91</v>
      </c>
      <c r="H1082" s="5" t="s">
        <v>43</v>
      </c>
      <c r="I1082" s="5" t="s">
        <v>92</v>
      </c>
      <c r="J1082" s="21" t="s">
        <v>275</v>
      </c>
      <c r="K1082" s="21" t="s">
        <v>2504</v>
      </c>
      <c r="L1082" s="6" t="s">
        <v>498</v>
      </c>
      <c r="M1082" s="5">
        <v>8</v>
      </c>
      <c r="N1082" s="5" t="s">
        <v>91</v>
      </c>
      <c r="O1082" s="5" t="s">
        <v>91</v>
      </c>
      <c r="P1082" s="5" t="s">
        <v>1215</v>
      </c>
      <c r="Q1082" s="6" t="s">
        <v>105</v>
      </c>
      <c r="R1082" s="6" t="s">
        <v>2106</v>
      </c>
      <c r="S1082" s="6"/>
      <c r="T1082" s="6"/>
      <c r="U1082" s="5"/>
      <c r="V1082" s="6" t="s">
        <v>2505</v>
      </c>
      <c r="W1082" s="6" t="s">
        <v>2506</v>
      </c>
      <c r="X1082" s="6"/>
      <c r="Y1082" s="22"/>
      <c r="Z1082" s="6"/>
      <c r="AA1082" s="21"/>
      <c r="AB1082" s="23">
        <v>44117</v>
      </c>
      <c r="AC1082" s="21" t="s">
        <v>32</v>
      </c>
      <c r="AD1082" s="24" t="s">
        <v>2507</v>
      </c>
      <c r="AE1082" s="6" t="s">
        <v>31</v>
      </c>
      <c r="AF1082" s="6"/>
      <c r="AG1082" s="6" t="s">
        <v>3042</v>
      </c>
    </row>
    <row r="1083" spans="1:33" ht="7.5" customHeight="1" x14ac:dyDescent="0.25">
      <c r="A1083" s="27"/>
      <c r="B1083" s="39"/>
      <c r="C1083" s="39"/>
      <c r="D1083" s="39"/>
      <c r="E1083" s="28"/>
      <c r="F1083" s="27"/>
      <c r="G1083" s="27"/>
      <c r="H1083" s="27"/>
      <c r="I1083" s="27"/>
      <c r="J1083" s="30"/>
      <c r="K1083" s="30"/>
      <c r="L1083" s="29"/>
      <c r="M1083" s="27"/>
      <c r="N1083" s="27"/>
      <c r="O1083" s="27"/>
      <c r="P1083" s="27"/>
      <c r="Q1083" s="29"/>
      <c r="R1083" s="29"/>
      <c r="S1083" s="29"/>
      <c r="T1083" s="29"/>
      <c r="U1083" s="27"/>
      <c r="V1083" s="29"/>
      <c r="W1083" s="29"/>
      <c r="X1083" s="29"/>
      <c r="Y1083" s="31"/>
      <c r="Z1083" s="29"/>
      <c r="AA1083" s="30"/>
      <c r="AB1083" s="32"/>
      <c r="AC1083" s="30"/>
      <c r="AD1083" s="33"/>
      <c r="AE1083" s="29"/>
      <c r="AF1083" s="29"/>
      <c r="AG1083" s="29"/>
    </row>
    <row r="1084" spans="1:33" ht="15" customHeight="1" x14ac:dyDescent="0.25">
      <c r="A1084" s="5">
        <v>45</v>
      </c>
      <c r="B1084" s="38">
        <v>44137</v>
      </c>
      <c r="C1084" s="38">
        <v>44126</v>
      </c>
      <c r="D1084" s="38">
        <v>44110</v>
      </c>
      <c r="E1084" s="36">
        <v>44137</v>
      </c>
      <c r="F1084" s="5">
        <v>4857</v>
      </c>
      <c r="G1084" s="5" t="s">
        <v>91</v>
      </c>
      <c r="H1084" s="5" t="s">
        <v>41</v>
      </c>
      <c r="I1084" s="5" t="s">
        <v>92</v>
      </c>
      <c r="J1084" s="21" t="s">
        <v>109</v>
      </c>
      <c r="K1084" s="21" t="s">
        <v>2303</v>
      </c>
      <c r="L1084" s="6" t="s">
        <v>2304</v>
      </c>
      <c r="M1084" s="5">
        <v>0</v>
      </c>
      <c r="N1084" s="5" t="s">
        <v>91</v>
      </c>
      <c r="O1084" s="5" t="s">
        <v>91</v>
      </c>
      <c r="P1084" s="5" t="s">
        <v>91</v>
      </c>
      <c r="Q1084" s="6"/>
      <c r="R1084" s="6" t="s">
        <v>112</v>
      </c>
      <c r="S1084" s="6"/>
      <c r="T1084" s="6"/>
      <c r="U1084" s="5"/>
      <c r="V1084" s="6" t="s">
        <v>2305</v>
      </c>
      <c r="W1084" s="6" t="s">
        <v>1041</v>
      </c>
      <c r="X1084" s="6"/>
      <c r="Y1084" s="22"/>
      <c r="Z1084" s="6"/>
      <c r="AA1084" s="21">
        <v>13601</v>
      </c>
      <c r="AB1084" s="23">
        <v>44111</v>
      </c>
      <c r="AC1084" s="21" t="s">
        <v>30</v>
      </c>
      <c r="AD1084" s="24" t="s">
        <v>2379</v>
      </c>
      <c r="AE1084" s="6" t="s">
        <v>38</v>
      </c>
      <c r="AF1084" s="6"/>
      <c r="AG1084" s="6" t="s">
        <v>3041</v>
      </c>
    </row>
    <row r="1085" spans="1:33" ht="7.5" customHeight="1" x14ac:dyDescent="0.25">
      <c r="A1085" s="27"/>
      <c r="B1085" s="39"/>
      <c r="C1085" s="39"/>
      <c r="D1085" s="39"/>
      <c r="E1085" s="28"/>
      <c r="F1085" s="27"/>
      <c r="G1085" s="27"/>
      <c r="H1085" s="27"/>
      <c r="I1085" s="27"/>
      <c r="J1085" s="30"/>
      <c r="K1085" s="30"/>
      <c r="L1085" s="29"/>
      <c r="M1085" s="27"/>
      <c r="N1085" s="27"/>
      <c r="O1085" s="27"/>
      <c r="P1085" s="27"/>
      <c r="Q1085" s="29"/>
      <c r="R1085" s="29"/>
      <c r="S1085" s="29"/>
      <c r="T1085" s="29"/>
      <c r="U1085" s="27"/>
      <c r="V1085" s="29"/>
      <c r="W1085" s="29"/>
      <c r="X1085" s="29"/>
      <c r="Y1085" s="31"/>
      <c r="Z1085" s="29"/>
      <c r="AA1085" s="30"/>
      <c r="AB1085" s="32"/>
      <c r="AC1085" s="30"/>
      <c r="AD1085" s="33"/>
      <c r="AE1085" s="29"/>
      <c r="AF1085" s="29"/>
      <c r="AG1085" s="29"/>
    </row>
    <row r="1086" spans="1:33" ht="15" customHeight="1" x14ac:dyDescent="0.25">
      <c r="A1086" s="5">
        <v>46</v>
      </c>
      <c r="B1086" s="38">
        <v>44144</v>
      </c>
      <c r="C1086" s="38">
        <v>44126</v>
      </c>
      <c r="D1086" s="38">
        <v>44034</v>
      </c>
      <c r="E1086" s="28">
        <v>44144</v>
      </c>
      <c r="F1086" s="5">
        <v>5621</v>
      </c>
      <c r="G1086" s="5" t="s">
        <v>91</v>
      </c>
      <c r="H1086" s="5" t="s">
        <v>41</v>
      </c>
      <c r="I1086" s="5" t="s">
        <v>92</v>
      </c>
      <c r="J1086" s="21" t="s">
        <v>131</v>
      </c>
      <c r="K1086" s="21" t="s">
        <v>1699</v>
      </c>
      <c r="L1086" s="6" t="s">
        <v>95</v>
      </c>
      <c r="M1086" s="5">
        <v>0</v>
      </c>
      <c r="N1086" s="5" t="s">
        <v>91</v>
      </c>
      <c r="O1086" s="5" t="s">
        <v>91</v>
      </c>
      <c r="P1086" s="5" t="s">
        <v>91</v>
      </c>
      <c r="Q1086" s="6"/>
      <c r="R1086" s="6" t="s">
        <v>296</v>
      </c>
      <c r="S1086" s="6"/>
      <c r="T1086" s="6"/>
      <c r="U1086" s="5"/>
      <c r="V1086" s="6"/>
      <c r="W1086" s="6" t="s">
        <v>429</v>
      </c>
      <c r="X1086" s="6"/>
      <c r="Y1086" s="22"/>
      <c r="Z1086" s="6">
        <v>0</v>
      </c>
      <c r="AA1086" s="21">
        <v>12987</v>
      </c>
      <c r="AB1086" s="23">
        <v>44084</v>
      </c>
      <c r="AC1086" s="21" t="s">
        <v>33</v>
      </c>
      <c r="AD1086" s="24" t="s">
        <v>174</v>
      </c>
      <c r="AE1086" s="6" t="s">
        <v>31</v>
      </c>
      <c r="AF1086" s="6"/>
      <c r="AG1086" s="6" t="s">
        <v>3041</v>
      </c>
    </row>
    <row r="1087" spans="1:33" ht="15" customHeight="1" x14ac:dyDescent="0.25">
      <c r="A1087" s="5">
        <v>46</v>
      </c>
      <c r="B1087" s="38">
        <v>44144</v>
      </c>
      <c r="C1087" s="38">
        <v>44126</v>
      </c>
      <c r="D1087" s="38">
        <v>44117</v>
      </c>
      <c r="E1087" s="28">
        <v>44144</v>
      </c>
      <c r="F1087" s="5">
        <v>7800</v>
      </c>
      <c r="G1087" s="5" t="s">
        <v>91</v>
      </c>
      <c r="H1087" s="5" t="s">
        <v>40</v>
      </c>
      <c r="I1087" s="5" t="s">
        <v>92</v>
      </c>
      <c r="J1087" s="21" t="s">
        <v>214</v>
      </c>
      <c r="K1087" s="21" t="s">
        <v>2526</v>
      </c>
      <c r="L1087" s="6" t="s">
        <v>172</v>
      </c>
      <c r="M1087" s="5">
        <v>8</v>
      </c>
      <c r="N1087" s="5" t="s">
        <v>91</v>
      </c>
      <c r="O1087" s="5" t="s">
        <v>91</v>
      </c>
      <c r="P1087" s="5" t="s">
        <v>91</v>
      </c>
      <c r="Q1087" s="6" t="s">
        <v>105</v>
      </c>
      <c r="R1087" s="6" t="s">
        <v>223</v>
      </c>
      <c r="S1087" s="6"/>
      <c r="T1087" s="6"/>
      <c r="U1087" s="5"/>
      <c r="V1087" s="6"/>
      <c r="W1087" s="6" t="s">
        <v>224</v>
      </c>
      <c r="X1087" s="6"/>
      <c r="Y1087" s="22"/>
      <c r="Z1087" s="6">
        <v>3.59</v>
      </c>
      <c r="AA1087" s="21" t="s">
        <v>2527</v>
      </c>
      <c r="AB1087" s="23">
        <v>44111</v>
      </c>
      <c r="AC1087" s="21" t="s">
        <v>32</v>
      </c>
      <c r="AD1087" s="24" t="s">
        <v>2528</v>
      </c>
      <c r="AE1087" s="6" t="s">
        <v>35</v>
      </c>
      <c r="AF1087" s="6"/>
      <c r="AG1087" s="6" t="s">
        <v>3040</v>
      </c>
    </row>
    <row r="1088" spans="1:33" ht="15" customHeight="1" x14ac:dyDescent="0.25">
      <c r="A1088" s="5">
        <v>46</v>
      </c>
      <c r="B1088" s="38">
        <v>44144</v>
      </c>
      <c r="C1088" s="38">
        <v>44126</v>
      </c>
      <c r="D1088" s="38">
        <v>44118</v>
      </c>
      <c r="E1088" s="28">
        <v>44144</v>
      </c>
      <c r="F1088" s="5">
        <v>8790</v>
      </c>
      <c r="G1088" s="5" t="s">
        <v>91</v>
      </c>
      <c r="H1088" s="5" t="s">
        <v>41</v>
      </c>
      <c r="I1088" s="5" t="s">
        <v>92</v>
      </c>
      <c r="J1088" s="21" t="s">
        <v>147</v>
      </c>
      <c r="K1088" s="21" t="s">
        <v>2538</v>
      </c>
      <c r="L1088" s="6" t="s">
        <v>2539</v>
      </c>
      <c r="M1088" s="5">
        <v>20</v>
      </c>
      <c r="N1088" s="5" t="s">
        <v>91</v>
      </c>
      <c r="O1088" s="5" t="s">
        <v>91</v>
      </c>
      <c r="P1088" s="5" t="s">
        <v>91</v>
      </c>
      <c r="Q1088" s="6" t="s">
        <v>153</v>
      </c>
      <c r="R1088" s="6" t="s">
        <v>2540</v>
      </c>
      <c r="S1088" s="6" t="s">
        <v>98</v>
      </c>
      <c r="T1088" s="6" t="s">
        <v>2541</v>
      </c>
      <c r="U1088" s="5"/>
      <c r="V1088" s="6"/>
      <c r="W1088" s="6" t="s">
        <v>2542</v>
      </c>
      <c r="X1088" s="6" t="s">
        <v>2543</v>
      </c>
      <c r="Y1088" s="22"/>
      <c r="Z1088" s="6"/>
      <c r="AA1088" s="21"/>
      <c r="AB1088" s="23">
        <v>44104</v>
      </c>
      <c r="AC1088" s="21" t="s">
        <v>30</v>
      </c>
      <c r="AD1088" s="24">
        <v>5853.59</v>
      </c>
      <c r="AE1088" s="6" t="s">
        <v>31</v>
      </c>
      <c r="AF1088" s="6"/>
      <c r="AG1088" s="6" t="s">
        <v>3040</v>
      </c>
    </row>
    <row r="1089" spans="1:33" ht="7.5" customHeight="1" x14ac:dyDescent="0.25">
      <c r="A1089" s="27"/>
      <c r="B1089" s="39"/>
      <c r="C1089" s="39"/>
      <c r="D1089" s="39"/>
      <c r="E1089" s="28"/>
      <c r="F1089" s="27"/>
      <c r="G1089" s="27"/>
      <c r="H1089" s="27"/>
      <c r="I1089" s="27"/>
      <c r="J1089" s="30"/>
      <c r="K1089" s="30"/>
      <c r="L1089" s="29"/>
      <c r="M1089" s="27"/>
      <c r="N1089" s="27"/>
      <c r="O1089" s="27"/>
      <c r="P1089" s="27"/>
      <c r="Q1089" s="29"/>
      <c r="R1089" s="29"/>
      <c r="S1089" s="29"/>
      <c r="T1089" s="29"/>
      <c r="U1089" s="27"/>
      <c r="V1089" s="29"/>
      <c r="W1089" s="29"/>
      <c r="X1089" s="29"/>
      <c r="Y1089" s="31"/>
      <c r="Z1089" s="29"/>
      <c r="AA1089" s="30"/>
      <c r="AB1089" s="32"/>
      <c r="AC1089" s="30"/>
      <c r="AD1089" s="33"/>
      <c r="AE1089" s="29"/>
      <c r="AF1089" s="29"/>
      <c r="AG1089" s="29"/>
    </row>
    <row r="1090" spans="1:33" ht="15" customHeight="1" x14ac:dyDescent="0.25">
      <c r="A1090" s="5">
        <v>46</v>
      </c>
      <c r="B1090" s="38">
        <v>44145</v>
      </c>
      <c r="C1090" s="38">
        <v>44127</v>
      </c>
      <c r="D1090" s="38">
        <v>44116</v>
      </c>
      <c r="E1090" s="28">
        <v>44145</v>
      </c>
      <c r="F1090" s="5">
        <v>10707</v>
      </c>
      <c r="G1090" s="5" t="s">
        <v>91</v>
      </c>
      <c r="H1090" s="5" t="s">
        <v>40</v>
      </c>
      <c r="I1090" s="5" t="s">
        <v>92</v>
      </c>
      <c r="J1090" s="21" t="s">
        <v>170</v>
      </c>
      <c r="K1090" s="21" t="s">
        <v>2544</v>
      </c>
      <c r="L1090" s="6" t="s">
        <v>2545</v>
      </c>
      <c r="M1090" s="5">
        <v>14</v>
      </c>
      <c r="N1090" s="5" t="s">
        <v>91</v>
      </c>
      <c r="O1090" s="5" t="s">
        <v>91</v>
      </c>
      <c r="P1090" s="5" t="s">
        <v>91</v>
      </c>
      <c r="Q1090" s="6" t="s">
        <v>2546</v>
      </c>
      <c r="R1090" s="6" t="s">
        <v>123</v>
      </c>
      <c r="S1090" s="6"/>
      <c r="T1090" s="6"/>
      <c r="U1090" s="5"/>
      <c r="V1090" s="6" t="s">
        <v>2547</v>
      </c>
      <c r="W1090" s="6" t="s">
        <v>2548</v>
      </c>
      <c r="X1090" s="6" t="s">
        <v>2549</v>
      </c>
      <c r="Y1090" s="22"/>
      <c r="Z1090" s="6">
        <v>5.0999999999999996</v>
      </c>
      <c r="AA1090" s="21"/>
      <c r="AB1090" s="23"/>
      <c r="AC1090" s="21" t="s">
        <v>30</v>
      </c>
      <c r="AD1090" s="24"/>
      <c r="AE1090" s="6" t="s">
        <v>31</v>
      </c>
      <c r="AF1090" s="6"/>
      <c r="AG1090" s="6" t="s">
        <v>3041</v>
      </c>
    </row>
    <row r="1091" spans="1:33" ht="15" customHeight="1" x14ac:dyDescent="0.25">
      <c r="A1091" s="5">
        <v>46</v>
      </c>
      <c r="B1091" s="38">
        <v>44145</v>
      </c>
      <c r="C1091" s="38">
        <v>44127</v>
      </c>
      <c r="D1091" s="38">
        <v>44118</v>
      </c>
      <c r="E1091" s="28">
        <v>44145</v>
      </c>
      <c r="F1091" s="5">
        <v>10712</v>
      </c>
      <c r="G1091" s="5" t="s">
        <v>91</v>
      </c>
      <c r="H1091" s="5" t="s">
        <v>40</v>
      </c>
      <c r="I1091" s="5" t="s">
        <v>92</v>
      </c>
      <c r="J1091" s="21" t="s">
        <v>170</v>
      </c>
      <c r="K1091" s="21" t="s">
        <v>2550</v>
      </c>
      <c r="L1091" s="6" t="s">
        <v>2551</v>
      </c>
      <c r="M1091" s="5">
        <v>6</v>
      </c>
      <c r="N1091" s="5" t="s">
        <v>91</v>
      </c>
      <c r="O1091" s="5" t="s">
        <v>91</v>
      </c>
      <c r="P1091" s="5" t="s">
        <v>91</v>
      </c>
      <c r="Q1091" s="6" t="s">
        <v>2546</v>
      </c>
      <c r="R1091" s="6" t="s">
        <v>112</v>
      </c>
      <c r="S1091" s="6"/>
      <c r="T1091" s="6"/>
      <c r="U1091" s="5"/>
      <c r="V1091" s="6"/>
      <c r="W1091" s="6" t="s">
        <v>2552</v>
      </c>
      <c r="X1091" s="6" t="s">
        <v>986</v>
      </c>
      <c r="Y1091" s="22"/>
      <c r="Z1091" s="6">
        <v>2.5</v>
      </c>
      <c r="AA1091" s="21" t="s">
        <v>2553</v>
      </c>
      <c r="AB1091" s="23">
        <v>44118</v>
      </c>
      <c r="AC1091" s="21" t="s">
        <v>30</v>
      </c>
      <c r="AD1091" s="24" t="s">
        <v>2554</v>
      </c>
      <c r="AE1091" s="6" t="s">
        <v>37</v>
      </c>
      <c r="AF1091" s="6"/>
      <c r="AG1091" s="6" t="s">
        <v>3042</v>
      </c>
    </row>
    <row r="1092" spans="1:33" ht="7.5" customHeight="1" x14ac:dyDescent="0.25">
      <c r="A1092" s="27"/>
      <c r="B1092" s="39"/>
      <c r="C1092" s="39"/>
      <c r="D1092" s="39"/>
      <c r="E1092" s="28"/>
      <c r="F1092" s="27"/>
      <c r="G1092" s="27"/>
      <c r="H1092" s="27"/>
      <c r="I1092" s="27"/>
      <c r="J1092" s="30"/>
      <c r="K1092" s="30"/>
      <c r="L1092" s="29"/>
      <c r="M1092" s="27"/>
      <c r="N1092" s="27"/>
      <c r="O1092" s="27"/>
      <c r="P1092" s="27"/>
      <c r="Q1092" s="29"/>
      <c r="R1092" s="29"/>
      <c r="S1092" s="29"/>
      <c r="T1092" s="29"/>
      <c r="U1092" s="27"/>
      <c r="V1092" s="29"/>
      <c r="W1092" s="29"/>
      <c r="X1092" s="29"/>
      <c r="Y1092" s="31"/>
      <c r="Z1092" s="29"/>
      <c r="AA1092" s="30"/>
      <c r="AB1092" s="32"/>
      <c r="AC1092" s="30"/>
      <c r="AD1092" s="33"/>
      <c r="AE1092" s="29"/>
      <c r="AF1092" s="29"/>
      <c r="AG1092" s="29"/>
    </row>
    <row r="1093" spans="1:33" ht="15" customHeight="1" x14ac:dyDescent="0.25">
      <c r="A1093" s="5">
        <v>45</v>
      </c>
      <c r="B1093" s="38">
        <v>44138</v>
      </c>
      <c r="C1093" s="38">
        <v>44127</v>
      </c>
      <c r="D1093" s="38">
        <v>44091</v>
      </c>
      <c r="E1093" s="36">
        <v>44138</v>
      </c>
      <c r="F1093" s="5">
        <v>4836</v>
      </c>
      <c r="G1093" s="5" t="s">
        <v>91</v>
      </c>
      <c r="H1093" s="5" t="s">
        <v>41</v>
      </c>
      <c r="I1093" s="5" t="s">
        <v>92</v>
      </c>
      <c r="J1093" s="21" t="s">
        <v>109</v>
      </c>
      <c r="K1093" s="21" t="s">
        <v>2329</v>
      </c>
      <c r="L1093" s="6" t="s">
        <v>2406</v>
      </c>
      <c r="M1093" s="5">
        <v>0</v>
      </c>
      <c r="N1093" s="5" t="s">
        <v>91</v>
      </c>
      <c r="O1093" s="5" t="s">
        <v>91</v>
      </c>
      <c r="P1093" s="5" t="s">
        <v>91</v>
      </c>
      <c r="Q1093" s="6" t="s">
        <v>105</v>
      </c>
      <c r="R1093" s="6" t="s">
        <v>112</v>
      </c>
      <c r="S1093" s="6"/>
      <c r="T1093" s="6"/>
      <c r="U1093" s="5"/>
      <c r="V1093" s="6" t="s">
        <v>2407</v>
      </c>
      <c r="W1093" s="6" t="s">
        <v>2330</v>
      </c>
      <c r="X1093" s="6"/>
      <c r="Y1093" s="22"/>
      <c r="Z1093" s="6">
        <v>0</v>
      </c>
      <c r="AA1093" s="21" t="s">
        <v>2408</v>
      </c>
      <c r="AB1093" s="23">
        <v>44131</v>
      </c>
      <c r="AC1093" s="21" t="s">
        <v>30</v>
      </c>
      <c r="AD1093" s="24" t="s">
        <v>296</v>
      </c>
      <c r="AE1093" s="6" t="s">
        <v>31</v>
      </c>
      <c r="AF1093" s="6"/>
      <c r="AG1093" s="6" t="s">
        <v>3041</v>
      </c>
    </row>
    <row r="1094" spans="1:33" ht="7.5" customHeight="1" x14ac:dyDescent="0.25">
      <c r="A1094" s="27"/>
      <c r="B1094" s="39"/>
      <c r="C1094" s="39"/>
      <c r="D1094" s="39"/>
      <c r="E1094" s="28"/>
      <c r="F1094" s="27"/>
      <c r="G1094" s="27"/>
      <c r="H1094" s="27"/>
      <c r="I1094" s="27"/>
      <c r="J1094" s="30"/>
      <c r="K1094" s="30"/>
      <c r="L1094" s="29"/>
      <c r="M1094" s="27"/>
      <c r="N1094" s="27"/>
      <c r="O1094" s="27"/>
      <c r="P1094" s="27"/>
      <c r="Q1094" s="29"/>
      <c r="R1094" s="29"/>
      <c r="S1094" s="29"/>
      <c r="T1094" s="29"/>
      <c r="U1094" s="27"/>
      <c r="V1094" s="29"/>
      <c r="W1094" s="29"/>
      <c r="X1094" s="29"/>
      <c r="Y1094" s="31"/>
      <c r="Z1094" s="29"/>
      <c r="AA1094" s="30"/>
      <c r="AB1094" s="32"/>
      <c r="AC1094" s="30"/>
      <c r="AD1094" s="33"/>
      <c r="AE1094" s="29"/>
      <c r="AF1094" s="29"/>
      <c r="AG1094" s="29"/>
    </row>
    <row r="1095" spans="1:33" ht="15" customHeight="1" x14ac:dyDescent="0.25">
      <c r="A1095" s="5">
        <v>45</v>
      </c>
      <c r="B1095" s="38">
        <v>44141</v>
      </c>
      <c r="C1095" s="38">
        <v>44127</v>
      </c>
      <c r="D1095" s="38">
        <v>44120</v>
      </c>
      <c r="E1095" s="36">
        <v>44141</v>
      </c>
      <c r="F1095" s="5">
        <v>8789</v>
      </c>
      <c r="G1095" s="5" t="s">
        <v>91</v>
      </c>
      <c r="H1095" s="5" t="s">
        <v>43</v>
      </c>
      <c r="I1095" s="5" t="s">
        <v>92</v>
      </c>
      <c r="J1095" s="21" t="s">
        <v>147</v>
      </c>
      <c r="K1095" s="21" t="s">
        <v>2483</v>
      </c>
      <c r="L1095" s="6" t="s">
        <v>2484</v>
      </c>
      <c r="M1095" s="5">
        <v>1</v>
      </c>
      <c r="N1095" s="5" t="s">
        <v>91</v>
      </c>
      <c r="O1095" s="5" t="s">
        <v>91</v>
      </c>
      <c r="P1095" s="5" t="s">
        <v>91</v>
      </c>
      <c r="Q1095" s="6" t="s">
        <v>105</v>
      </c>
      <c r="R1095" s="6" t="s">
        <v>107</v>
      </c>
      <c r="S1095" s="6"/>
      <c r="T1095" s="6"/>
      <c r="U1095" s="5"/>
      <c r="V1095" s="6"/>
      <c r="W1095" s="6" t="s">
        <v>107</v>
      </c>
      <c r="X1095" s="6" t="s">
        <v>2485</v>
      </c>
      <c r="Y1095" s="22"/>
      <c r="Z1095" s="6"/>
      <c r="AA1095" s="21">
        <v>1015200</v>
      </c>
      <c r="AB1095" s="23">
        <v>44137</v>
      </c>
      <c r="AC1095" s="21" t="s">
        <v>32</v>
      </c>
      <c r="AD1095" s="24" t="s">
        <v>296</v>
      </c>
      <c r="AE1095" s="6" t="s">
        <v>31</v>
      </c>
      <c r="AF1095" s="6"/>
      <c r="AG1095" s="6" t="s">
        <v>3039</v>
      </c>
    </row>
    <row r="1096" spans="1:33" ht="7.5" customHeight="1" x14ac:dyDescent="0.25">
      <c r="A1096" s="27"/>
      <c r="B1096" s="39"/>
      <c r="C1096" s="39"/>
      <c r="D1096" s="39"/>
      <c r="E1096" s="28"/>
      <c r="F1096" s="27"/>
      <c r="G1096" s="27"/>
      <c r="H1096" s="27"/>
      <c r="I1096" s="27"/>
      <c r="J1096" s="30"/>
      <c r="K1096" s="30"/>
      <c r="L1096" s="29"/>
      <c r="M1096" s="27"/>
      <c r="N1096" s="27"/>
      <c r="O1096" s="27"/>
      <c r="P1096" s="27"/>
      <c r="Q1096" s="29"/>
      <c r="R1096" s="29"/>
      <c r="S1096" s="29"/>
      <c r="T1096" s="29"/>
      <c r="U1096" s="27"/>
      <c r="V1096" s="29"/>
      <c r="W1096" s="29"/>
      <c r="X1096" s="29"/>
      <c r="Y1096" s="31"/>
      <c r="Z1096" s="29"/>
      <c r="AA1096" s="30"/>
      <c r="AB1096" s="32"/>
      <c r="AC1096" s="30"/>
      <c r="AD1096" s="33"/>
      <c r="AE1096" s="29"/>
      <c r="AF1096" s="29"/>
      <c r="AG1096" s="29"/>
    </row>
    <row r="1097" spans="1:33" ht="15" customHeight="1" x14ac:dyDescent="0.25">
      <c r="A1097" s="5">
        <v>45</v>
      </c>
      <c r="B1097" s="38">
        <v>44138</v>
      </c>
      <c r="C1097" s="38">
        <v>44127</v>
      </c>
      <c r="D1097" s="38">
        <v>44102</v>
      </c>
      <c r="E1097" s="36">
        <v>44138</v>
      </c>
      <c r="F1097" s="5">
        <v>9706</v>
      </c>
      <c r="G1097" s="5" t="s">
        <v>91</v>
      </c>
      <c r="H1097" s="5" t="s">
        <v>40</v>
      </c>
      <c r="I1097" s="5" t="s">
        <v>92</v>
      </c>
      <c r="J1097" s="21" t="s">
        <v>159</v>
      </c>
      <c r="K1097" s="21">
        <v>258111</v>
      </c>
      <c r="L1097" s="6" t="s">
        <v>152</v>
      </c>
      <c r="M1097" s="5">
        <v>20</v>
      </c>
      <c r="N1097" s="5" t="s">
        <v>91</v>
      </c>
      <c r="O1097" s="5" t="s">
        <v>91</v>
      </c>
      <c r="P1097" s="5" t="s">
        <v>91</v>
      </c>
      <c r="Q1097" s="6"/>
      <c r="R1097" s="6" t="s">
        <v>163</v>
      </c>
      <c r="S1097" s="6"/>
      <c r="T1097" s="6"/>
      <c r="U1097" s="5"/>
      <c r="V1097" s="6" t="s">
        <v>164</v>
      </c>
      <c r="W1097" s="6" t="s">
        <v>2412</v>
      </c>
      <c r="X1097" s="6"/>
      <c r="Y1097" s="22"/>
      <c r="Z1097" s="6"/>
      <c r="AA1097" s="21">
        <v>15513</v>
      </c>
      <c r="AB1097" s="23">
        <v>44103</v>
      </c>
      <c r="AC1097" s="21" t="s">
        <v>32</v>
      </c>
      <c r="AD1097" s="24" t="s">
        <v>2413</v>
      </c>
      <c r="AE1097" s="6" t="s">
        <v>38</v>
      </c>
      <c r="AF1097" s="6"/>
      <c r="AG1097" s="6" t="s">
        <v>3039</v>
      </c>
    </row>
    <row r="1098" spans="1:33" ht="15" customHeight="1" x14ac:dyDescent="0.25">
      <c r="A1098" s="5">
        <v>45</v>
      </c>
      <c r="B1098" s="38">
        <v>44138</v>
      </c>
      <c r="C1098" s="38">
        <v>44127</v>
      </c>
      <c r="D1098" s="38">
        <v>44102</v>
      </c>
      <c r="E1098" s="36">
        <v>44138</v>
      </c>
      <c r="F1098" s="5">
        <v>9694</v>
      </c>
      <c r="G1098" s="5" t="s">
        <v>91</v>
      </c>
      <c r="H1098" s="5" t="s">
        <v>43</v>
      </c>
      <c r="I1098" s="5" t="s">
        <v>92</v>
      </c>
      <c r="J1098" s="21" t="s">
        <v>159</v>
      </c>
      <c r="K1098" s="21">
        <v>257923</v>
      </c>
      <c r="L1098" s="6" t="s">
        <v>152</v>
      </c>
      <c r="M1098" s="5">
        <v>80</v>
      </c>
      <c r="N1098" s="5" t="s">
        <v>91</v>
      </c>
      <c r="O1098" s="5" t="s">
        <v>91</v>
      </c>
      <c r="P1098" s="5" t="s">
        <v>91</v>
      </c>
      <c r="Q1098" s="6"/>
      <c r="R1098" s="6" t="s">
        <v>163</v>
      </c>
      <c r="S1098" s="6"/>
      <c r="T1098" s="6"/>
      <c r="U1098" s="5"/>
      <c r="V1098" s="6" t="s">
        <v>164</v>
      </c>
      <c r="W1098" s="6" t="s">
        <v>2414</v>
      </c>
      <c r="X1098" s="6"/>
      <c r="Y1098" s="22"/>
      <c r="Z1098" s="6"/>
      <c r="AA1098" s="21">
        <v>258111</v>
      </c>
      <c r="AB1098" s="23">
        <v>44106</v>
      </c>
      <c r="AC1098" s="21" t="s">
        <v>32</v>
      </c>
      <c r="AD1098" s="24" t="s">
        <v>2415</v>
      </c>
      <c r="AE1098" s="6" t="s">
        <v>31</v>
      </c>
      <c r="AF1098" s="6"/>
      <c r="AG1098" s="6" t="s">
        <v>3040</v>
      </c>
    </row>
    <row r="1099" spans="1:33" ht="7.5" customHeight="1" x14ac:dyDescent="0.25">
      <c r="A1099" s="27"/>
      <c r="B1099" s="39"/>
      <c r="C1099" s="39"/>
      <c r="D1099" s="39"/>
      <c r="E1099" s="28"/>
      <c r="F1099" s="27"/>
      <c r="G1099" s="27"/>
      <c r="H1099" s="27"/>
      <c r="I1099" s="27"/>
      <c r="J1099" s="30"/>
      <c r="K1099" s="30"/>
      <c r="L1099" s="29"/>
      <c r="M1099" s="27"/>
      <c r="N1099" s="27"/>
      <c r="O1099" s="27"/>
      <c r="P1099" s="27"/>
      <c r="Q1099" s="29"/>
      <c r="R1099" s="29"/>
      <c r="S1099" s="29"/>
      <c r="T1099" s="29"/>
      <c r="U1099" s="27"/>
      <c r="V1099" s="29"/>
      <c r="W1099" s="29"/>
      <c r="X1099" s="29"/>
      <c r="Y1099" s="31"/>
      <c r="Z1099" s="29"/>
      <c r="AA1099" s="30"/>
      <c r="AB1099" s="32"/>
      <c r="AC1099" s="30"/>
      <c r="AD1099" s="33"/>
      <c r="AE1099" s="29"/>
      <c r="AF1099" s="29"/>
      <c r="AG1099" s="29"/>
    </row>
    <row r="1100" spans="1:33" ht="15" customHeight="1" x14ac:dyDescent="0.25">
      <c r="A1100" s="5">
        <v>46</v>
      </c>
      <c r="B1100" s="38">
        <v>44148</v>
      </c>
      <c r="C1100" s="38">
        <v>44127</v>
      </c>
      <c r="D1100" s="38">
        <v>44120</v>
      </c>
      <c r="E1100" s="28">
        <v>44148</v>
      </c>
      <c r="F1100" s="5"/>
      <c r="G1100" s="5"/>
      <c r="H1100" s="5"/>
      <c r="I1100" s="5"/>
      <c r="J1100" s="21"/>
      <c r="K1100" s="21"/>
      <c r="L1100" s="6" t="s">
        <v>2644</v>
      </c>
      <c r="M1100" s="5">
        <v>0</v>
      </c>
      <c r="N1100" s="5"/>
      <c r="O1100" s="5"/>
      <c r="P1100" s="5"/>
      <c r="Q1100" s="6"/>
      <c r="R1100" s="6"/>
      <c r="S1100" s="6"/>
      <c r="T1100" s="6"/>
      <c r="U1100" s="5"/>
      <c r="V1100" s="6"/>
      <c r="W1100" s="6"/>
      <c r="X1100" s="6"/>
      <c r="Y1100" s="22"/>
      <c r="Z1100" s="6"/>
      <c r="AA1100" s="21"/>
      <c r="AB1100" s="23"/>
      <c r="AC1100" s="21" t="s">
        <v>39</v>
      </c>
      <c r="AD1100" s="24"/>
      <c r="AE1100" s="6" t="s">
        <v>36</v>
      </c>
      <c r="AF1100" s="6"/>
      <c r="AG1100" s="6" t="s">
        <v>3039</v>
      </c>
    </row>
    <row r="1101" spans="1:33" ht="7.5" customHeight="1" x14ac:dyDescent="0.25">
      <c r="A1101" s="27"/>
      <c r="B1101" s="39"/>
      <c r="C1101" s="39"/>
      <c r="D1101" s="39"/>
      <c r="E1101" s="28"/>
      <c r="F1101" s="27"/>
      <c r="G1101" s="27"/>
      <c r="H1101" s="27"/>
      <c r="I1101" s="27"/>
      <c r="J1101" s="30"/>
      <c r="K1101" s="30"/>
      <c r="L1101" s="29"/>
      <c r="M1101" s="27"/>
      <c r="N1101" s="27"/>
      <c r="O1101" s="27"/>
      <c r="P1101" s="27"/>
      <c r="Q1101" s="29"/>
      <c r="R1101" s="29"/>
      <c r="S1101" s="29"/>
      <c r="T1101" s="29"/>
      <c r="U1101" s="27"/>
      <c r="V1101" s="29"/>
      <c r="W1101" s="29"/>
      <c r="X1101" s="29"/>
      <c r="Y1101" s="31"/>
      <c r="Z1101" s="29"/>
      <c r="AA1101" s="30"/>
      <c r="AB1101" s="32"/>
      <c r="AC1101" s="30"/>
      <c r="AD1101" s="33"/>
      <c r="AE1101" s="29"/>
      <c r="AF1101" s="29"/>
      <c r="AG1101" s="29"/>
    </row>
    <row r="1102" spans="1:33" ht="15" customHeight="1" x14ac:dyDescent="0.25">
      <c r="A1102" s="5">
        <v>48</v>
      </c>
      <c r="B1102" s="38">
        <v>44160</v>
      </c>
      <c r="C1102" s="38">
        <v>44130</v>
      </c>
      <c r="D1102" s="38">
        <v>44139</v>
      </c>
      <c r="E1102" s="34">
        <v>44160</v>
      </c>
      <c r="F1102" s="5">
        <v>1626</v>
      </c>
      <c r="G1102" s="5" t="s">
        <v>91</v>
      </c>
      <c r="H1102" s="5" t="s">
        <v>43</v>
      </c>
      <c r="I1102" s="5" t="s">
        <v>92</v>
      </c>
      <c r="J1102" s="21" t="s">
        <v>372</v>
      </c>
      <c r="K1102" s="21" t="s">
        <v>2853</v>
      </c>
      <c r="L1102" s="6" t="s">
        <v>2854</v>
      </c>
      <c r="M1102" s="5">
        <v>20</v>
      </c>
      <c r="N1102" s="5" t="s">
        <v>91</v>
      </c>
      <c r="O1102" s="5" t="s">
        <v>91</v>
      </c>
      <c r="P1102" s="5" t="s">
        <v>1215</v>
      </c>
      <c r="Q1102" s="6"/>
      <c r="R1102" s="6" t="s">
        <v>2855</v>
      </c>
      <c r="S1102" s="6" t="s">
        <v>2856</v>
      </c>
      <c r="T1102" s="6"/>
      <c r="U1102" s="5"/>
      <c r="V1102" s="6" t="s">
        <v>2857</v>
      </c>
      <c r="W1102" s="6" t="s">
        <v>2858</v>
      </c>
      <c r="X1102" s="6" t="s">
        <v>2859</v>
      </c>
      <c r="Y1102" s="22"/>
      <c r="Z1102" s="6"/>
      <c r="AA1102" s="21"/>
      <c r="AB1102" s="23"/>
      <c r="AC1102" s="21" t="s">
        <v>30</v>
      </c>
      <c r="AD1102" s="24"/>
      <c r="AE1102" s="6" t="s">
        <v>36</v>
      </c>
      <c r="AF1102" s="6"/>
      <c r="AG1102" s="6" t="s">
        <v>3041</v>
      </c>
    </row>
    <row r="1103" spans="1:33" ht="7.5" customHeight="1" x14ac:dyDescent="0.25">
      <c r="A1103" s="27"/>
      <c r="B1103" s="39"/>
      <c r="C1103" s="39"/>
      <c r="D1103" s="39"/>
      <c r="E1103" s="28"/>
      <c r="F1103" s="27"/>
      <c r="G1103" s="27"/>
      <c r="H1103" s="27"/>
      <c r="I1103" s="27"/>
      <c r="J1103" s="30"/>
      <c r="K1103" s="30"/>
      <c r="L1103" s="29"/>
      <c r="M1103" s="27"/>
      <c r="N1103" s="27"/>
      <c r="O1103" s="27"/>
      <c r="P1103" s="27"/>
      <c r="Q1103" s="29"/>
      <c r="R1103" s="29"/>
      <c r="S1103" s="29"/>
      <c r="T1103" s="29"/>
      <c r="U1103" s="27"/>
      <c r="V1103" s="29"/>
      <c r="W1103" s="29"/>
      <c r="X1103" s="29"/>
      <c r="Y1103" s="31"/>
      <c r="Z1103" s="29"/>
      <c r="AA1103" s="30"/>
      <c r="AB1103" s="32"/>
      <c r="AC1103" s="30"/>
      <c r="AD1103" s="33"/>
      <c r="AE1103" s="29"/>
      <c r="AF1103" s="29"/>
      <c r="AG1103" s="29"/>
    </row>
    <row r="1104" spans="1:33" ht="15" customHeight="1" x14ac:dyDescent="0.25">
      <c r="A1104" s="5">
        <v>47</v>
      </c>
      <c r="B1104" s="38">
        <v>44151</v>
      </c>
      <c r="C1104" s="38">
        <v>44130</v>
      </c>
      <c r="D1104" s="38">
        <v>44123</v>
      </c>
      <c r="E1104" s="37">
        <v>44151</v>
      </c>
      <c r="F1104" s="5">
        <v>10706</v>
      </c>
      <c r="G1104" s="5" t="s">
        <v>91</v>
      </c>
      <c r="H1104" s="5" t="s">
        <v>43</v>
      </c>
      <c r="I1104" s="5" t="s">
        <v>92</v>
      </c>
      <c r="J1104" s="21" t="s">
        <v>170</v>
      </c>
      <c r="K1104" s="21" t="s">
        <v>2647</v>
      </c>
      <c r="L1104" s="6" t="s">
        <v>2648</v>
      </c>
      <c r="M1104" s="5">
        <v>2</v>
      </c>
      <c r="N1104" s="5" t="s">
        <v>91</v>
      </c>
      <c r="O1104" s="5" t="s">
        <v>91</v>
      </c>
      <c r="P1104" s="5" t="s">
        <v>91</v>
      </c>
      <c r="Q1104" s="6" t="s">
        <v>86</v>
      </c>
      <c r="R1104" s="6" t="s">
        <v>112</v>
      </c>
      <c r="S1104" s="6"/>
      <c r="T1104" s="6"/>
      <c r="U1104" s="5"/>
      <c r="V1104" s="6" t="s">
        <v>272</v>
      </c>
      <c r="W1104" s="6" t="s">
        <v>173</v>
      </c>
      <c r="X1104" s="6" t="s">
        <v>251</v>
      </c>
      <c r="Y1104" s="22"/>
      <c r="Z1104" s="6">
        <v>1</v>
      </c>
      <c r="AA1104" s="21" t="s">
        <v>2649</v>
      </c>
      <c r="AB1104" s="23">
        <v>44106</v>
      </c>
      <c r="AC1104" s="21" t="s">
        <v>30</v>
      </c>
      <c r="AD1104" s="24" t="s">
        <v>2650</v>
      </c>
      <c r="AE1104" s="6" t="s">
        <v>31</v>
      </c>
      <c r="AF1104" s="6"/>
      <c r="AG1104" s="6" t="s">
        <v>3041</v>
      </c>
    </row>
    <row r="1105" spans="1:33" ht="7.5" customHeight="1" x14ac:dyDescent="0.25">
      <c r="A1105" s="27"/>
      <c r="B1105" s="39"/>
      <c r="C1105" s="39"/>
      <c r="D1105" s="39"/>
      <c r="E1105" s="28"/>
      <c r="F1105" s="27"/>
      <c r="G1105" s="27"/>
      <c r="H1105" s="27"/>
      <c r="I1105" s="27"/>
      <c r="J1105" s="30"/>
      <c r="K1105" s="30"/>
      <c r="L1105" s="29"/>
      <c r="M1105" s="27"/>
      <c r="N1105" s="27"/>
      <c r="O1105" s="27"/>
      <c r="P1105" s="27"/>
      <c r="Q1105" s="29"/>
      <c r="R1105" s="29"/>
      <c r="S1105" s="29"/>
      <c r="T1105" s="29"/>
      <c r="U1105" s="27"/>
      <c r="V1105" s="29"/>
      <c r="W1105" s="29"/>
      <c r="X1105" s="29"/>
      <c r="Y1105" s="31"/>
      <c r="Z1105" s="29"/>
      <c r="AA1105" s="30"/>
      <c r="AB1105" s="32"/>
      <c r="AC1105" s="30"/>
      <c r="AD1105" s="33"/>
      <c r="AE1105" s="29"/>
      <c r="AF1105" s="29"/>
      <c r="AG1105" s="29"/>
    </row>
    <row r="1106" spans="1:33" ht="15" customHeight="1" x14ac:dyDescent="0.25">
      <c r="A1106" s="5">
        <v>48</v>
      </c>
      <c r="B1106" s="38">
        <v>44160</v>
      </c>
      <c r="C1106" s="38">
        <v>44130</v>
      </c>
      <c r="D1106" s="38">
        <v>44123</v>
      </c>
      <c r="E1106" s="34">
        <v>44160</v>
      </c>
      <c r="F1106" s="5">
        <v>10715</v>
      </c>
      <c r="G1106" s="5" t="s">
        <v>91</v>
      </c>
      <c r="H1106" s="5" t="s">
        <v>40</v>
      </c>
      <c r="I1106" s="5" t="s">
        <v>92</v>
      </c>
      <c r="J1106" s="21" t="s">
        <v>170</v>
      </c>
      <c r="K1106" s="21" t="s">
        <v>2862</v>
      </c>
      <c r="L1106" s="6" t="s">
        <v>2863</v>
      </c>
      <c r="M1106" s="5">
        <v>9</v>
      </c>
      <c r="N1106" s="5" t="s">
        <v>91</v>
      </c>
      <c r="O1106" s="5" t="s">
        <v>91</v>
      </c>
      <c r="P1106" s="5" t="s">
        <v>91</v>
      </c>
      <c r="Q1106" s="6" t="s">
        <v>86</v>
      </c>
      <c r="R1106" s="6" t="s">
        <v>112</v>
      </c>
      <c r="S1106" s="6"/>
      <c r="T1106" s="6"/>
      <c r="U1106" s="5"/>
      <c r="V1106" s="6"/>
      <c r="W1106" s="6" t="s">
        <v>1832</v>
      </c>
      <c r="X1106" s="6" t="s">
        <v>251</v>
      </c>
      <c r="Y1106" s="22"/>
      <c r="Z1106" s="6">
        <v>4</v>
      </c>
      <c r="AA1106" s="21" t="s">
        <v>2576</v>
      </c>
      <c r="AB1106" s="23">
        <v>44097</v>
      </c>
      <c r="AC1106" s="21" t="s">
        <v>32</v>
      </c>
      <c r="AD1106" s="24" t="s">
        <v>115</v>
      </c>
      <c r="AE1106" s="6" t="s">
        <v>31</v>
      </c>
      <c r="AF1106" s="6"/>
      <c r="AG1106" s="6" t="s">
        <v>3039</v>
      </c>
    </row>
    <row r="1107" spans="1:33" ht="7.5" customHeight="1" x14ac:dyDescent="0.25">
      <c r="A1107" s="27"/>
      <c r="B1107" s="39"/>
      <c r="C1107" s="39"/>
      <c r="D1107" s="39"/>
      <c r="E1107" s="28"/>
      <c r="F1107" s="27"/>
      <c r="G1107" s="27"/>
      <c r="H1107" s="27"/>
      <c r="I1107" s="27"/>
      <c r="J1107" s="30"/>
      <c r="K1107" s="30"/>
      <c r="L1107" s="29"/>
      <c r="M1107" s="27"/>
      <c r="N1107" s="27"/>
      <c r="O1107" s="27"/>
      <c r="P1107" s="27"/>
      <c r="Q1107" s="29"/>
      <c r="R1107" s="29"/>
      <c r="S1107" s="29"/>
      <c r="T1107" s="29"/>
      <c r="U1107" s="27"/>
      <c r="V1107" s="29"/>
      <c r="W1107" s="29"/>
      <c r="X1107" s="29"/>
      <c r="Y1107" s="31"/>
      <c r="Z1107" s="29"/>
      <c r="AA1107" s="30"/>
      <c r="AB1107" s="32"/>
      <c r="AC1107" s="30"/>
      <c r="AD1107" s="33"/>
      <c r="AE1107" s="29"/>
      <c r="AF1107" s="29"/>
      <c r="AG1107" s="29"/>
    </row>
    <row r="1108" spans="1:33" ht="15" customHeight="1" x14ac:dyDescent="0.25">
      <c r="A1108" s="5">
        <v>47</v>
      </c>
      <c r="B1108" s="38">
        <v>44151</v>
      </c>
      <c r="C1108" s="38">
        <v>44130</v>
      </c>
      <c r="D1108" s="38">
        <v>44123</v>
      </c>
      <c r="E1108" s="37">
        <v>44151</v>
      </c>
      <c r="F1108" s="5">
        <v>3127</v>
      </c>
      <c r="G1108" s="5" t="s">
        <v>91</v>
      </c>
      <c r="H1108" s="5" t="s">
        <v>43</v>
      </c>
      <c r="I1108" s="5" t="s">
        <v>92</v>
      </c>
      <c r="J1108" s="21" t="s">
        <v>93</v>
      </c>
      <c r="K1108" s="21" t="s">
        <v>2651</v>
      </c>
      <c r="L1108" s="6" t="s">
        <v>122</v>
      </c>
      <c r="M1108" s="5">
        <v>10</v>
      </c>
      <c r="N1108" s="5" t="s">
        <v>91</v>
      </c>
      <c r="O1108" s="5" t="s">
        <v>91</v>
      </c>
      <c r="P1108" s="5" t="s">
        <v>1215</v>
      </c>
      <c r="Q1108" s="6" t="s">
        <v>2573</v>
      </c>
      <c r="R1108" s="6" t="s">
        <v>1506</v>
      </c>
      <c r="S1108" s="6" t="s">
        <v>2652</v>
      </c>
      <c r="T1108" s="6"/>
      <c r="U1108" s="5"/>
      <c r="V1108" s="6" t="s">
        <v>2653</v>
      </c>
      <c r="W1108" s="6" t="s">
        <v>2654</v>
      </c>
      <c r="X1108" s="6" t="s">
        <v>2655</v>
      </c>
      <c r="Y1108" s="22"/>
      <c r="Z1108" s="6"/>
      <c r="AA1108" s="21" t="s">
        <v>2656</v>
      </c>
      <c r="AB1108" s="23">
        <v>44118</v>
      </c>
      <c r="AC1108" s="21" t="s">
        <v>30</v>
      </c>
      <c r="AD1108" s="24" t="s">
        <v>2616</v>
      </c>
      <c r="AE1108" s="6" t="s">
        <v>35</v>
      </c>
      <c r="AF1108" s="6"/>
      <c r="AG1108" s="6" t="s">
        <v>3042</v>
      </c>
    </row>
    <row r="1109" spans="1:33" ht="15" customHeight="1" x14ac:dyDescent="0.25">
      <c r="A1109" s="5">
        <v>47</v>
      </c>
      <c r="B1109" s="38">
        <v>44151</v>
      </c>
      <c r="C1109" s="38">
        <v>44130</v>
      </c>
      <c r="D1109" s="38">
        <v>44123</v>
      </c>
      <c r="E1109" s="37">
        <v>44151</v>
      </c>
      <c r="F1109" s="5">
        <v>5727</v>
      </c>
      <c r="G1109" s="5" t="s">
        <v>91</v>
      </c>
      <c r="H1109" s="5" t="s">
        <v>40</v>
      </c>
      <c r="I1109" s="5" t="s">
        <v>92</v>
      </c>
      <c r="J1109" s="21" t="s">
        <v>131</v>
      </c>
      <c r="K1109" s="21" t="s">
        <v>2685</v>
      </c>
      <c r="L1109" s="6" t="s">
        <v>2686</v>
      </c>
      <c r="M1109" s="5">
        <v>8</v>
      </c>
      <c r="N1109" s="5" t="s">
        <v>91</v>
      </c>
      <c r="O1109" s="5" t="s">
        <v>91</v>
      </c>
      <c r="P1109" s="5" t="s">
        <v>91</v>
      </c>
      <c r="Q1109" s="6" t="s">
        <v>2582</v>
      </c>
      <c r="R1109" s="6" t="s">
        <v>296</v>
      </c>
      <c r="S1109" s="6"/>
      <c r="T1109" s="6"/>
      <c r="U1109" s="5"/>
      <c r="V1109" s="6"/>
      <c r="W1109" s="6" t="s">
        <v>183</v>
      </c>
      <c r="X1109" s="6"/>
      <c r="Y1109" s="22"/>
      <c r="Z1109" s="6">
        <v>4</v>
      </c>
      <c r="AA1109" s="21"/>
      <c r="AB1109" s="23">
        <v>44124</v>
      </c>
      <c r="AC1109" s="21" t="s">
        <v>32</v>
      </c>
      <c r="AD1109" s="24" t="s">
        <v>2585</v>
      </c>
      <c r="AE1109" s="6" t="s">
        <v>35</v>
      </c>
      <c r="AF1109" s="6"/>
      <c r="AG1109" s="6" t="s">
        <v>3041</v>
      </c>
    </row>
    <row r="1110" spans="1:33" ht="7.5" customHeight="1" x14ac:dyDescent="0.25">
      <c r="A1110" s="27"/>
      <c r="B1110" s="39"/>
      <c r="C1110" s="39"/>
      <c r="D1110" s="39"/>
      <c r="E1110" s="28"/>
      <c r="F1110" s="27"/>
      <c r="G1110" s="27"/>
      <c r="H1110" s="27"/>
      <c r="I1110" s="27"/>
      <c r="J1110" s="30"/>
      <c r="K1110" s="30"/>
      <c r="L1110" s="29"/>
      <c r="M1110" s="27"/>
      <c r="N1110" s="27"/>
      <c r="O1110" s="27"/>
      <c r="P1110" s="27"/>
      <c r="Q1110" s="29"/>
      <c r="R1110" s="29"/>
      <c r="S1110" s="29"/>
      <c r="T1110" s="29"/>
      <c r="U1110" s="27"/>
      <c r="V1110" s="29"/>
      <c r="W1110" s="29"/>
      <c r="X1110" s="29"/>
      <c r="Y1110" s="31"/>
      <c r="Z1110" s="29"/>
      <c r="AA1110" s="30"/>
      <c r="AB1110" s="32"/>
      <c r="AC1110" s="30"/>
      <c r="AD1110" s="33"/>
      <c r="AE1110" s="29"/>
      <c r="AF1110" s="29"/>
      <c r="AG1110" s="29"/>
    </row>
    <row r="1111" spans="1:33" ht="15" customHeight="1" x14ac:dyDescent="0.25">
      <c r="A1111" s="5">
        <v>48</v>
      </c>
      <c r="B1111" s="38">
        <v>44160</v>
      </c>
      <c r="C1111" s="38">
        <v>44130</v>
      </c>
      <c r="D1111" s="38">
        <v>44123</v>
      </c>
      <c r="E1111" s="34">
        <v>44160</v>
      </c>
      <c r="F1111" s="5">
        <v>6739</v>
      </c>
      <c r="G1111" s="5" t="s">
        <v>91</v>
      </c>
      <c r="H1111" s="5" t="s">
        <v>43</v>
      </c>
      <c r="I1111" s="5" t="s">
        <v>92</v>
      </c>
      <c r="J1111" s="21" t="s">
        <v>191</v>
      </c>
      <c r="K1111" s="21" t="s">
        <v>2912</v>
      </c>
      <c r="L1111" s="6" t="s">
        <v>321</v>
      </c>
      <c r="M1111" s="5">
        <v>12</v>
      </c>
      <c r="N1111" s="5" t="s">
        <v>91</v>
      </c>
      <c r="O1111" s="5" t="s">
        <v>91</v>
      </c>
      <c r="P1111" s="5" t="s">
        <v>1215</v>
      </c>
      <c r="Q1111" s="6" t="s">
        <v>2546</v>
      </c>
      <c r="R1111" s="6" t="s">
        <v>194</v>
      </c>
      <c r="S1111" s="6"/>
      <c r="T1111" s="6"/>
      <c r="U1111" s="5"/>
      <c r="V1111" s="6"/>
      <c r="W1111" s="6" t="s">
        <v>347</v>
      </c>
      <c r="X1111" s="6"/>
      <c r="Y1111" s="22"/>
      <c r="Z1111" s="6">
        <v>5</v>
      </c>
      <c r="AA1111" s="21"/>
      <c r="AB1111" s="23">
        <v>44146</v>
      </c>
      <c r="AC1111" s="21" t="s">
        <v>32</v>
      </c>
      <c r="AD1111" s="24" t="s">
        <v>296</v>
      </c>
      <c r="AE1111" s="6" t="s">
        <v>31</v>
      </c>
      <c r="AF1111" s="6"/>
      <c r="AG1111" s="6" t="s">
        <v>3042</v>
      </c>
    </row>
    <row r="1112" spans="1:33" ht="7.5" customHeight="1" x14ac:dyDescent="0.25">
      <c r="A1112" s="27"/>
      <c r="B1112" s="39"/>
      <c r="C1112" s="39"/>
      <c r="D1112" s="39"/>
      <c r="E1112" s="28"/>
      <c r="F1112" s="27"/>
      <c r="G1112" s="27"/>
      <c r="H1112" s="27"/>
      <c r="I1112" s="27"/>
      <c r="J1112" s="30"/>
      <c r="K1112" s="30"/>
      <c r="L1112" s="29"/>
      <c r="M1112" s="27"/>
      <c r="N1112" s="27"/>
      <c r="O1112" s="27"/>
      <c r="P1112" s="27"/>
      <c r="Q1112" s="29"/>
      <c r="R1112" s="29"/>
      <c r="S1112" s="29"/>
      <c r="T1112" s="29"/>
      <c r="U1112" s="27"/>
      <c r="V1112" s="29"/>
      <c r="W1112" s="29"/>
      <c r="X1112" s="29"/>
      <c r="Y1112" s="31"/>
      <c r="Z1112" s="29"/>
      <c r="AA1112" s="30"/>
      <c r="AB1112" s="32"/>
      <c r="AC1112" s="30"/>
      <c r="AD1112" s="33"/>
      <c r="AE1112" s="29"/>
      <c r="AF1112" s="29"/>
      <c r="AG1112" s="29"/>
    </row>
    <row r="1113" spans="1:33" ht="15" customHeight="1" x14ac:dyDescent="0.25">
      <c r="A1113" s="5">
        <v>46</v>
      </c>
      <c r="B1113" s="38">
        <v>44144</v>
      </c>
      <c r="C1113" s="38">
        <v>44130</v>
      </c>
      <c r="D1113" s="38">
        <v>44123</v>
      </c>
      <c r="E1113" s="28">
        <v>44144</v>
      </c>
      <c r="F1113" s="5">
        <v>7805</v>
      </c>
      <c r="G1113" s="5" t="s">
        <v>91</v>
      </c>
      <c r="H1113" s="5" t="s">
        <v>43</v>
      </c>
      <c r="I1113" s="5" t="s">
        <v>92</v>
      </c>
      <c r="J1113" s="21" t="s">
        <v>214</v>
      </c>
      <c r="K1113" s="21" t="s">
        <v>2529</v>
      </c>
      <c r="L1113" s="6" t="s">
        <v>2530</v>
      </c>
      <c r="M1113" s="5">
        <v>14</v>
      </c>
      <c r="N1113" s="5" t="s">
        <v>91</v>
      </c>
      <c r="O1113" s="5" t="s">
        <v>91</v>
      </c>
      <c r="P1113" s="5" t="s">
        <v>1215</v>
      </c>
      <c r="Q1113" s="6"/>
      <c r="R1113" s="6" t="s">
        <v>223</v>
      </c>
      <c r="S1113" s="6"/>
      <c r="T1113" s="6"/>
      <c r="U1113" s="5"/>
      <c r="V1113" s="6"/>
      <c r="W1113" s="6" t="s">
        <v>2531</v>
      </c>
      <c r="X1113" s="6"/>
      <c r="Y1113" s="22"/>
      <c r="Z1113" s="6">
        <v>4.9800000000000004</v>
      </c>
      <c r="AA1113" s="21" t="s">
        <v>2532</v>
      </c>
      <c r="AB1113" s="23">
        <v>44119</v>
      </c>
      <c r="AC1113" s="21" t="s">
        <v>33</v>
      </c>
      <c r="AD1113" s="24" t="s">
        <v>2533</v>
      </c>
      <c r="AE1113" s="6" t="s">
        <v>31</v>
      </c>
      <c r="AF1113" s="6"/>
      <c r="AG1113" s="6" t="s">
        <v>3041</v>
      </c>
    </row>
    <row r="1114" spans="1:33" ht="15" customHeight="1" x14ac:dyDescent="0.25">
      <c r="A1114" s="5">
        <v>46</v>
      </c>
      <c r="B1114" s="38">
        <v>44144</v>
      </c>
      <c r="C1114" s="38">
        <v>44130</v>
      </c>
      <c r="D1114" s="38">
        <v>44123</v>
      </c>
      <c r="E1114" s="28">
        <v>44144</v>
      </c>
      <c r="F1114" s="5">
        <v>8787</v>
      </c>
      <c r="G1114" s="5" t="s">
        <v>91</v>
      </c>
      <c r="H1114" s="5" t="s">
        <v>40</v>
      </c>
      <c r="I1114" s="5" t="s">
        <v>92</v>
      </c>
      <c r="J1114" s="21" t="s">
        <v>147</v>
      </c>
      <c r="K1114" s="21" t="s">
        <v>2534</v>
      </c>
      <c r="L1114" s="6" t="s">
        <v>2244</v>
      </c>
      <c r="M1114" s="5">
        <v>9</v>
      </c>
      <c r="N1114" s="5" t="s">
        <v>91</v>
      </c>
      <c r="O1114" s="5" t="s">
        <v>91</v>
      </c>
      <c r="P1114" s="5" t="s">
        <v>91</v>
      </c>
      <c r="Q1114" s="6"/>
      <c r="R1114" s="6" t="s">
        <v>264</v>
      </c>
      <c r="S1114" s="6" t="s">
        <v>98</v>
      </c>
      <c r="T1114" s="6"/>
      <c r="U1114" s="5"/>
      <c r="V1114" s="6" t="s">
        <v>2250</v>
      </c>
      <c r="W1114" s="6" t="s">
        <v>2535</v>
      </c>
      <c r="X1114" s="6" t="s">
        <v>2248</v>
      </c>
      <c r="Y1114" s="22"/>
      <c r="Z1114" s="6"/>
      <c r="AA1114" s="21" t="s">
        <v>2536</v>
      </c>
      <c r="AB1114" s="23">
        <v>44126</v>
      </c>
      <c r="AC1114" s="21" t="s">
        <v>33</v>
      </c>
      <c r="AD1114" s="24">
        <v>6114.7</v>
      </c>
      <c r="AE1114" s="6" t="s">
        <v>31</v>
      </c>
      <c r="AF1114" s="6"/>
      <c r="AG1114" s="6" t="s">
        <v>3042</v>
      </c>
    </row>
    <row r="1115" spans="1:33" ht="15" customHeight="1" x14ac:dyDescent="0.25">
      <c r="A1115" s="5">
        <v>46</v>
      </c>
      <c r="B1115" s="38">
        <v>44144</v>
      </c>
      <c r="C1115" s="38">
        <v>44130</v>
      </c>
      <c r="D1115" s="38">
        <v>44123</v>
      </c>
      <c r="E1115" s="28">
        <v>44144</v>
      </c>
      <c r="F1115" s="5">
        <v>8788</v>
      </c>
      <c r="G1115" s="5" t="s">
        <v>91</v>
      </c>
      <c r="H1115" s="5" t="s">
        <v>40</v>
      </c>
      <c r="I1115" s="5" t="s">
        <v>92</v>
      </c>
      <c r="J1115" s="21" t="s">
        <v>147</v>
      </c>
      <c r="K1115" s="21" t="s">
        <v>2537</v>
      </c>
      <c r="L1115" s="6" t="s">
        <v>2244</v>
      </c>
      <c r="M1115" s="5">
        <v>9</v>
      </c>
      <c r="N1115" s="5" t="s">
        <v>91</v>
      </c>
      <c r="O1115" s="5" t="s">
        <v>91</v>
      </c>
      <c r="P1115" s="5" t="s">
        <v>91</v>
      </c>
      <c r="Q1115" s="6"/>
      <c r="R1115" s="6" t="s">
        <v>529</v>
      </c>
      <c r="S1115" s="6" t="s">
        <v>98</v>
      </c>
      <c r="T1115" s="6"/>
      <c r="U1115" s="5"/>
      <c r="V1115" s="6" t="s">
        <v>2250</v>
      </c>
      <c r="W1115" s="6" t="s">
        <v>2247</v>
      </c>
      <c r="X1115" s="6" t="s">
        <v>2248</v>
      </c>
      <c r="Y1115" s="22"/>
      <c r="Z1115" s="6"/>
      <c r="AA1115" s="21"/>
      <c r="AB1115" s="23">
        <v>44104</v>
      </c>
      <c r="AC1115" s="21" t="s">
        <v>33</v>
      </c>
      <c r="AD1115" s="24">
        <v>5853.59</v>
      </c>
      <c r="AE1115" s="6" t="s">
        <v>36</v>
      </c>
      <c r="AF1115" s="6"/>
      <c r="AG1115" s="6" t="s">
        <v>3039</v>
      </c>
    </row>
    <row r="1116" spans="1:33" ht="7.5" customHeight="1" x14ac:dyDescent="0.25">
      <c r="A1116" s="27"/>
      <c r="B1116" s="39"/>
      <c r="C1116" s="39"/>
      <c r="D1116" s="39"/>
      <c r="E1116" s="28"/>
      <c r="F1116" s="27"/>
      <c r="G1116" s="27"/>
      <c r="H1116" s="27"/>
      <c r="I1116" s="27"/>
      <c r="J1116" s="30"/>
      <c r="K1116" s="30"/>
      <c r="L1116" s="29"/>
      <c r="M1116" s="27"/>
      <c r="N1116" s="27"/>
      <c r="O1116" s="27"/>
      <c r="P1116" s="27"/>
      <c r="Q1116" s="29"/>
      <c r="R1116" s="29"/>
      <c r="S1116" s="29"/>
      <c r="T1116" s="29"/>
      <c r="U1116" s="27"/>
      <c r="V1116" s="29"/>
      <c r="W1116" s="29"/>
      <c r="X1116" s="29"/>
      <c r="Y1116" s="31"/>
      <c r="Z1116" s="29"/>
      <c r="AA1116" s="30"/>
      <c r="AB1116" s="32"/>
      <c r="AC1116" s="30"/>
      <c r="AD1116" s="33"/>
      <c r="AE1116" s="29"/>
      <c r="AF1116" s="29"/>
      <c r="AG1116" s="29"/>
    </row>
    <row r="1117" spans="1:33" ht="15" customHeight="1" x14ac:dyDescent="0.25">
      <c r="A1117" s="5">
        <v>48</v>
      </c>
      <c r="B1117" s="38">
        <v>44158</v>
      </c>
      <c r="C1117" s="38">
        <v>44130</v>
      </c>
      <c r="D1117" s="38">
        <v>44123</v>
      </c>
      <c r="E1117" s="34">
        <v>44158</v>
      </c>
      <c r="F1117" s="5">
        <v>8798</v>
      </c>
      <c r="G1117" s="5" t="s">
        <v>91</v>
      </c>
      <c r="H1117" s="5" t="s">
        <v>41</v>
      </c>
      <c r="I1117" s="5" t="s">
        <v>92</v>
      </c>
      <c r="J1117" s="21" t="s">
        <v>147</v>
      </c>
      <c r="K1117" s="21" t="s">
        <v>2839</v>
      </c>
      <c r="L1117" s="6" t="s">
        <v>2840</v>
      </c>
      <c r="M1117" s="5">
        <v>45</v>
      </c>
      <c r="N1117" s="5" t="s">
        <v>91</v>
      </c>
      <c r="O1117" s="5" t="s">
        <v>91</v>
      </c>
      <c r="P1117" s="5" t="s">
        <v>1215</v>
      </c>
      <c r="Q1117" s="6" t="s">
        <v>2582</v>
      </c>
      <c r="R1117" s="6" t="s">
        <v>264</v>
      </c>
      <c r="S1117" s="6" t="s">
        <v>2841</v>
      </c>
      <c r="T1117" s="6"/>
      <c r="U1117" s="5"/>
      <c r="V1117" s="6"/>
      <c r="W1117" s="6" t="s">
        <v>2842</v>
      </c>
      <c r="X1117" s="6" t="s">
        <v>2843</v>
      </c>
      <c r="Y1117" s="22"/>
      <c r="Z1117" s="6"/>
      <c r="AA1117" s="21"/>
      <c r="AB1117" s="23">
        <v>44104</v>
      </c>
      <c r="AC1117" s="21" t="s">
        <v>32</v>
      </c>
      <c r="AD1117" s="24" t="s">
        <v>2844</v>
      </c>
      <c r="AE1117" s="6" t="s">
        <v>31</v>
      </c>
      <c r="AF1117" s="6"/>
      <c r="AG1117" s="6" t="s">
        <v>3042</v>
      </c>
    </row>
    <row r="1118" spans="1:33" ht="7.5" customHeight="1" x14ac:dyDescent="0.25">
      <c r="A1118" s="27"/>
      <c r="B1118" s="39"/>
      <c r="C1118" s="39"/>
      <c r="D1118" s="39"/>
      <c r="E1118" s="28"/>
      <c r="F1118" s="27"/>
      <c r="G1118" s="27"/>
      <c r="H1118" s="27"/>
      <c r="I1118" s="27"/>
      <c r="J1118" s="30"/>
      <c r="K1118" s="30"/>
      <c r="L1118" s="29"/>
      <c r="M1118" s="27"/>
      <c r="N1118" s="27"/>
      <c r="O1118" s="27"/>
      <c r="P1118" s="27"/>
      <c r="Q1118" s="29"/>
      <c r="R1118" s="29"/>
      <c r="S1118" s="29"/>
      <c r="T1118" s="29"/>
      <c r="U1118" s="27"/>
      <c r="V1118" s="29"/>
      <c r="W1118" s="29"/>
      <c r="X1118" s="29"/>
      <c r="Y1118" s="31"/>
      <c r="Z1118" s="29"/>
      <c r="AA1118" s="30"/>
      <c r="AB1118" s="32"/>
      <c r="AC1118" s="30"/>
      <c r="AD1118" s="33"/>
      <c r="AE1118" s="29"/>
      <c r="AF1118" s="29"/>
      <c r="AG1118" s="29"/>
    </row>
    <row r="1119" spans="1:33" ht="15" customHeight="1" x14ac:dyDescent="0.25">
      <c r="A1119" s="5">
        <v>46</v>
      </c>
      <c r="B1119" s="38">
        <v>44146</v>
      </c>
      <c r="C1119" s="38">
        <v>44130</v>
      </c>
      <c r="D1119" s="38">
        <v>44106</v>
      </c>
      <c r="E1119" s="28">
        <v>44146</v>
      </c>
      <c r="F1119" s="5">
        <v>9712</v>
      </c>
      <c r="G1119" s="5" t="s">
        <v>91</v>
      </c>
      <c r="H1119" s="5" t="s">
        <v>43</v>
      </c>
      <c r="I1119" s="5" t="s">
        <v>92</v>
      </c>
      <c r="J1119" s="21" t="s">
        <v>159</v>
      </c>
      <c r="K1119" s="21">
        <v>258188</v>
      </c>
      <c r="L1119" s="6" t="s">
        <v>152</v>
      </c>
      <c r="M1119" s="5">
        <v>66</v>
      </c>
      <c r="N1119" s="5" t="s">
        <v>91</v>
      </c>
      <c r="O1119" s="5" t="s">
        <v>91</v>
      </c>
      <c r="P1119" s="5" t="s">
        <v>91</v>
      </c>
      <c r="Q1119" s="6"/>
      <c r="R1119" s="6" t="s">
        <v>106</v>
      </c>
      <c r="S1119" s="6"/>
      <c r="T1119" s="6"/>
      <c r="U1119" s="5"/>
      <c r="V1119" s="6" t="s">
        <v>2619</v>
      </c>
      <c r="W1119" s="6" t="s">
        <v>106</v>
      </c>
      <c r="X1119" s="6"/>
      <c r="Y1119" s="22"/>
      <c r="Z1119" s="6"/>
      <c r="AA1119" s="21" t="s">
        <v>2620</v>
      </c>
      <c r="AB1119" s="23">
        <v>44131</v>
      </c>
      <c r="AC1119" s="21" t="s">
        <v>30</v>
      </c>
      <c r="AD1119" s="24" t="s">
        <v>2621</v>
      </c>
      <c r="AE1119" s="6" t="s">
        <v>34</v>
      </c>
      <c r="AF1119" s="6"/>
      <c r="AG1119" s="6" t="s">
        <v>3041</v>
      </c>
    </row>
    <row r="1120" spans="1:33" ht="7.5" customHeight="1" x14ac:dyDescent="0.25">
      <c r="A1120" s="27"/>
      <c r="B1120" s="39"/>
      <c r="C1120" s="39"/>
      <c r="D1120" s="39"/>
      <c r="E1120" s="28"/>
      <c r="F1120" s="27"/>
      <c r="G1120" s="27"/>
      <c r="H1120" s="27"/>
      <c r="I1120" s="27"/>
      <c r="J1120" s="30"/>
      <c r="K1120" s="30"/>
      <c r="L1120" s="29"/>
      <c r="M1120" s="27"/>
      <c r="N1120" s="27"/>
      <c r="O1120" s="27"/>
      <c r="P1120" s="27"/>
      <c r="Q1120" s="29"/>
      <c r="R1120" s="29"/>
      <c r="S1120" s="29"/>
      <c r="T1120" s="29"/>
      <c r="U1120" s="27"/>
      <c r="V1120" s="29"/>
      <c r="W1120" s="29"/>
      <c r="X1120" s="29"/>
      <c r="Y1120" s="31"/>
      <c r="Z1120" s="29"/>
      <c r="AA1120" s="30"/>
      <c r="AB1120" s="32"/>
      <c r="AC1120" s="30"/>
      <c r="AD1120" s="33"/>
      <c r="AE1120" s="29"/>
      <c r="AF1120" s="29"/>
      <c r="AG1120" s="29"/>
    </row>
    <row r="1121" spans="1:33" ht="15" customHeight="1" x14ac:dyDescent="0.25">
      <c r="A1121" s="5">
        <v>40</v>
      </c>
      <c r="B1121" s="38">
        <v>44104</v>
      </c>
      <c r="C1121" s="38">
        <v>44131</v>
      </c>
      <c r="D1121" s="38">
        <v>44134</v>
      </c>
      <c r="E1121" s="36" t="s">
        <v>443</v>
      </c>
      <c r="F1121" s="5">
        <v>10687</v>
      </c>
      <c r="G1121" s="5" t="s">
        <v>91</v>
      </c>
      <c r="H1121" s="5" t="s">
        <v>41</v>
      </c>
      <c r="I1121" s="5" t="s">
        <v>92</v>
      </c>
      <c r="J1121" s="21" t="s">
        <v>170</v>
      </c>
      <c r="K1121" s="21" t="s">
        <v>249</v>
      </c>
      <c r="L1121" s="6" t="s">
        <v>250</v>
      </c>
      <c r="M1121" s="5">
        <v>30</v>
      </c>
      <c r="N1121" s="5" t="s">
        <v>91</v>
      </c>
      <c r="O1121" s="5" t="s">
        <v>91</v>
      </c>
      <c r="P1121" s="5" t="s">
        <v>91</v>
      </c>
      <c r="Q1121" s="6"/>
      <c r="R1121" s="6" t="s">
        <v>112</v>
      </c>
      <c r="S1121" s="6"/>
      <c r="T1121" s="6"/>
      <c r="U1121" s="5"/>
      <c r="V1121" s="6"/>
      <c r="W1121" s="6" t="s">
        <v>173</v>
      </c>
      <c r="X1121" s="6" t="s">
        <v>251</v>
      </c>
      <c r="Y1121" s="22"/>
      <c r="Z1121" s="6">
        <v>5.8</v>
      </c>
      <c r="AA1121" s="21" t="s">
        <v>252</v>
      </c>
      <c r="AB1121" s="23">
        <v>44074</v>
      </c>
      <c r="AC1121" s="21" t="s">
        <v>33</v>
      </c>
      <c r="AD1121" s="24" t="s">
        <v>253</v>
      </c>
      <c r="AE1121" s="6" t="s">
        <v>38</v>
      </c>
      <c r="AF1121" s="6"/>
      <c r="AG1121" s="6" t="s">
        <v>3041</v>
      </c>
    </row>
    <row r="1122" spans="1:33" ht="7.5" customHeight="1" x14ac:dyDescent="0.25">
      <c r="A1122" s="27"/>
      <c r="B1122" s="39"/>
      <c r="C1122" s="39"/>
      <c r="D1122" s="39"/>
      <c r="E1122" s="28"/>
      <c r="F1122" s="27"/>
      <c r="G1122" s="27"/>
      <c r="H1122" s="27"/>
      <c r="I1122" s="27"/>
      <c r="J1122" s="30"/>
      <c r="K1122" s="30"/>
      <c r="L1122" s="29"/>
      <c r="M1122" s="27"/>
      <c r="N1122" s="27"/>
      <c r="O1122" s="27"/>
      <c r="P1122" s="27"/>
      <c r="Q1122" s="29"/>
      <c r="R1122" s="29"/>
      <c r="S1122" s="29"/>
      <c r="T1122" s="29"/>
      <c r="U1122" s="27"/>
      <c r="V1122" s="29"/>
      <c r="W1122" s="29"/>
      <c r="X1122" s="29"/>
      <c r="Y1122" s="31"/>
      <c r="Z1122" s="29"/>
      <c r="AA1122" s="30"/>
      <c r="AB1122" s="32"/>
      <c r="AC1122" s="30"/>
      <c r="AD1122" s="33"/>
      <c r="AE1122" s="29"/>
      <c r="AF1122" s="29"/>
      <c r="AG1122" s="29"/>
    </row>
    <row r="1123" spans="1:33" ht="15" customHeight="1" x14ac:dyDescent="0.25">
      <c r="A1123" s="5">
        <v>46</v>
      </c>
      <c r="B1123" s="38">
        <v>44145</v>
      </c>
      <c r="C1123" s="38">
        <v>44131</v>
      </c>
      <c r="D1123" s="38">
        <v>44124</v>
      </c>
      <c r="E1123" s="28">
        <v>44145</v>
      </c>
      <c r="F1123" s="5">
        <v>3121</v>
      </c>
      <c r="G1123" s="5" t="s">
        <v>91</v>
      </c>
      <c r="H1123" s="5" t="s">
        <v>40</v>
      </c>
      <c r="I1123" s="5" t="s">
        <v>92</v>
      </c>
      <c r="J1123" s="21" t="s">
        <v>93</v>
      </c>
      <c r="K1123" s="21" t="s">
        <v>2555</v>
      </c>
      <c r="L1123" s="6" t="s">
        <v>2556</v>
      </c>
      <c r="M1123" s="5">
        <v>14</v>
      </c>
      <c r="N1123" s="5" t="s">
        <v>91</v>
      </c>
      <c r="O1123" s="5" t="s">
        <v>91</v>
      </c>
      <c r="P1123" s="5" t="s">
        <v>91</v>
      </c>
      <c r="Q1123" s="6" t="s">
        <v>2557</v>
      </c>
      <c r="R1123" s="6" t="s">
        <v>2558</v>
      </c>
      <c r="S1123" s="6" t="s">
        <v>98</v>
      </c>
      <c r="T1123" s="6"/>
      <c r="U1123" s="5"/>
      <c r="V1123" s="6" t="s">
        <v>2559</v>
      </c>
      <c r="W1123" s="6" t="s">
        <v>2560</v>
      </c>
      <c r="X1123" s="6" t="s">
        <v>2561</v>
      </c>
      <c r="Y1123" s="22"/>
      <c r="Z1123" s="6"/>
      <c r="AA1123" s="21" t="s">
        <v>2562</v>
      </c>
      <c r="AB1123" s="23">
        <v>44124</v>
      </c>
      <c r="AC1123" s="21" t="s">
        <v>30</v>
      </c>
      <c r="AD1123" s="24" t="s">
        <v>2563</v>
      </c>
      <c r="AE1123" s="6" t="s">
        <v>38</v>
      </c>
      <c r="AF1123" s="6"/>
      <c r="AG1123" s="6" t="s">
        <v>3039</v>
      </c>
    </row>
    <row r="1124" spans="1:33" ht="7.5" customHeight="1" x14ac:dyDescent="0.25">
      <c r="A1124" s="27"/>
      <c r="B1124" s="39"/>
      <c r="C1124" s="39"/>
      <c r="D1124" s="39"/>
      <c r="E1124" s="28"/>
      <c r="F1124" s="27"/>
      <c r="G1124" s="27"/>
      <c r="H1124" s="27"/>
      <c r="I1124" s="27"/>
      <c r="J1124" s="30"/>
      <c r="K1124" s="30"/>
      <c r="L1124" s="29"/>
      <c r="M1124" s="27"/>
      <c r="N1124" s="27"/>
      <c r="O1124" s="27"/>
      <c r="P1124" s="27"/>
      <c r="Q1124" s="29"/>
      <c r="R1124" s="29"/>
      <c r="S1124" s="29"/>
      <c r="T1124" s="29"/>
      <c r="U1124" s="27"/>
      <c r="V1124" s="29"/>
      <c r="W1124" s="29"/>
      <c r="X1124" s="29"/>
      <c r="Y1124" s="31"/>
      <c r="Z1124" s="29"/>
      <c r="AA1124" s="30"/>
      <c r="AB1124" s="32"/>
      <c r="AC1124" s="30"/>
      <c r="AD1124" s="33"/>
      <c r="AE1124" s="29"/>
      <c r="AF1124" s="29"/>
      <c r="AG1124" s="29"/>
    </row>
    <row r="1125" spans="1:33" ht="15" customHeight="1" x14ac:dyDescent="0.25">
      <c r="A1125" s="5">
        <v>45</v>
      </c>
      <c r="B1125" s="38">
        <v>44140</v>
      </c>
      <c r="C1125" s="38">
        <v>44131</v>
      </c>
      <c r="D1125" s="38">
        <v>44102</v>
      </c>
      <c r="E1125" s="36">
        <v>44140</v>
      </c>
      <c r="F1125" s="5">
        <v>4832</v>
      </c>
      <c r="G1125" s="5" t="s">
        <v>91</v>
      </c>
      <c r="H1125" s="5" t="s">
        <v>41</v>
      </c>
      <c r="I1125" s="5" t="s">
        <v>92</v>
      </c>
      <c r="J1125" s="21" t="s">
        <v>109</v>
      </c>
      <c r="K1125" s="21" t="s">
        <v>2463</v>
      </c>
      <c r="L1125" s="6" t="s">
        <v>2464</v>
      </c>
      <c r="M1125" s="5">
        <v>11</v>
      </c>
      <c r="N1125" s="5" t="s">
        <v>91</v>
      </c>
      <c r="O1125" s="5" t="s">
        <v>91</v>
      </c>
      <c r="P1125" s="5" t="s">
        <v>91</v>
      </c>
      <c r="Q1125" s="6" t="s">
        <v>105</v>
      </c>
      <c r="R1125" s="6" t="s">
        <v>123</v>
      </c>
      <c r="S1125" s="6"/>
      <c r="T1125" s="6"/>
      <c r="U1125" s="5"/>
      <c r="V1125" s="6"/>
      <c r="W1125" s="6" t="s">
        <v>2465</v>
      </c>
      <c r="X1125" s="6"/>
      <c r="Y1125" s="22"/>
      <c r="Z1125" s="6">
        <v>5.0999999999999996</v>
      </c>
      <c r="AA1125" s="21"/>
      <c r="AB1125" s="23">
        <v>44132</v>
      </c>
      <c r="AC1125" s="21" t="s">
        <v>30</v>
      </c>
      <c r="AD1125" s="24" t="s">
        <v>2466</v>
      </c>
      <c r="AE1125" s="6" t="s">
        <v>37</v>
      </c>
      <c r="AF1125" s="6"/>
      <c r="AG1125" s="6" t="s">
        <v>3040</v>
      </c>
    </row>
    <row r="1126" spans="1:33" ht="15" customHeight="1" x14ac:dyDescent="0.25">
      <c r="A1126" s="5">
        <v>45</v>
      </c>
      <c r="B1126" s="38">
        <v>44140</v>
      </c>
      <c r="C1126" s="38">
        <v>44131</v>
      </c>
      <c r="D1126" s="38">
        <v>44102</v>
      </c>
      <c r="E1126" s="36">
        <v>44140</v>
      </c>
      <c r="F1126" s="5">
        <v>4833</v>
      </c>
      <c r="G1126" s="5" t="s">
        <v>91</v>
      </c>
      <c r="H1126" s="5" t="s">
        <v>41</v>
      </c>
      <c r="I1126" s="5" t="s">
        <v>92</v>
      </c>
      <c r="J1126" s="21" t="s">
        <v>109</v>
      </c>
      <c r="K1126" s="21" t="s">
        <v>2467</v>
      </c>
      <c r="L1126" s="6" t="s">
        <v>2468</v>
      </c>
      <c r="M1126" s="5">
        <v>3</v>
      </c>
      <c r="N1126" s="5" t="s">
        <v>91</v>
      </c>
      <c r="O1126" s="5" t="s">
        <v>91</v>
      </c>
      <c r="P1126" s="5" t="s">
        <v>91</v>
      </c>
      <c r="Q1126" s="6" t="s">
        <v>105</v>
      </c>
      <c r="R1126" s="6" t="s">
        <v>123</v>
      </c>
      <c r="S1126" s="6"/>
      <c r="T1126" s="6"/>
      <c r="U1126" s="5"/>
      <c r="V1126" s="6" t="s">
        <v>2469</v>
      </c>
      <c r="W1126" s="6" t="s">
        <v>2470</v>
      </c>
      <c r="X1126" s="6"/>
      <c r="Y1126" s="22"/>
      <c r="Z1126" s="6">
        <v>0.9</v>
      </c>
      <c r="AA1126" s="21">
        <v>12987</v>
      </c>
      <c r="AB1126" s="23">
        <v>44084</v>
      </c>
      <c r="AC1126" s="21" t="s">
        <v>30</v>
      </c>
      <c r="AD1126" s="24" t="s">
        <v>2471</v>
      </c>
      <c r="AE1126" s="6" t="s">
        <v>36</v>
      </c>
      <c r="AF1126" s="6"/>
      <c r="AG1126" s="6" t="s">
        <v>3041</v>
      </c>
    </row>
    <row r="1127" spans="1:33" ht="7.5" customHeight="1" x14ac:dyDescent="0.25">
      <c r="A1127" s="27"/>
      <c r="B1127" s="39"/>
      <c r="C1127" s="39"/>
      <c r="D1127" s="39"/>
      <c r="E1127" s="28"/>
      <c r="F1127" s="27"/>
      <c r="G1127" s="27"/>
      <c r="H1127" s="27"/>
      <c r="I1127" s="27"/>
      <c r="J1127" s="30"/>
      <c r="K1127" s="30"/>
      <c r="L1127" s="29"/>
      <c r="M1127" s="27"/>
      <c r="N1127" s="27"/>
      <c r="O1127" s="27"/>
      <c r="P1127" s="27"/>
      <c r="Q1127" s="29"/>
      <c r="R1127" s="29"/>
      <c r="S1127" s="29"/>
      <c r="T1127" s="29"/>
      <c r="U1127" s="27"/>
      <c r="V1127" s="29"/>
      <c r="W1127" s="29"/>
      <c r="X1127" s="29"/>
      <c r="Y1127" s="31"/>
      <c r="Z1127" s="29"/>
      <c r="AA1127" s="30"/>
      <c r="AB1127" s="32"/>
      <c r="AC1127" s="30"/>
      <c r="AD1127" s="33"/>
      <c r="AE1127" s="29"/>
      <c r="AF1127" s="29"/>
      <c r="AG1127" s="29"/>
    </row>
    <row r="1128" spans="1:33" ht="15" customHeight="1" x14ac:dyDescent="0.25">
      <c r="A1128" s="5">
        <v>46</v>
      </c>
      <c r="B1128" s="38">
        <v>44145</v>
      </c>
      <c r="C1128" s="38">
        <v>44131</v>
      </c>
      <c r="D1128" s="38">
        <v>44124</v>
      </c>
      <c r="E1128" s="28">
        <v>44145</v>
      </c>
      <c r="F1128" s="5">
        <v>4854</v>
      </c>
      <c r="G1128" s="5" t="s">
        <v>91</v>
      </c>
      <c r="H1128" s="5" t="s">
        <v>40</v>
      </c>
      <c r="I1128" s="5" t="s">
        <v>92</v>
      </c>
      <c r="J1128" s="21" t="s">
        <v>109</v>
      </c>
      <c r="K1128" s="21" t="s">
        <v>2564</v>
      </c>
      <c r="L1128" s="6" t="s">
        <v>2565</v>
      </c>
      <c r="M1128" s="5">
        <v>8</v>
      </c>
      <c r="N1128" s="5" t="s">
        <v>91</v>
      </c>
      <c r="O1128" s="5" t="s">
        <v>91</v>
      </c>
      <c r="P1128" s="5" t="s">
        <v>91</v>
      </c>
      <c r="Q1128" s="6"/>
      <c r="R1128" s="6" t="s">
        <v>112</v>
      </c>
      <c r="S1128" s="6"/>
      <c r="T1128" s="6"/>
      <c r="U1128" s="5"/>
      <c r="V1128" s="6"/>
      <c r="W1128" s="6" t="s">
        <v>2566</v>
      </c>
      <c r="X1128" s="6"/>
      <c r="Y1128" s="22"/>
      <c r="Z1128" s="6">
        <v>2.7</v>
      </c>
      <c r="AA1128" s="21">
        <v>10208</v>
      </c>
      <c r="AB1128" s="23">
        <v>44120</v>
      </c>
      <c r="AC1128" s="21" t="s">
        <v>30</v>
      </c>
      <c r="AD1128" s="24" t="s">
        <v>2567</v>
      </c>
      <c r="AE1128" s="6" t="s">
        <v>31</v>
      </c>
      <c r="AF1128" s="6"/>
      <c r="AG1128" s="6" t="s">
        <v>3040</v>
      </c>
    </row>
    <row r="1129" spans="1:33" ht="7.5" customHeight="1" x14ac:dyDescent="0.25">
      <c r="A1129" s="27"/>
      <c r="B1129" s="39"/>
      <c r="C1129" s="39"/>
      <c r="D1129" s="39"/>
      <c r="E1129" s="28"/>
      <c r="F1129" s="27"/>
      <c r="G1129" s="27"/>
      <c r="H1129" s="27"/>
      <c r="I1129" s="27"/>
      <c r="J1129" s="30"/>
      <c r="K1129" s="30"/>
      <c r="L1129" s="29"/>
      <c r="M1129" s="27"/>
      <c r="N1129" s="27"/>
      <c r="O1129" s="27"/>
      <c r="P1129" s="27"/>
      <c r="Q1129" s="29"/>
      <c r="R1129" s="29"/>
      <c r="S1129" s="29"/>
      <c r="T1129" s="29"/>
      <c r="U1129" s="27"/>
      <c r="V1129" s="29"/>
      <c r="W1129" s="29"/>
      <c r="X1129" s="29"/>
      <c r="Y1129" s="31"/>
      <c r="Z1129" s="29"/>
      <c r="AA1129" s="30"/>
      <c r="AB1129" s="32"/>
      <c r="AC1129" s="30"/>
      <c r="AD1129" s="33"/>
      <c r="AE1129" s="29"/>
      <c r="AF1129" s="29"/>
      <c r="AG1129" s="29"/>
    </row>
    <row r="1130" spans="1:33" ht="15" customHeight="1" x14ac:dyDescent="0.25">
      <c r="A1130" s="5">
        <v>45</v>
      </c>
      <c r="B1130" s="38">
        <v>44140</v>
      </c>
      <c r="C1130" s="38">
        <v>44131</v>
      </c>
      <c r="D1130" s="38">
        <v>44118</v>
      </c>
      <c r="E1130" s="36">
        <v>44140</v>
      </c>
      <c r="F1130" s="5">
        <v>6745</v>
      </c>
      <c r="G1130" s="5" t="s">
        <v>91</v>
      </c>
      <c r="H1130" s="5" t="s">
        <v>41</v>
      </c>
      <c r="I1130" s="5" t="s">
        <v>92</v>
      </c>
      <c r="J1130" s="21" t="s">
        <v>191</v>
      </c>
      <c r="K1130" s="21" t="s">
        <v>2472</v>
      </c>
      <c r="L1130" s="6" t="s">
        <v>95</v>
      </c>
      <c r="M1130" s="5">
        <v>20</v>
      </c>
      <c r="N1130" s="5" t="s">
        <v>91</v>
      </c>
      <c r="O1130" s="5" t="s">
        <v>91</v>
      </c>
      <c r="P1130" s="5" t="s">
        <v>91</v>
      </c>
      <c r="Q1130" s="6" t="s">
        <v>105</v>
      </c>
      <c r="R1130" s="6" t="s">
        <v>194</v>
      </c>
      <c r="S1130" s="6"/>
      <c r="T1130" s="6"/>
      <c r="U1130" s="5"/>
      <c r="V1130" s="6"/>
      <c r="W1130" s="6" t="s">
        <v>347</v>
      </c>
      <c r="X1130" s="6"/>
      <c r="Y1130" s="22"/>
      <c r="Z1130" s="6">
        <v>3</v>
      </c>
      <c r="AA1130" s="21">
        <v>12987</v>
      </c>
      <c r="AB1130" s="23">
        <v>44084</v>
      </c>
      <c r="AC1130" s="21" t="s">
        <v>30</v>
      </c>
      <c r="AD1130" s="24">
        <v>860.06</v>
      </c>
      <c r="AE1130" s="6" t="s">
        <v>38</v>
      </c>
      <c r="AF1130" s="6"/>
      <c r="AG1130" s="6" t="s">
        <v>3042</v>
      </c>
    </row>
    <row r="1131" spans="1:33" ht="7.5" customHeight="1" x14ac:dyDescent="0.25">
      <c r="A1131" s="27"/>
      <c r="B1131" s="39"/>
      <c r="C1131" s="39"/>
      <c r="D1131" s="39"/>
      <c r="E1131" s="28"/>
      <c r="F1131" s="27"/>
      <c r="G1131" s="27"/>
      <c r="H1131" s="27"/>
      <c r="I1131" s="27"/>
      <c r="J1131" s="30"/>
      <c r="K1131" s="30"/>
      <c r="L1131" s="29"/>
      <c r="M1131" s="27"/>
      <c r="N1131" s="27"/>
      <c r="O1131" s="27"/>
      <c r="P1131" s="27"/>
      <c r="Q1131" s="29"/>
      <c r="R1131" s="29"/>
      <c r="S1131" s="29"/>
      <c r="T1131" s="29"/>
      <c r="U1131" s="27"/>
      <c r="V1131" s="29"/>
      <c r="W1131" s="29"/>
      <c r="X1131" s="29"/>
      <c r="Y1131" s="31"/>
      <c r="Z1131" s="29"/>
      <c r="AA1131" s="30"/>
      <c r="AB1131" s="32"/>
      <c r="AC1131" s="30"/>
      <c r="AD1131" s="33"/>
      <c r="AE1131" s="29"/>
      <c r="AF1131" s="29"/>
      <c r="AG1131" s="29"/>
    </row>
    <row r="1132" spans="1:33" ht="15" customHeight="1" x14ac:dyDescent="0.25">
      <c r="A1132" s="5">
        <v>46</v>
      </c>
      <c r="B1132" s="38">
        <v>44147</v>
      </c>
      <c r="C1132" s="38">
        <v>44131</v>
      </c>
      <c r="D1132" s="38">
        <v>44120</v>
      </c>
      <c r="E1132" s="28">
        <v>44147</v>
      </c>
      <c r="F1132" s="5">
        <v>6747</v>
      </c>
      <c r="G1132" s="5" t="s">
        <v>91</v>
      </c>
      <c r="H1132" s="5" t="s">
        <v>40</v>
      </c>
      <c r="I1132" s="5" t="s">
        <v>92</v>
      </c>
      <c r="J1132" s="21" t="s">
        <v>191</v>
      </c>
      <c r="K1132" s="21" t="s">
        <v>2627</v>
      </c>
      <c r="L1132" s="6" t="s">
        <v>95</v>
      </c>
      <c r="M1132" s="5">
        <v>12</v>
      </c>
      <c r="N1132" s="5" t="s">
        <v>91</v>
      </c>
      <c r="O1132" s="5" t="s">
        <v>91</v>
      </c>
      <c r="P1132" s="5" t="s">
        <v>91</v>
      </c>
      <c r="Q1132" s="6" t="s">
        <v>2557</v>
      </c>
      <c r="R1132" s="6" t="s">
        <v>194</v>
      </c>
      <c r="S1132" s="6"/>
      <c r="T1132" s="6"/>
      <c r="U1132" s="5"/>
      <c r="V1132" s="6"/>
      <c r="W1132" s="6" t="s">
        <v>2628</v>
      </c>
      <c r="X1132" s="6"/>
      <c r="Y1132" s="22"/>
      <c r="Z1132" s="6">
        <v>4.5</v>
      </c>
      <c r="AA1132" s="21"/>
      <c r="AB1132" s="23">
        <v>44112</v>
      </c>
      <c r="AC1132" s="21" t="s">
        <v>32</v>
      </c>
      <c r="AD1132" s="24" t="s">
        <v>2629</v>
      </c>
      <c r="AE1132" s="6" t="s">
        <v>38</v>
      </c>
      <c r="AF1132" s="6"/>
      <c r="AG1132" s="6" t="s">
        <v>3040</v>
      </c>
    </row>
    <row r="1133" spans="1:33" ht="7.5" customHeight="1" x14ac:dyDescent="0.25">
      <c r="A1133" s="27"/>
      <c r="B1133" s="39"/>
      <c r="C1133" s="39"/>
      <c r="D1133" s="39"/>
      <c r="E1133" s="28"/>
      <c r="F1133" s="27"/>
      <c r="G1133" s="27"/>
      <c r="H1133" s="27"/>
      <c r="I1133" s="27"/>
      <c r="J1133" s="30"/>
      <c r="K1133" s="30"/>
      <c r="L1133" s="29"/>
      <c r="M1133" s="27"/>
      <c r="N1133" s="27"/>
      <c r="O1133" s="27"/>
      <c r="P1133" s="27"/>
      <c r="Q1133" s="29"/>
      <c r="R1133" s="29"/>
      <c r="S1133" s="29"/>
      <c r="T1133" s="29"/>
      <c r="U1133" s="27"/>
      <c r="V1133" s="29"/>
      <c r="W1133" s="29"/>
      <c r="X1133" s="29"/>
      <c r="Y1133" s="31"/>
      <c r="Z1133" s="29"/>
      <c r="AA1133" s="30"/>
      <c r="AB1133" s="32"/>
      <c r="AC1133" s="30"/>
      <c r="AD1133" s="33"/>
      <c r="AE1133" s="29"/>
      <c r="AF1133" s="29"/>
      <c r="AG1133" s="29"/>
    </row>
    <row r="1134" spans="1:33" ht="15" customHeight="1" x14ac:dyDescent="0.25">
      <c r="A1134" s="5">
        <v>45</v>
      </c>
      <c r="B1134" s="38">
        <v>44140</v>
      </c>
      <c r="C1134" s="38">
        <v>44131</v>
      </c>
      <c r="D1134" s="38">
        <v>44117</v>
      </c>
      <c r="E1134" s="36">
        <v>44140</v>
      </c>
      <c r="F1134" s="5">
        <v>8785</v>
      </c>
      <c r="G1134" s="5" t="s">
        <v>91</v>
      </c>
      <c r="H1134" s="5" t="s">
        <v>41</v>
      </c>
      <c r="I1134" s="5" t="s">
        <v>92</v>
      </c>
      <c r="J1134" s="21" t="s">
        <v>147</v>
      </c>
      <c r="K1134" s="21" t="s">
        <v>2473</v>
      </c>
      <c r="L1134" s="6" t="s">
        <v>2244</v>
      </c>
      <c r="M1134" s="5">
        <v>9</v>
      </c>
      <c r="N1134" s="5" t="s">
        <v>91</v>
      </c>
      <c r="O1134" s="5" t="s">
        <v>91</v>
      </c>
      <c r="P1134" s="5" t="s">
        <v>91</v>
      </c>
      <c r="Q1134" s="6"/>
      <c r="R1134" s="6" t="s">
        <v>529</v>
      </c>
      <c r="S1134" s="6" t="s">
        <v>244</v>
      </c>
      <c r="T1134" s="6"/>
      <c r="U1134" s="5"/>
      <c r="V1134" s="6" t="s">
        <v>2250</v>
      </c>
      <c r="W1134" s="6" t="s">
        <v>2247</v>
      </c>
      <c r="X1134" s="6" t="s">
        <v>2248</v>
      </c>
      <c r="Y1134" s="22"/>
      <c r="Z1134" s="6"/>
      <c r="AA1134" s="21"/>
      <c r="AB1134" s="23">
        <v>44114</v>
      </c>
      <c r="AC1134" s="21" t="s">
        <v>32</v>
      </c>
      <c r="AD1134" s="24" t="s">
        <v>2474</v>
      </c>
      <c r="AE1134" s="6" t="s">
        <v>31</v>
      </c>
      <c r="AF1134" s="6"/>
      <c r="AG1134" s="6" t="s">
        <v>3039</v>
      </c>
    </row>
    <row r="1135" spans="1:33" ht="15" customHeight="1" x14ac:dyDescent="0.25">
      <c r="A1135" s="5">
        <v>45</v>
      </c>
      <c r="B1135" s="38">
        <v>44140</v>
      </c>
      <c r="C1135" s="38">
        <v>44131</v>
      </c>
      <c r="D1135" s="38">
        <v>44117</v>
      </c>
      <c r="E1135" s="36">
        <v>44140</v>
      </c>
      <c r="F1135" s="5">
        <v>8786</v>
      </c>
      <c r="G1135" s="5" t="s">
        <v>91</v>
      </c>
      <c r="H1135" s="5" t="s">
        <v>41</v>
      </c>
      <c r="I1135" s="5" t="s">
        <v>92</v>
      </c>
      <c r="J1135" s="21" t="s">
        <v>147</v>
      </c>
      <c r="K1135" s="21" t="s">
        <v>2475</v>
      </c>
      <c r="L1135" s="6" t="s">
        <v>2244</v>
      </c>
      <c r="M1135" s="5">
        <v>9</v>
      </c>
      <c r="N1135" s="5" t="s">
        <v>91</v>
      </c>
      <c r="O1135" s="5" t="s">
        <v>91</v>
      </c>
      <c r="P1135" s="5" t="s">
        <v>91</v>
      </c>
      <c r="Q1135" s="6"/>
      <c r="R1135" s="6" t="s">
        <v>529</v>
      </c>
      <c r="S1135" s="6" t="s">
        <v>244</v>
      </c>
      <c r="T1135" s="6"/>
      <c r="U1135" s="5"/>
      <c r="V1135" s="6"/>
      <c r="W1135" s="6" t="s">
        <v>2247</v>
      </c>
      <c r="X1135" s="6" t="s">
        <v>2248</v>
      </c>
      <c r="Y1135" s="22"/>
      <c r="Z1135" s="6"/>
      <c r="AA1135" s="21"/>
      <c r="AB1135" s="23">
        <v>44104</v>
      </c>
      <c r="AC1135" s="21" t="s">
        <v>32</v>
      </c>
      <c r="AD1135" s="24">
        <v>5853.59</v>
      </c>
      <c r="AE1135" s="6" t="s">
        <v>35</v>
      </c>
      <c r="AF1135" s="6"/>
      <c r="AG1135" s="6" t="s">
        <v>3040</v>
      </c>
    </row>
    <row r="1136" spans="1:33" ht="7.5" customHeight="1" x14ac:dyDescent="0.25">
      <c r="A1136" s="27"/>
      <c r="B1136" s="39"/>
      <c r="C1136" s="39"/>
      <c r="D1136" s="39"/>
      <c r="E1136" s="28"/>
      <c r="F1136" s="27"/>
      <c r="G1136" s="27"/>
      <c r="H1136" s="27"/>
      <c r="I1136" s="27"/>
      <c r="J1136" s="30"/>
      <c r="K1136" s="30"/>
      <c r="L1136" s="29"/>
      <c r="M1136" s="27"/>
      <c r="N1136" s="27"/>
      <c r="O1136" s="27"/>
      <c r="P1136" s="27"/>
      <c r="Q1136" s="29"/>
      <c r="R1136" s="29"/>
      <c r="S1136" s="29"/>
      <c r="T1136" s="29"/>
      <c r="U1136" s="27"/>
      <c r="V1136" s="29"/>
      <c r="W1136" s="29"/>
      <c r="X1136" s="29"/>
      <c r="Y1136" s="31"/>
      <c r="Z1136" s="29"/>
      <c r="AA1136" s="30"/>
      <c r="AB1136" s="32"/>
      <c r="AC1136" s="30"/>
      <c r="AD1136" s="33"/>
      <c r="AE1136" s="29"/>
      <c r="AF1136" s="29"/>
      <c r="AG1136" s="29"/>
    </row>
    <row r="1137" spans="1:33" ht="15" customHeight="1" x14ac:dyDescent="0.25">
      <c r="A1137" s="5">
        <v>46</v>
      </c>
      <c r="B1137" s="38">
        <v>44147</v>
      </c>
      <c r="C1137" s="38">
        <v>44131</v>
      </c>
      <c r="D1137" s="38">
        <v>44111</v>
      </c>
      <c r="E1137" s="28">
        <v>44147</v>
      </c>
      <c r="F1137" s="5">
        <v>8777</v>
      </c>
      <c r="G1137" s="5" t="s">
        <v>91</v>
      </c>
      <c r="H1137" s="5" t="s">
        <v>41</v>
      </c>
      <c r="I1137" s="5" t="s">
        <v>92</v>
      </c>
      <c r="J1137" s="21" t="s">
        <v>147</v>
      </c>
      <c r="K1137" s="21" t="s">
        <v>2632</v>
      </c>
      <c r="L1137" s="6" t="s">
        <v>2633</v>
      </c>
      <c r="M1137" s="5">
        <v>18</v>
      </c>
      <c r="N1137" s="5" t="s">
        <v>91</v>
      </c>
      <c r="O1137" s="5" t="s">
        <v>91</v>
      </c>
      <c r="P1137" s="5" t="s">
        <v>91</v>
      </c>
      <c r="Q1137" s="6" t="s">
        <v>2582</v>
      </c>
      <c r="R1137" s="6" t="s">
        <v>2258</v>
      </c>
      <c r="S1137" s="6" t="s">
        <v>1264</v>
      </c>
      <c r="T1137" s="6" t="s">
        <v>2634</v>
      </c>
      <c r="U1137" s="5"/>
      <c r="V1137" s="6"/>
      <c r="W1137" s="6" t="s">
        <v>2635</v>
      </c>
      <c r="X1137" s="6"/>
      <c r="Y1137" s="22"/>
      <c r="Z1137" s="6"/>
      <c r="AA1137" s="21"/>
      <c r="AB1137" s="23">
        <v>44125</v>
      </c>
      <c r="AC1137" s="21" t="s">
        <v>32</v>
      </c>
      <c r="AD1137" s="24" t="s">
        <v>2636</v>
      </c>
      <c r="AE1137" s="6" t="s">
        <v>37</v>
      </c>
      <c r="AF1137" s="6"/>
      <c r="AG1137" s="6" t="s">
        <v>3042</v>
      </c>
    </row>
    <row r="1138" spans="1:33" ht="7.5" customHeight="1" x14ac:dyDescent="0.25">
      <c r="A1138" s="27"/>
      <c r="B1138" s="39"/>
      <c r="C1138" s="39"/>
      <c r="D1138" s="39"/>
      <c r="E1138" s="28"/>
      <c r="F1138" s="27"/>
      <c r="G1138" s="27"/>
      <c r="H1138" s="27"/>
      <c r="I1138" s="27"/>
      <c r="J1138" s="30"/>
      <c r="K1138" s="30"/>
      <c r="L1138" s="29"/>
      <c r="M1138" s="27"/>
      <c r="N1138" s="27"/>
      <c r="O1138" s="27"/>
      <c r="P1138" s="27"/>
      <c r="Q1138" s="29"/>
      <c r="R1138" s="29"/>
      <c r="S1138" s="29"/>
      <c r="T1138" s="29"/>
      <c r="U1138" s="27"/>
      <c r="V1138" s="29"/>
      <c r="W1138" s="29"/>
      <c r="X1138" s="29"/>
      <c r="Y1138" s="31"/>
      <c r="Z1138" s="29"/>
      <c r="AA1138" s="30"/>
      <c r="AB1138" s="32"/>
      <c r="AC1138" s="30"/>
      <c r="AD1138" s="33"/>
      <c r="AE1138" s="29"/>
      <c r="AF1138" s="29"/>
      <c r="AG1138" s="29"/>
    </row>
    <row r="1139" spans="1:33" ht="15" customHeight="1" x14ac:dyDescent="0.25">
      <c r="A1139" s="5">
        <v>45</v>
      </c>
      <c r="B1139" s="38">
        <v>44141</v>
      </c>
      <c r="C1139" s="38">
        <v>44132</v>
      </c>
      <c r="D1139" s="38">
        <v>44116</v>
      </c>
      <c r="E1139" s="36">
        <v>44141</v>
      </c>
      <c r="F1139" s="5">
        <v>1619</v>
      </c>
      <c r="G1139" s="5" t="s">
        <v>91</v>
      </c>
      <c r="H1139" s="5" t="s">
        <v>41</v>
      </c>
      <c r="I1139" s="5" t="s">
        <v>92</v>
      </c>
      <c r="J1139" s="21" t="s">
        <v>372</v>
      </c>
      <c r="K1139" s="21" t="s">
        <v>2476</v>
      </c>
      <c r="L1139" s="6" t="s">
        <v>2477</v>
      </c>
      <c r="M1139" s="5">
        <v>30</v>
      </c>
      <c r="N1139" s="5" t="s">
        <v>91</v>
      </c>
      <c r="O1139" s="5" t="s">
        <v>91</v>
      </c>
      <c r="P1139" s="5" t="s">
        <v>1215</v>
      </c>
      <c r="Q1139" s="6" t="s">
        <v>153</v>
      </c>
      <c r="R1139" s="6" t="s">
        <v>529</v>
      </c>
      <c r="S1139" s="6" t="s">
        <v>2139</v>
      </c>
      <c r="T1139" s="6" t="s">
        <v>2478</v>
      </c>
      <c r="U1139" s="5"/>
      <c r="V1139" s="6"/>
      <c r="W1139" s="6" t="s">
        <v>2479</v>
      </c>
      <c r="X1139" s="6" t="s">
        <v>2480</v>
      </c>
      <c r="Y1139" s="22"/>
      <c r="Z1139" s="6"/>
      <c r="AA1139" s="21"/>
      <c r="AB1139" s="23"/>
      <c r="AC1139" s="21" t="s">
        <v>32</v>
      </c>
      <c r="AD1139" s="24"/>
      <c r="AE1139" s="6" t="s">
        <v>31</v>
      </c>
      <c r="AF1139" s="6"/>
      <c r="AG1139" s="6" t="s">
        <v>3041</v>
      </c>
    </row>
    <row r="1140" spans="1:33" ht="7.5" customHeight="1" x14ac:dyDescent="0.25">
      <c r="A1140" s="27"/>
      <c r="B1140" s="39"/>
      <c r="C1140" s="39"/>
      <c r="D1140" s="39"/>
      <c r="E1140" s="28"/>
      <c r="F1140" s="27"/>
      <c r="G1140" s="27"/>
      <c r="H1140" s="27"/>
      <c r="I1140" s="27"/>
      <c r="J1140" s="30"/>
      <c r="K1140" s="30"/>
      <c r="L1140" s="29"/>
      <c r="M1140" s="27"/>
      <c r="N1140" s="27"/>
      <c r="O1140" s="27"/>
      <c r="P1140" s="27"/>
      <c r="Q1140" s="29"/>
      <c r="R1140" s="29"/>
      <c r="S1140" s="29"/>
      <c r="T1140" s="29"/>
      <c r="U1140" s="27"/>
      <c r="V1140" s="29"/>
      <c r="W1140" s="29"/>
      <c r="X1140" s="29"/>
      <c r="Y1140" s="31"/>
      <c r="Z1140" s="29"/>
      <c r="AA1140" s="30"/>
      <c r="AB1140" s="32"/>
      <c r="AC1140" s="30"/>
      <c r="AD1140" s="33"/>
      <c r="AE1140" s="29"/>
      <c r="AF1140" s="29"/>
      <c r="AG1140" s="29"/>
    </row>
    <row r="1141" spans="1:33" ht="15" customHeight="1" x14ac:dyDescent="0.25">
      <c r="A1141" s="5">
        <v>46</v>
      </c>
      <c r="B1141" s="38">
        <v>44146</v>
      </c>
      <c r="C1141" s="38">
        <v>44132</v>
      </c>
      <c r="D1141" s="38">
        <v>44125</v>
      </c>
      <c r="E1141" s="28">
        <v>44146</v>
      </c>
      <c r="F1141" s="5">
        <v>10722</v>
      </c>
      <c r="G1141" s="5" t="s">
        <v>91</v>
      </c>
      <c r="H1141" s="5" t="s">
        <v>40</v>
      </c>
      <c r="I1141" s="5" t="s">
        <v>92</v>
      </c>
      <c r="J1141" s="21" t="s">
        <v>170</v>
      </c>
      <c r="K1141" s="21" t="s">
        <v>2577</v>
      </c>
      <c r="L1141" s="6" t="s">
        <v>2578</v>
      </c>
      <c r="M1141" s="5">
        <v>0</v>
      </c>
      <c r="N1141" s="5" t="s">
        <v>91</v>
      </c>
      <c r="O1141" s="5" t="s">
        <v>91</v>
      </c>
      <c r="P1141" s="5" t="s">
        <v>91</v>
      </c>
      <c r="Q1141" s="6" t="s">
        <v>86</v>
      </c>
      <c r="R1141" s="6" t="s">
        <v>112</v>
      </c>
      <c r="S1141" s="6"/>
      <c r="T1141" s="6"/>
      <c r="U1141" s="5"/>
      <c r="V1141" s="6"/>
      <c r="W1141" s="6" t="s">
        <v>2285</v>
      </c>
      <c r="X1141" s="6"/>
      <c r="Y1141" s="22"/>
      <c r="Z1141" s="6"/>
      <c r="AA1141" s="21"/>
      <c r="AB1141" s="23">
        <v>44123</v>
      </c>
      <c r="AC1141" s="21" t="s">
        <v>30</v>
      </c>
      <c r="AD1141" s="24" t="s">
        <v>2579</v>
      </c>
      <c r="AE1141" s="6" t="s">
        <v>35</v>
      </c>
      <c r="AF1141" s="6"/>
      <c r="AG1141" s="6" t="s">
        <v>3039</v>
      </c>
    </row>
    <row r="1142" spans="1:33" ht="7.5" customHeight="1" x14ac:dyDescent="0.25">
      <c r="A1142" s="27"/>
      <c r="B1142" s="39"/>
      <c r="C1142" s="39"/>
      <c r="D1142" s="39"/>
      <c r="E1142" s="28"/>
      <c r="F1142" s="27"/>
      <c r="G1142" s="27"/>
      <c r="H1142" s="27"/>
      <c r="I1142" s="27"/>
      <c r="J1142" s="30"/>
      <c r="K1142" s="30"/>
      <c r="L1142" s="29"/>
      <c r="M1142" s="27"/>
      <c r="N1142" s="27"/>
      <c r="O1142" s="27"/>
      <c r="P1142" s="27"/>
      <c r="Q1142" s="29"/>
      <c r="R1142" s="29"/>
      <c r="S1142" s="29"/>
      <c r="T1142" s="29"/>
      <c r="U1142" s="27"/>
      <c r="V1142" s="29"/>
      <c r="W1142" s="29"/>
      <c r="X1142" s="29"/>
      <c r="Y1142" s="31"/>
      <c r="Z1142" s="29"/>
      <c r="AA1142" s="30"/>
      <c r="AB1142" s="32"/>
      <c r="AC1142" s="30"/>
      <c r="AD1142" s="33"/>
      <c r="AE1142" s="29"/>
      <c r="AF1142" s="29"/>
      <c r="AG1142" s="29"/>
    </row>
    <row r="1143" spans="1:33" ht="15" customHeight="1" x14ac:dyDescent="0.25">
      <c r="A1143" s="5">
        <v>45</v>
      </c>
      <c r="B1143" s="38">
        <v>44141</v>
      </c>
      <c r="C1143" s="38">
        <v>44132</v>
      </c>
      <c r="D1143" s="38">
        <v>44123</v>
      </c>
      <c r="E1143" s="36">
        <v>44141</v>
      </c>
      <c r="F1143" s="5">
        <v>3137</v>
      </c>
      <c r="G1143" s="5" t="s">
        <v>91</v>
      </c>
      <c r="H1143" s="5" t="s">
        <v>43</v>
      </c>
      <c r="I1143" s="5" t="s">
        <v>92</v>
      </c>
      <c r="J1143" s="21" t="s">
        <v>93</v>
      </c>
      <c r="K1143" s="21" t="s">
        <v>2481</v>
      </c>
      <c r="L1143" s="6" t="s">
        <v>2227</v>
      </c>
      <c r="M1143" s="5">
        <v>3</v>
      </c>
      <c r="N1143" s="5" t="s">
        <v>91</v>
      </c>
      <c r="O1143" s="5" t="s">
        <v>91</v>
      </c>
      <c r="P1143" s="5" t="s">
        <v>91</v>
      </c>
      <c r="Q1143" s="6"/>
      <c r="R1143" s="6" t="s">
        <v>107</v>
      </c>
      <c r="S1143" s="6"/>
      <c r="T1143" s="6"/>
      <c r="U1143" s="5"/>
      <c r="V1143" s="6"/>
      <c r="W1143" s="6" t="s">
        <v>107</v>
      </c>
      <c r="X1143" s="6"/>
      <c r="Y1143" s="22"/>
      <c r="Z1143" s="6"/>
      <c r="AA1143" s="21" t="s">
        <v>2482</v>
      </c>
      <c r="AB1143" s="23">
        <v>44062</v>
      </c>
      <c r="AC1143" s="21" t="s">
        <v>33</v>
      </c>
      <c r="AD1143" s="24">
        <v>22479.25</v>
      </c>
      <c r="AE1143" s="6" t="s">
        <v>31</v>
      </c>
      <c r="AF1143" s="6"/>
      <c r="AG1143" s="6" t="s">
        <v>3042</v>
      </c>
    </row>
    <row r="1144" spans="1:33" ht="7.5" customHeight="1" x14ac:dyDescent="0.25">
      <c r="A1144" s="27"/>
      <c r="B1144" s="39"/>
      <c r="C1144" s="39"/>
      <c r="D1144" s="39"/>
      <c r="E1144" s="28"/>
      <c r="F1144" s="27"/>
      <c r="G1144" s="27"/>
      <c r="H1144" s="27"/>
      <c r="I1144" s="27"/>
      <c r="J1144" s="30"/>
      <c r="K1144" s="30"/>
      <c r="L1144" s="29"/>
      <c r="M1144" s="27"/>
      <c r="N1144" s="27"/>
      <c r="O1144" s="27"/>
      <c r="P1144" s="27"/>
      <c r="Q1144" s="29"/>
      <c r="R1144" s="29"/>
      <c r="S1144" s="29"/>
      <c r="T1144" s="29"/>
      <c r="U1144" s="27"/>
      <c r="V1144" s="29"/>
      <c r="W1144" s="29"/>
      <c r="X1144" s="29"/>
      <c r="Y1144" s="31"/>
      <c r="Z1144" s="29"/>
      <c r="AA1144" s="30"/>
      <c r="AB1144" s="32"/>
      <c r="AC1144" s="30"/>
      <c r="AD1144" s="33"/>
      <c r="AE1144" s="29"/>
      <c r="AF1144" s="29"/>
      <c r="AG1144" s="29"/>
    </row>
    <row r="1145" spans="1:33" ht="15" customHeight="1" x14ac:dyDescent="0.25">
      <c r="A1145" s="5">
        <v>46</v>
      </c>
      <c r="B1145" s="38">
        <v>44146</v>
      </c>
      <c r="C1145" s="38">
        <v>44132</v>
      </c>
      <c r="D1145" s="38">
        <v>44125</v>
      </c>
      <c r="E1145" s="28">
        <v>44146</v>
      </c>
      <c r="F1145" s="5">
        <v>4855</v>
      </c>
      <c r="G1145" s="5" t="s">
        <v>91</v>
      </c>
      <c r="H1145" s="5" t="s">
        <v>43</v>
      </c>
      <c r="I1145" s="5" t="s">
        <v>92</v>
      </c>
      <c r="J1145" s="21" t="s">
        <v>109</v>
      </c>
      <c r="K1145" s="21" t="s">
        <v>2594</v>
      </c>
      <c r="L1145" s="6" t="s">
        <v>1894</v>
      </c>
      <c r="M1145" s="5">
        <v>7</v>
      </c>
      <c r="N1145" s="5" t="s">
        <v>91</v>
      </c>
      <c r="O1145" s="5" t="s">
        <v>91</v>
      </c>
      <c r="P1145" s="5" t="s">
        <v>91</v>
      </c>
      <c r="Q1145" s="6" t="s">
        <v>86</v>
      </c>
      <c r="R1145" s="6" t="s">
        <v>112</v>
      </c>
      <c r="S1145" s="6"/>
      <c r="T1145" s="6"/>
      <c r="U1145" s="5"/>
      <c r="V1145" s="6"/>
      <c r="W1145" s="6" t="s">
        <v>2595</v>
      </c>
      <c r="X1145" s="6"/>
      <c r="Y1145" s="22"/>
      <c r="Z1145" s="6">
        <v>1.6</v>
      </c>
      <c r="AA1145" s="21">
        <v>15324</v>
      </c>
      <c r="AB1145" s="23">
        <v>44071</v>
      </c>
      <c r="AC1145" s="21" t="s">
        <v>30</v>
      </c>
      <c r="AD1145" s="24" t="s">
        <v>115</v>
      </c>
      <c r="AE1145" s="6" t="s">
        <v>38</v>
      </c>
      <c r="AF1145" s="6"/>
      <c r="AG1145" s="6" t="s">
        <v>3041</v>
      </c>
    </row>
    <row r="1146" spans="1:33" ht="15" customHeight="1" x14ac:dyDescent="0.25">
      <c r="A1146" s="5">
        <v>46</v>
      </c>
      <c r="B1146" s="38">
        <v>44146</v>
      </c>
      <c r="C1146" s="38">
        <v>44132</v>
      </c>
      <c r="D1146" s="38">
        <v>44125</v>
      </c>
      <c r="E1146" s="28">
        <v>44146</v>
      </c>
      <c r="F1146" s="5">
        <v>5742</v>
      </c>
      <c r="G1146" s="5" t="s">
        <v>91</v>
      </c>
      <c r="H1146" s="5" t="s">
        <v>40</v>
      </c>
      <c r="I1146" s="5" t="s">
        <v>92</v>
      </c>
      <c r="J1146" s="21" t="s">
        <v>131</v>
      </c>
      <c r="K1146" s="21" t="s">
        <v>2602</v>
      </c>
      <c r="L1146" s="6" t="s">
        <v>1870</v>
      </c>
      <c r="M1146" s="5">
        <v>2</v>
      </c>
      <c r="N1146" s="5" t="s">
        <v>91</v>
      </c>
      <c r="O1146" s="5" t="s">
        <v>91</v>
      </c>
      <c r="P1146" s="5" t="s">
        <v>91</v>
      </c>
      <c r="Q1146" s="6" t="s">
        <v>86</v>
      </c>
      <c r="R1146" s="6" t="s">
        <v>2368</v>
      </c>
      <c r="S1146" s="6"/>
      <c r="T1146" s="6"/>
      <c r="U1146" s="5"/>
      <c r="V1146" s="6"/>
      <c r="W1146" s="6" t="s">
        <v>2603</v>
      </c>
      <c r="X1146" s="6"/>
      <c r="Y1146" s="22"/>
      <c r="Z1146" s="6"/>
      <c r="AA1146" s="21"/>
      <c r="AB1146" s="23">
        <v>44126</v>
      </c>
      <c r="AC1146" s="21" t="s">
        <v>32</v>
      </c>
      <c r="AD1146" s="24" t="s">
        <v>2604</v>
      </c>
      <c r="AE1146" s="6" t="s">
        <v>31</v>
      </c>
      <c r="AF1146" s="6"/>
      <c r="AG1146" s="6" t="s">
        <v>3040</v>
      </c>
    </row>
    <row r="1147" spans="1:33" ht="15" customHeight="1" x14ac:dyDescent="0.25">
      <c r="A1147" s="5">
        <v>46</v>
      </c>
      <c r="B1147" s="38">
        <v>44146</v>
      </c>
      <c r="C1147" s="38">
        <v>44132</v>
      </c>
      <c r="D1147" s="38">
        <v>44125</v>
      </c>
      <c r="E1147" s="28">
        <v>44146</v>
      </c>
      <c r="F1147" s="5">
        <v>7810</v>
      </c>
      <c r="G1147" s="5" t="s">
        <v>91</v>
      </c>
      <c r="H1147" s="5" t="s">
        <v>43</v>
      </c>
      <c r="I1147" s="5" t="s">
        <v>92</v>
      </c>
      <c r="J1147" s="21" t="s">
        <v>214</v>
      </c>
      <c r="K1147" s="21" t="s">
        <v>2613</v>
      </c>
      <c r="L1147" s="6" t="s">
        <v>2614</v>
      </c>
      <c r="M1147" s="5">
        <v>0</v>
      </c>
      <c r="N1147" s="5" t="s">
        <v>91</v>
      </c>
      <c r="O1147" s="5" t="s">
        <v>91</v>
      </c>
      <c r="P1147" s="5" t="s">
        <v>91</v>
      </c>
      <c r="Q1147" s="6" t="s">
        <v>86</v>
      </c>
      <c r="R1147" s="6" t="s">
        <v>217</v>
      </c>
      <c r="S1147" s="6"/>
      <c r="T1147" s="6"/>
      <c r="U1147" s="5"/>
      <c r="V1147" s="6"/>
      <c r="W1147" s="6" t="s">
        <v>224</v>
      </c>
      <c r="X1147" s="6"/>
      <c r="Y1147" s="22"/>
      <c r="Z1147" s="6"/>
      <c r="AA1147" s="21" t="s">
        <v>2615</v>
      </c>
      <c r="AB1147" s="23">
        <v>44119</v>
      </c>
      <c r="AC1147" s="21" t="s">
        <v>30</v>
      </c>
      <c r="AD1147" s="24" t="s">
        <v>2616</v>
      </c>
      <c r="AE1147" s="6" t="s">
        <v>31</v>
      </c>
      <c r="AF1147" s="6"/>
      <c r="AG1147" s="6" t="s">
        <v>3039</v>
      </c>
    </row>
    <row r="1148" spans="1:33" ht="15" customHeight="1" x14ac:dyDescent="0.25">
      <c r="A1148" s="5">
        <v>46</v>
      </c>
      <c r="B1148" s="38">
        <v>44146</v>
      </c>
      <c r="C1148" s="38">
        <v>44132</v>
      </c>
      <c r="D1148" s="38">
        <v>44125</v>
      </c>
      <c r="E1148" s="28">
        <v>44146</v>
      </c>
      <c r="F1148" s="5">
        <v>7812</v>
      </c>
      <c r="G1148" s="5" t="s">
        <v>91</v>
      </c>
      <c r="H1148" s="5" t="s">
        <v>43</v>
      </c>
      <c r="I1148" s="5" t="s">
        <v>92</v>
      </c>
      <c r="J1148" s="21" t="s">
        <v>214</v>
      </c>
      <c r="K1148" s="21" t="s">
        <v>2617</v>
      </c>
      <c r="L1148" s="6" t="s">
        <v>578</v>
      </c>
      <c r="M1148" s="5">
        <v>0</v>
      </c>
      <c r="N1148" s="5" t="s">
        <v>91</v>
      </c>
      <c r="O1148" s="5" t="s">
        <v>91</v>
      </c>
      <c r="P1148" s="5" t="s">
        <v>91</v>
      </c>
      <c r="Q1148" s="6"/>
      <c r="R1148" s="6" t="s">
        <v>217</v>
      </c>
      <c r="S1148" s="6"/>
      <c r="T1148" s="6"/>
      <c r="U1148" s="5"/>
      <c r="V1148" s="6"/>
      <c r="W1148" s="6" t="s">
        <v>224</v>
      </c>
      <c r="X1148" s="6"/>
      <c r="Y1148" s="22"/>
      <c r="Z1148" s="6"/>
      <c r="AA1148" s="21"/>
      <c r="AB1148" s="23">
        <v>44131</v>
      </c>
      <c r="AC1148" s="21" t="s">
        <v>30</v>
      </c>
      <c r="AD1148" s="24" t="s">
        <v>2618</v>
      </c>
      <c r="AE1148" s="6" t="s">
        <v>35</v>
      </c>
      <c r="AF1148" s="6"/>
      <c r="AG1148" s="6" t="s">
        <v>3040</v>
      </c>
    </row>
    <row r="1149" spans="1:33" ht="7.5" customHeight="1" x14ac:dyDescent="0.25">
      <c r="A1149" s="27"/>
      <c r="B1149" s="39"/>
      <c r="C1149" s="39"/>
      <c r="D1149" s="39"/>
      <c r="E1149" s="28"/>
      <c r="F1149" s="27"/>
      <c r="G1149" s="27"/>
      <c r="H1149" s="27"/>
      <c r="I1149" s="27"/>
      <c r="J1149" s="30"/>
      <c r="K1149" s="30"/>
      <c r="L1149" s="29"/>
      <c r="M1149" s="27"/>
      <c r="N1149" s="27"/>
      <c r="O1149" s="27"/>
      <c r="P1149" s="27"/>
      <c r="Q1149" s="29"/>
      <c r="R1149" s="29"/>
      <c r="S1149" s="29"/>
      <c r="T1149" s="29"/>
      <c r="U1149" s="27"/>
      <c r="V1149" s="29"/>
      <c r="W1149" s="29"/>
      <c r="X1149" s="29"/>
      <c r="Y1149" s="31"/>
      <c r="Z1149" s="29"/>
      <c r="AA1149" s="30"/>
      <c r="AB1149" s="32"/>
      <c r="AC1149" s="30"/>
      <c r="AD1149" s="33"/>
      <c r="AE1149" s="29"/>
      <c r="AF1149" s="29"/>
      <c r="AG1149" s="29"/>
    </row>
    <row r="1150" spans="1:33" ht="15" customHeight="1" x14ac:dyDescent="0.25">
      <c r="A1150" s="5">
        <v>46</v>
      </c>
      <c r="B1150" s="38">
        <v>44144</v>
      </c>
      <c r="C1150" s="38">
        <v>44133</v>
      </c>
      <c r="D1150" s="38">
        <v>44111</v>
      </c>
      <c r="E1150" s="28">
        <v>44144</v>
      </c>
      <c r="F1150" s="5">
        <v>3110</v>
      </c>
      <c r="G1150" s="5" t="s">
        <v>91</v>
      </c>
      <c r="H1150" s="5" t="s">
        <v>41</v>
      </c>
      <c r="I1150" s="5" t="s">
        <v>92</v>
      </c>
      <c r="J1150" s="21" t="s">
        <v>93</v>
      </c>
      <c r="K1150" s="21" t="s">
        <v>2496</v>
      </c>
      <c r="L1150" s="6" t="s">
        <v>122</v>
      </c>
      <c r="M1150" s="5">
        <v>16</v>
      </c>
      <c r="N1150" s="5" t="s">
        <v>91</v>
      </c>
      <c r="O1150" s="5" t="s">
        <v>91</v>
      </c>
      <c r="P1150" s="5" t="s">
        <v>91</v>
      </c>
      <c r="Q1150" s="6" t="s">
        <v>105</v>
      </c>
      <c r="R1150" s="6" t="s">
        <v>112</v>
      </c>
      <c r="S1150" s="6" t="s">
        <v>516</v>
      </c>
      <c r="T1150" s="6"/>
      <c r="U1150" s="5"/>
      <c r="V1150" s="6"/>
      <c r="W1150" s="6" t="s">
        <v>2497</v>
      </c>
      <c r="X1150" s="6"/>
      <c r="Y1150" s="22"/>
      <c r="Z1150" s="6"/>
      <c r="AA1150" s="21" t="s">
        <v>2157</v>
      </c>
      <c r="AB1150" s="23">
        <v>44131</v>
      </c>
      <c r="AC1150" s="21" t="s">
        <v>30</v>
      </c>
      <c r="AD1150" s="24" t="s">
        <v>2498</v>
      </c>
      <c r="AE1150" s="6" t="s">
        <v>36</v>
      </c>
      <c r="AF1150" s="6"/>
      <c r="AG1150" s="6" t="s">
        <v>3040</v>
      </c>
    </row>
    <row r="1151" spans="1:33" ht="15" customHeight="1" x14ac:dyDescent="0.25">
      <c r="A1151" s="5">
        <v>46</v>
      </c>
      <c r="B1151" s="38">
        <v>44144</v>
      </c>
      <c r="C1151" s="38">
        <v>44133</v>
      </c>
      <c r="D1151" s="38">
        <v>44102</v>
      </c>
      <c r="E1151" s="28">
        <v>44144</v>
      </c>
      <c r="F1151" s="5">
        <v>4832</v>
      </c>
      <c r="G1151" s="5" t="s">
        <v>91</v>
      </c>
      <c r="H1151" s="5" t="s">
        <v>41</v>
      </c>
      <c r="I1151" s="5" t="s">
        <v>92</v>
      </c>
      <c r="J1151" s="21" t="s">
        <v>109</v>
      </c>
      <c r="K1151" s="21" t="s">
        <v>2463</v>
      </c>
      <c r="L1151" s="6" t="s">
        <v>2464</v>
      </c>
      <c r="M1151" s="5">
        <v>0</v>
      </c>
      <c r="N1151" s="5" t="s">
        <v>91</v>
      </c>
      <c r="O1151" s="5" t="s">
        <v>91</v>
      </c>
      <c r="P1151" s="5" t="s">
        <v>91</v>
      </c>
      <c r="Q1151" s="6" t="s">
        <v>105</v>
      </c>
      <c r="R1151" s="6" t="s">
        <v>123</v>
      </c>
      <c r="S1151" s="6"/>
      <c r="T1151" s="6"/>
      <c r="U1151" s="5"/>
      <c r="V1151" s="6"/>
      <c r="W1151" s="6" t="s">
        <v>2465</v>
      </c>
      <c r="X1151" s="6"/>
      <c r="Y1151" s="22"/>
      <c r="Z1151" s="6">
        <v>0</v>
      </c>
      <c r="AA1151" s="21">
        <v>15480</v>
      </c>
      <c r="AB1151" s="23">
        <v>44118</v>
      </c>
      <c r="AC1151" s="21" t="s">
        <v>30</v>
      </c>
      <c r="AD1151" s="24" t="s">
        <v>2512</v>
      </c>
      <c r="AE1151" s="6" t="s">
        <v>38</v>
      </c>
      <c r="AF1151" s="6"/>
      <c r="AG1151" s="6" t="s">
        <v>3040</v>
      </c>
    </row>
    <row r="1152" spans="1:33" ht="15" customHeight="1" x14ac:dyDescent="0.25">
      <c r="A1152" s="5">
        <v>46</v>
      </c>
      <c r="B1152" s="38">
        <v>44144</v>
      </c>
      <c r="C1152" s="38">
        <v>44133</v>
      </c>
      <c r="D1152" s="38">
        <v>44116</v>
      </c>
      <c r="E1152" s="28">
        <v>44144</v>
      </c>
      <c r="F1152" s="5">
        <v>5729</v>
      </c>
      <c r="G1152" s="5" t="s">
        <v>91</v>
      </c>
      <c r="H1152" s="5" t="s">
        <v>43</v>
      </c>
      <c r="I1152" s="5" t="s">
        <v>92</v>
      </c>
      <c r="J1152" s="21" t="s">
        <v>131</v>
      </c>
      <c r="K1152" s="21" t="s">
        <v>2513</v>
      </c>
      <c r="L1152" s="6" t="s">
        <v>216</v>
      </c>
      <c r="M1152" s="5">
        <v>1</v>
      </c>
      <c r="N1152" s="5" t="s">
        <v>91</v>
      </c>
      <c r="O1152" s="5" t="s">
        <v>91</v>
      </c>
      <c r="P1152" s="5" t="s">
        <v>91</v>
      </c>
      <c r="Q1152" s="6"/>
      <c r="R1152" s="6" t="s">
        <v>296</v>
      </c>
      <c r="S1152" s="6"/>
      <c r="T1152" s="6"/>
      <c r="U1152" s="5"/>
      <c r="V1152" s="6"/>
      <c r="W1152" s="6" t="s">
        <v>429</v>
      </c>
      <c r="X1152" s="6"/>
      <c r="Y1152" s="22"/>
      <c r="Z1152" s="6"/>
      <c r="AA1152" s="21"/>
      <c r="AB1152" s="23">
        <v>44043</v>
      </c>
      <c r="AC1152" s="21" t="s">
        <v>30</v>
      </c>
      <c r="AD1152" s="24" t="s">
        <v>115</v>
      </c>
      <c r="AE1152" s="6" t="s">
        <v>36</v>
      </c>
      <c r="AF1152" s="6"/>
      <c r="AG1152" s="6" t="s">
        <v>3042</v>
      </c>
    </row>
    <row r="1153" spans="1:33" ht="15" customHeight="1" x14ac:dyDescent="0.25">
      <c r="A1153" s="5">
        <v>46</v>
      </c>
      <c r="B1153" s="38">
        <v>44144</v>
      </c>
      <c r="C1153" s="38">
        <v>44133</v>
      </c>
      <c r="D1153" s="38">
        <v>44104</v>
      </c>
      <c r="E1153" s="28">
        <v>44144</v>
      </c>
      <c r="F1153" s="5">
        <v>5691</v>
      </c>
      <c r="G1153" s="5" t="s">
        <v>91</v>
      </c>
      <c r="H1153" s="5" t="s">
        <v>41</v>
      </c>
      <c r="I1153" s="5" t="s">
        <v>92</v>
      </c>
      <c r="J1153" s="21" t="s">
        <v>131</v>
      </c>
      <c r="K1153" s="21" t="s">
        <v>1700</v>
      </c>
      <c r="L1153" s="6" t="s">
        <v>2177</v>
      </c>
      <c r="M1153" s="5">
        <v>0</v>
      </c>
      <c r="N1153" s="5" t="s">
        <v>91</v>
      </c>
      <c r="O1153" s="5" t="s">
        <v>91</v>
      </c>
      <c r="P1153" s="5" t="s">
        <v>91</v>
      </c>
      <c r="Q1153" s="6" t="s">
        <v>105</v>
      </c>
      <c r="R1153" s="6"/>
      <c r="S1153" s="6"/>
      <c r="T1153" s="6"/>
      <c r="U1153" s="5"/>
      <c r="V1153" s="6"/>
      <c r="W1153" s="6" t="s">
        <v>502</v>
      </c>
      <c r="X1153" s="6"/>
      <c r="Y1153" s="22"/>
      <c r="Z1153" s="6"/>
      <c r="AA1153" s="21"/>
      <c r="AB1153" s="23">
        <v>44127</v>
      </c>
      <c r="AC1153" s="21" t="s">
        <v>33</v>
      </c>
      <c r="AD1153" s="24" t="s">
        <v>296</v>
      </c>
      <c r="AE1153" s="6" t="s">
        <v>31</v>
      </c>
      <c r="AF1153" s="6"/>
      <c r="AG1153" s="6" t="s">
        <v>3039</v>
      </c>
    </row>
    <row r="1154" spans="1:33" ht="15" customHeight="1" x14ac:dyDescent="0.25">
      <c r="A1154" s="5">
        <v>46</v>
      </c>
      <c r="B1154" s="38">
        <v>44144</v>
      </c>
      <c r="C1154" s="38">
        <v>44133</v>
      </c>
      <c r="D1154" s="38">
        <v>44118</v>
      </c>
      <c r="E1154" s="28">
        <v>44144</v>
      </c>
      <c r="F1154" s="5">
        <v>5713</v>
      </c>
      <c r="G1154" s="5" t="s">
        <v>91</v>
      </c>
      <c r="H1154" s="5" t="s">
        <v>43</v>
      </c>
      <c r="I1154" s="5" t="s">
        <v>92</v>
      </c>
      <c r="J1154" s="21" t="s">
        <v>131</v>
      </c>
      <c r="K1154" s="21" t="s">
        <v>2514</v>
      </c>
      <c r="L1154" s="6" t="s">
        <v>2515</v>
      </c>
      <c r="M1154" s="5">
        <v>12</v>
      </c>
      <c r="N1154" s="5" t="s">
        <v>91</v>
      </c>
      <c r="O1154" s="5" t="s">
        <v>91</v>
      </c>
      <c r="P1154" s="5" t="s">
        <v>91</v>
      </c>
      <c r="Q1154" s="6"/>
      <c r="R1154" s="6" t="s">
        <v>2106</v>
      </c>
      <c r="S1154" s="6"/>
      <c r="T1154" s="6"/>
      <c r="U1154" s="5"/>
      <c r="V1154" s="6"/>
      <c r="W1154" s="6" t="s">
        <v>794</v>
      </c>
      <c r="X1154" s="6"/>
      <c r="Y1154" s="22"/>
      <c r="Z1154" s="6">
        <v>4.5</v>
      </c>
      <c r="AA1154" s="21"/>
      <c r="AB1154" s="23">
        <v>44106</v>
      </c>
      <c r="AC1154" s="21" t="s">
        <v>32</v>
      </c>
      <c r="AD1154" s="24" t="s">
        <v>2516</v>
      </c>
      <c r="AE1154" s="6" t="s">
        <v>31</v>
      </c>
      <c r="AF1154" s="6"/>
      <c r="AG1154" s="6" t="s">
        <v>3040</v>
      </c>
    </row>
    <row r="1155" spans="1:33" ht="15" customHeight="1" x14ac:dyDescent="0.25">
      <c r="A1155" s="5">
        <v>46</v>
      </c>
      <c r="B1155" s="38">
        <v>44144</v>
      </c>
      <c r="C1155" s="38">
        <v>44133</v>
      </c>
      <c r="D1155" s="38">
        <v>44118</v>
      </c>
      <c r="E1155" s="28">
        <v>44144</v>
      </c>
      <c r="F1155" s="5">
        <v>5714</v>
      </c>
      <c r="G1155" s="5" t="s">
        <v>91</v>
      </c>
      <c r="H1155" s="5" t="s">
        <v>43</v>
      </c>
      <c r="I1155" s="5" t="s">
        <v>92</v>
      </c>
      <c r="J1155" s="21" t="s">
        <v>131</v>
      </c>
      <c r="K1155" s="21" t="s">
        <v>2517</v>
      </c>
      <c r="L1155" s="6" t="s">
        <v>2518</v>
      </c>
      <c r="M1155" s="5">
        <v>13</v>
      </c>
      <c r="N1155" s="5" t="s">
        <v>91</v>
      </c>
      <c r="O1155" s="5" t="s">
        <v>91</v>
      </c>
      <c r="P1155" s="5" t="s">
        <v>91</v>
      </c>
      <c r="Q1155" s="6"/>
      <c r="R1155" s="6" t="s">
        <v>2106</v>
      </c>
      <c r="S1155" s="6"/>
      <c r="T1155" s="6"/>
      <c r="U1155" s="5"/>
      <c r="V1155" s="6"/>
      <c r="W1155" s="6" t="s">
        <v>794</v>
      </c>
      <c r="X1155" s="6"/>
      <c r="Y1155" s="22"/>
      <c r="Z1155" s="6">
        <v>4</v>
      </c>
      <c r="AA1155" s="21"/>
      <c r="AB1155" s="23">
        <v>44123</v>
      </c>
      <c r="AC1155" s="21" t="s">
        <v>30</v>
      </c>
      <c r="AD1155" s="24" t="s">
        <v>2519</v>
      </c>
      <c r="AE1155" s="6" t="s">
        <v>37</v>
      </c>
      <c r="AF1155" s="6"/>
      <c r="AG1155" s="6" t="s">
        <v>3041</v>
      </c>
    </row>
    <row r="1156" spans="1:33" ht="15" customHeight="1" x14ac:dyDescent="0.25">
      <c r="A1156" s="5">
        <v>46</v>
      </c>
      <c r="B1156" s="38">
        <v>44144</v>
      </c>
      <c r="C1156" s="38">
        <v>44133</v>
      </c>
      <c r="D1156" s="38">
        <v>44118</v>
      </c>
      <c r="E1156" s="28">
        <v>44144</v>
      </c>
      <c r="F1156" s="5">
        <v>5699</v>
      </c>
      <c r="G1156" s="5" t="s">
        <v>91</v>
      </c>
      <c r="H1156" s="5" t="s">
        <v>41</v>
      </c>
      <c r="I1156" s="5" t="s">
        <v>92</v>
      </c>
      <c r="J1156" s="21" t="s">
        <v>131</v>
      </c>
      <c r="K1156" s="21" t="s">
        <v>2520</v>
      </c>
      <c r="L1156" s="6" t="s">
        <v>95</v>
      </c>
      <c r="M1156" s="5">
        <v>12</v>
      </c>
      <c r="N1156" s="5" t="s">
        <v>91</v>
      </c>
      <c r="O1156" s="5" t="s">
        <v>91</v>
      </c>
      <c r="P1156" s="5" t="s">
        <v>91</v>
      </c>
      <c r="Q1156" s="6"/>
      <c r="R1156" s="6" t="s">
        <v>2106</v>
      </c>
      <c r="S1156" s="6"/>
      <c r="T1156" s="6"/>
      <c r="U1156" s="5"/>
      <c r="V1156" s="6"/>
      <c r="W1156" s="6" t="s">
        <v>186</v>
      </c>
      <c r="X1156" s="6"/>
      <c r="Y1156" s="22"/>
      <c r="Z1156" s="6">
        <v>5</v>
      </c>
      <c r="AA1156" s="21"/>
      <c r="AB1156" s="23">
        <v>44123</v>
      </c>
      <c r="AC1156" s="21" t="s">
        <v>30</v>
      </c>
      <c r="AD1156" s="24" t="s">
        <v>2521</v>
      </c>
      <c r="AE1156" s="6" t="s">
        <v>34</v>
      </c>
      <c r="AF1156" s="6"/>
      <c r="AG1156" s="6" t="s">
        <v>3042</v>
      </c>
    </row>
    <row r="1157" spans="1:33" ht="7.5" customHeight="1" x14ac:dyDescent="0.25">
      <c r="A1157" s="27"/>
      <c r="B1157" s="39"/>
      <c r="C1157" s="39"/>
      <c r="D1157" s="39"/>
      <c r="E1157" s="28"/>
      <c r="F1157" s="27"/>
      <c r="G1157" s="27"/>
      <c r="H1157" s="27"/>
      <c r="I1157" s="27"/>
      <c r="J1157" s="30"/>
      <c r="K1157" s="30"/>
      <c r="L1157" s="29"/>
      <c r="M1157" s="27"/>
      <c r="N1157" s="27"/>
      <c r="O1157" s="27"/>
      <c r="P1157" s="27"/>
      <c r="Q1157" s="29"/>
      <c r="R1157" s="29"/>
      <c r="S1157" s="29"/>
      <c r="T1157" s="29"/>
      <c r="U1157" s="27"/>
      <c r="V1157" s="29"/>
      <c r="W1157" s="29"/>
      <c r="X1157" s="29"/>
      <c r="Y1157" s="31"/>
      <c r="Z1157" s="29"/>
      <c r="AA1157" s="30"/>
      <c r="AB1157" s="32"/>
      <c r="AC1157" s="30"/>
      <c r="AD1157" s="33"/>
      <c r="AE1157" s="29"/>
      <c r="AF1157" s="29"/>
      <c r="AG1157" s="29"/>
    </row>
    <row r="1158" spans="1:33" ht="15" customHeight="1" x14ac:dyDescent="0.25">
      <c r="A1158" s="5">
        <v>48</v>
      </c>
      <c r="B1158" s="38">
        <v>44160</v>
      </c>
      <c r="C1158" s="38">
        <v>44133</v>
      </c>
      <c r="D1158" s="38">
        <v>44109</v>
      </c>
      <c r="E1158" s="34">
        <v>44160</v>
      </c>
      <c r="F1158" s="5">
        <v>5698</v>
      </c>
      <c r="G1158" s="5" t="s">
        <v>91</v>
      </c>
      <c r="H1158" s="5" t="s">
        <v>43</v>
      </c>
      <c r="I1158" s="5" t="s">
        <v>92</v>
      </c>
      <c r="J1158" s="21" t="s">
        <v>131</v>
      </c>
      <c r="K1158" s="21" t="s">
        <v>2899</v>
      </c>
      <c r="L1158" s="6" t="s">
        <v>2900</v>
      </c>
      <c r="M1158" s="5">
        <v>21</v>
      </c>
      <c r="N1158" s="5" t="s">
        <v>91</v>
      </c>
      <c r="O1158" s="5" t="s">
        <v>91</v>
      </c>
      <c r="P1158" s="5" t="s">
        <v>1215</v>
      </c>
      <c r="Q1158" s="6"/>
      <c r="R1158" s="6" t="s">
        <v>2368</v>
      </c>
      <c r="S1158" s="6"/>
      <c r="T1158" s="6"/>
      <c r="U1158" s="5"/>
      <c r="V1158" s="6" t="s">
        <v>2901</v>
      </c>
      <c r="W1158" s="6" t="s">
        <v>2902</v>
      </c>
      <c r="X1158" s="6"/>
      <c r="Y1158" s="22"/>
      <c r="Z1158" s="6">
        <v>6</v>
      </c>
      <c r="AA1158" s="21"/>
      <c r="AB1158" s="23">
        <v>44147</v>
      </c>
      <c r="AC1158" s="21" t="s">
        <v>33</v>
      </c>
      <c r="AD1158" s="24" t="s">
        <v>2903</v>
      </c>
      <c r="AE1158" s="6" t="s">
        <v>37</v>
      </c>
      <c r="AF1158" s="6"/>
      <c r="AG1158" s="6" t="s">
        <v>3041</v>
      </c>
    </row>
    <row r="1159" spans="1:33" ht="15" customHeight="1" x14ac:dyDescent="0.25">
      <c r="A1159" s="5">
        <v>48</v>
      </c>
      <c r="B1159" s="38">
        <v>44160</v>
      </c>
      <c r="C1159" s="38">
        <v>44133</v>
      </c>
      <c r="D1159" s="38">
        <v>44140</v>
      </c>
      <c r="E1159" s="34">
        <v>44160</v>
      </c>
      <c r="F1159" s="5">
        <v>5751</v>
      </c>
      <c r="G1159" s="5" t="s">
        <v>91</v>
      </c>
      <c r="H1159" s="5" t="s">
        <v>41</v>
      </c>
      <c r="I1159" s="5" t="s">
        <v>92</v>
      </c>
      <c r="J1159" s="21" t="s">
        <v>131</v>
      </c>
      <c r="K1159" s="21" t="s">
        <v>2909</v>
      </c>
      <c r="L1159" s="6" t="s">
        <v>2910</v>
      </c>
      <c r="M1159" s="5">
        <v>0</v>
      </c>
      <c r="N1159" s="5" t="s">
        <v>91</v>
      </c>
      <c r="O1159" s="5" t="s">
        <v>91</v>
      </c>
      <c r="P1159" s="5" t="s">
        <v>91</v>
      </c>
      <c r="Q1159" s="6"/>
      <c r="R1159" s="6" t="s">
        <v>2368</v>
      </c>
      <c r="S1159" s="6"/>
      <c r="T1159" s="6"/>
      <c r="U1159" s="5"/>
      <c r="V1159" s="6" t="s">
        <v>2911</v>
      </c>
      <c r="W1159" s="6" t="s">
        <v>502</v>
      </c>
      <c r="X1159" s="6"/>
      <c r="Y1159" s="22"/>
      <c r="Z1159" s="6"/>
      <c r="AA1159" s="21"/>
      <c r="AB1159" s="23">
        <v>44147</v>
      </c>
      <c r="AC1159" s="21" t="s">
        <v>30</v>
      </c>
      <c r="AD1159" s="24">
        <v>5621.07</v>
      </c>
      <c r="AE1159" s="6" t="s">
        <v>31</v>
      </c>
      <c r="AF1159" s="6"/>
      <c r="AG1159" s="6" t="s">
        <v>3041</v>
      </c>
    </row>
    <row r="1160" spans="1:33" ht="7.5" customHeight="1" x14ac:dyDescent="0.25">
      <c r="A1160" s="27"/>
      <c r="B1160" s="39"/>
      <c r="C1160" s="39"/>
      <c r="D1160" s="39"/>
      <c r="E1160" s="28"/>
      <c r="F1160" s="27"/>
      <c r="G1160" s="27"/>
      <c r="H1160" s="27"/>
      <c r="I1160" s="27"/>
      <c r="J1160" s="30"/>
      <c r="K1160" s="30"/>
      <c r="L1160" s="29"/>
      <c r="M1160" s="27"/>
      <c r="N1160" s="27"/>
      <c r="O1160" s="27"/>
      <c r="P1160" s="27"/>
      <c r="Q1160" s="29"/>
      <c r="R1160" s="29"/>
      <c r="S1160" s="29"/>
      <c r="T1160" s="29"/>
      <c r="U1160" s="27"/>
      <c r="V1160" s="29"/>
      <c r="W1160" s="29"/>
      <c r="X1160" s="29"/>
      <c r="Y1160" s="31"/>
      <c r="Z1160" s="29"/>
      <c r="AA1160" s="30"/>
      <c r="AB1160" s="32"/>
      <c r="AC1160" s="30"/>
      <c r="AD1160" s="33"/>
      <c r="AE1160" s="29"/>
      <c r="AF1160" s="29"/>
      <c r="AG1160" s="29"/>
    </row>
    <row r="1161" spans="1:33" ht="15" customHeight="1" x14ac:dyDescent="0.25">
      <c r="A1161" s="5">
        <v>47</v>
      </c>
      <c r="B1161" s="38">
        <v>44154</v>
      </c>
      <c r="C1161" s="38">
        <v>44133</v>
      </c>
      <c r="D1161" s="38">
        <v>44126</v>
      </c>
      <c r="E1161" s="37">
        <v>44154</v>
      </c>
      <c r="F1161" s="5">
        <v>6733</v>
      </c>
      <c r="G1161" s="5" t="s">
        <v>91</v>
      </c>
      <c r="H1161" s="5" t="s">
        <v>41</v>
      </c>
      <c r="I1161" s="5" t="s">
        <v>92</v>
      </c>
      <c r="J1161" s="21" t="s">
        <v>191</v>
      </c>
      <c r="K1161" s="21" t="s">
        <v>2793</v>
      </c>
      <c r="L1161" s="6" t="s">
        <v>2794</v>
      </c>
      <c r="M1161" s="5">
        <v>11</v>
      </c>
      <c r="N1161" s="5" t="s">
        <v>91</v>
      </c>
      <c r="O1161" s="5" t="s">
        <v>91</v>
      </c>
      <c r="P1161" s="5" t="s">
        <v>91</v>
      </c>
      <c r="Q1161" s="6" t="s">
        <v>2582</v>
      </c>
      <c r="R1161" s="6" t="s">
        <v>194</v>
      </c>
      <c r="S1161" s="6"/>
      <c r="T1161" s="6"/>
      <c r="U1161" s="5"/>
      <c r="V1161" s="6"/>
      <c r="W1161" s="6" t="s">
        <v>347</v>
      </c>
      <c r="X1161" s="6"/>
      <c r="Y1161" s="22"/>
      <c r="Z1161" s="6">
        <v>5</v>
      </c>
      <c r="AA1161" s="21" t="s">
        <v>2795</v>
      </c>
      <c r="AB1161" s="23">
        <v>44123</v>
      </c>
      <c r="AC1161" s="21" t="s">
        <v>32</v>
      </c>
      <c r="AD1161" s="24" t="s">
        <v>2796</v>
      </c>
      <c r="AE1161" s="6" t="s">
        <v>31</v>
      </c>
      <c r="AF1161" s="6"/>
      <c r="AG1161" s="6" t="s">
        <v>3040</v>
      </c>
    </row>
    <row r="1162" spans="1:33" ht="15" customHeight="1" x14ac:dyDescent="0.25">
      <c r="A1162" s="5">
        <v>47</v>
      </c>
      <c r="B1162" s="38">
        <v>44154</v>
      </c>
      <c r="C1162" s="38">
        <v>44133</v>
      </c>
      <c r="D1162" s="38">
        <v>44126</v>
      </c>
      <c r="E1162" s="37">
        <v>44154</v>
      </c>
      <c r="F1162" s="5">
        <v>6757</v>
      </c>
      <c r="G1162" s="5" t="s">
        <v>91</v>
      </c>
      <c r="H1162" s="5" t="s">
        <v>41</v>
      </c>
      <c r="I1162" s="5" t="s">
        <v>92</v>
      </c>
      <c r="J1162" s="21" t="s">
        <v>191</v>
      </c>
      <c r="K1162" s="21" t="s">
        <v>2797</v>
      </c>
      <c r="L1162" s="6" t="s">
        <v>95</v>
      </c>
      <c r="M1162" s="5">
        <v>4</v>
      </c>
      <c r="N1162" s="5" t="s">
        <v>91</v>
      </c>
      <c r="O1162" s="5" t="s">
        <v>91</v>
      </c>
      <c r="P1162" s="5" t="s">
        <v>91</v>
      </c>
      <c r="Q1162" s="6" t="s">
        <v>2546</v>
      </c>
      <c r="R1162" s="6" t="s">
        <v>194</v>
      </c>
      <c r="S1162" s="6"/>
      <c r="T1162" s="6"/>
      <c r="U1162" s="5"/>
      <c r="V1162" s="6"/>
      <c r="W1162" s="6" t="s">
        <v>672</v>
      </c>
      <c r="X1162" s="6"/>
      <c r="Y1162" s="22"/>
      <c r="Z1162" s="6">
        <v>2</v>
      </c>
      <c r="AA1162" s="21"/>
      <c r="AB1162" s="23">
        <v>44095</v>
      </c>
      <c r="AC1162" s="21" t="s">
        <v>30</v>
      </c>
      <c r="AD1162" s="24">
        <v>3124.9</v>
      </c>
      <c r="AE1162" s="6" t="s">
        <v>36</v>
      </c>
      <c r="AF1162" s="6"/>
      <c r="AG1162" s="6" t="s">
        <v>3041</v>
      </c>
    </row>
    <row r="1163" spans="1:33" ht="7.5" customHeight="1" x14ac:dyDescent="0.25">
      <c r="A1163" s="27"/>
      <c r="B1163" s="39"/>
      <c r="C1163" s="39"/>
      <c r="D1163" s="39"/>
      <c r="E1163" s="28"/>
      <c r="F1163" s="27"/>
      <c r="G1163" s="27"/>
      <c r="H1163" s="27"/>
      <c r="I1163" s="27"/>
      <c r="J1163" s="30"/>
      <c r="K1163" s="30"/>
      <c r="L1163" s="29"/>
      <c r="M1163" s="27"/>
      <c r="N1163" s="27"/>
      <c r="O1163" s="27"/>
      <c r="P1163" s="27"/>
      <c r="Q1163" s="29"/>
      <c r="R1163" s="29"/>
      <c r="S1163" s="29"/>
      <c r="T1163" s="29"/>
      <c r="U1163" s="27"/>
      <c r="V1163" s="29"/>
      <c r="W1163" s="29"/>
      <c r="X1163" s="29"/>
      <c r="Y1163" s="31"/>
      <c r="Z1163" s="29"/>
      <c r="AA1163" s="30"/>
      <c r="AB1163" s="32"/>
      <c r="AC1163" s="30"/>
      <c r="AD1163" s="33"/>
      <c r="AE1163" s="29"/>
      <c r="AF1163" s="29"/>
      <c r="AG1163" s="29"/>
    </row>
    <row r="1164" spans="1:33" ht="15" customHeight="1" x14ac:dyDescent="0.25">
      <c r="A1164" s="5">
        <v>46</v>
      </c>
      <c r="B1164" s="38">
        <v>44147</v>
      </c>
      <c r="C1164" s="38">
        <v>44133</v>
      </c>
      <c r="D1164" s="38">
        <v>44126</v>
      </c>
      <c r="E1164" s="28">
        <v>44147</v>
      </c>
      <c r="F1164" s="5">
        <v>9716</v>
      </c>
      <c r="G1164" s="5" t="s">
        <v>91</v>
      </c>
      <c r="H1164" s="5" t="s">
        <v>40</v>
      </c>
      <c r="I1164" s="5" t="s">
        <v>92</v>
      </c>
      <c r="J1164" s="21" t="s">
        <v>159</v>
      </c>
      <c r="K1164" s="21">
        <v>258365</v>
      </c>
      <c r="L1164" s="6" t="s">
        <v>2641</v>
      </c>
      <c r="M1164" s="5">
        <v>3</v>
      </c>
      <c r="N1164" s="5" t="s">
        <v>91</v>
      </c>
      <c r="O1164" s="5" t="s">
        <v>91</v>
      </c>
      <c r="P1164" s="5" t="s">
        <v>91</v>
      </c>
      <c r="Q1164" s="6"/>
      <c r="R1164" s="6" t="s">
        <v>163</v>
      </c>
      <c r="S1164" s="6"/>
      <c r="T1164" s="6"/>
      <c r="U1164" s="5"/>
      <c r="V1164" s="6"/>
      <c r="W1164" s="6" t="s">
        <v>2642</v>
      </c>
      <c r="X1164" s="6"/>
      <c r="Y1164" s="22"/>
      <c r="Z1164" s="6"/>
      <c r="AA1164" s="21"/>
      <c r="AB1164" s="23">
        <v>44123</v>
      </c>
      <c r="AC1164" s="21" t="s">
        <v>30</v>
      </c>
      <c r="AD1164" s="24" t="s">
        <v>2643</v>
      </c>
      <c r="AE1164" s="6" t="s">
        <v>37</v>
      </c>
      <c r="AF1164" s="6"/>
      <c r="AG1164" s="6" t="s">
        <v>3042</v>
      </c>
    </row>
    <row r="1165" spans="1:33" ht="7.5" customHeight="1" x14ac:dyDescent="0.25">
      <c r="A1165" s="27"/>
      <c r="B1165" s="39"/>
      <c r="C1165" s="39"/>
      <c r="D1165" s="39"/>
      <c r="E1165" s="28"/>
      <c r="F1165" s="27"/>
      <c r="G1165" s="27"/>
      <c r="H1165" s="27"/>
      <c r="I1165" s="27"/>
      <c r="J1165" s="30"/>
      <c r="K1165" s="30"/>
      <c r="L1165" s="29"/>
      <c r="M1165" s="27"/>
      <c r="N1165" s="27"/>
      <c r="O1165" s="27"/>
      <c r="P1165" s="27"/>
      <c r="Q1165" s="29"/>
      <c r="R1165" s="29"/>
      <c r="S1165" s="29"/>
      <c r="T1165" s="29"/>
      <c r="U1165" s="27"/>
      <c r="V1165" s="29"/>
      <c r="W1165" s="29"/>
      <c r="X1165" s="29"/>
      <c r="Y1165" s="31"/>
      <c r="Z1165" s="29"/>
      <c r="AA1165" s="30"/>
      <c r="AB1165" s="32"/>
      <c r="AC1165" s="30"/>
      <c r="AD1165" s="33"/>
      <c r="AE1165" s="29"/>
      <c r="AF1165" s="29"/>
      <c r="AG1165" s="29"/>
    </row>
    <row r="1166" spans="1:33" ht="15" customHeight="1" x14ac:dyDescent="0.25">
      <c r="A1166" s="5">
        <v>47</v>
      </c>
      <c r="B1166" s="38">
        <v>44155</v>
      </c>
      <c r="C1166" s="38">
        <v>44134</v>
      </c>
      <c r="D1166" s="38">
        <v>44127</v>
      </c>
      <c r="E1166" s="37">
        <v>44155</v>
      </c>
      <c r="F1166" s="5">
        <v>9729</v>
      </c>
      <c r="G1166" s="5" t="s">
        <v>91</v>
      </c>
      <c r="H1166" s="5" t="s">
        <v>40</v>
      </c>
      <c r="I1166" s="5" t="s">
        <v>92</v>
      </c>
      <c r="J1166" s="21" t="s">
        <v>159</v>
      </c>
      <c r="K1166" s="21" t="s">
        <v>2808</v>
      </c>
      <c r="L1166" s="6" t="s">
        <v>152</v>
      </c>
      <c r="M1166" s="5">
        <v>7</v>
      </c>
      <c r="N1166" s="5" t="s">
        <v>91</v>
      </c>
      <c r="O1166" s="5" t="s">
        <v>91</v>
      </c>
      <c r="P1166" s="5" t="s">
        <v>91</v>
      </c>
      <c r="Q1166" s="6"/>
      <c r="R1166" s="6" t="s">
        <v>163</v>
      </c>
      <c r="S1166" s="6"/>
      <c r="T1166" s="6"/>
      <c r="U1166" s="5"/>
      <c r="V1166" s="6" t="s">
        <v>164</v>
      </c>
      <c r="W1166" s="6" t="s">
        <v>2254</v>
      </c>
      <c r="X1166" s="6"/>
      <c r="Y1166" s="22"/>
      <c r="Z1166" s="6"/>
      <c r="AA1166" s="21"/>
      <c r="AB1166" s="23">
        <v>44124</v>
      </c>
      <c r="AC1166" s="21" t="s">
        <v>32</v>
      </c>
      <c r="AD1166" s="24">
        <v>1987.2</v>
      </c>
      <c r="AE1166" s="6" t="s">
        <v>36</v>
      </c>
      <c r="AF1166" s="6"/>
      <c r="AG1166" s="6" t="s">
        <v>3042</v>
      </c>
    </row>
    <row r="1167" spans="1:33" ht="7.5" customHeight="1" x14ac:dyDescent="0.25">
      <c r="A1167" s="27"/>
      <c r="B1167" s="39"/>
      <c r="C1167" s="39"/>
      <c r="D1167" s="39"/>
      <c r="E1167" s="28"/>
      <c r="F1167" s="27"/>
      <c r="G1167" s="27"/>
      <c r="H1167" s="27"/>
      <c r="I1167" s="27"/>
      <c r="J1167" s="30"/>
      <c r="K1167" s="30"/>
      <c r="L1167" s="29"/>
      <c r="M1167" s="27"/>
      <c r="N1167" s="27"/>
      <c r="O1167" s="27"/>
      <c r="P1167" s="27"/>
      <c r="Q1167" s="29"/>
      <c r="R1167" s="29"/>
      <c r="S1167" s="29"/>
      <c r="T1167" s="29"/>
      <c r="U1167" s="27"/>
      <c r="V1167" s="29"/>
      <c r="W1167" s="29"/>
      <c r="X1167" s="29"/>
      <c r="Y1167" s="31"/>
      <c r="Z1167" s="29"/>
      <c r="AA1167" s="30"/>
      <c r="AB1167" s="32"/>
      <c r="AC1167" s="30"/>
      <c r="AD1167" s="33"/>
      <c r="AE1167" s="29"/>
      <c r="AF1167" s="29"/>
      <c r="AG1167" s="29"/>
    </row>
    <row r="1168" spans="1:33" ht="15" customHeight="1" x14ac:dyDescent="0.25">
      <c r="A1168" s="5">
        <v>47</v>
      </c>
      <c r="B1168" s="38">
        <v>44151</v>
      </c>
      <c r="C1168" s="38">
        <v>44137</v>
      </c>
      <c r="D1168" s="38">
        <v>44130</v>
      </c>
      <c r="E1168" s="37">
        <v>44151</v>
      </c>
      <c r="F1168" s="5">
        <v>10703</v>
      </c>
      <c r="G1168" s="5" t="s">
        <v>91</v>
      </c>
      <c r="H1168" s="5" t="s">
        <v>40</v>
      </c>
      <c r="I1168" s="5" t="s">
        <v>92</v>
      </c>
      <c r="J1168" s="21" t="s">
        <v>170</v>
      </c>
      <c r="K1168" s="21" t="s">
        <v>2645</v>
      </c>
      <c r="L1168" s="6" t="s">
        <v>2646</v>
      </c>
      <c r="M1168" s="5">
        <v>2</v>
      </c>
      <c r="N1168" s="5" t="s">
        <v>91</v>
      </c>
      <c r="O1168" s="5" t="s">
        <v>91</v>
      </c>
      <c r="P1168" s="5" t="s">
        <v>91</v>
      </c>
      <c r="Q1168" s="6" t="s">
        <v>2582</v>
      </c>
      <c r="R1168" s="6" t="s">
        <v>112</v>
      </c>
      <c r="S1168" s="6"/>
      <c r="T1168" s="6"/>
      <c r="U1168" s="5"/>
      <c r="V1168" s="6"/>
      <c r="W1168" s="6" t="s">
        <v>173</v>
      </c>
      <c r="X1168" s="6" t="s">
        <v>251</v>
      </c>
      <c r="Y1168" s="22"/>
      <c r="Z1168" s="6">
        <v>0.9</v>
      </c>
      <c r="AA1168" s="21"/>
      <c r="AB1168" s="23"/>
      <c r="AC1168" s="21" t="s">
        <v>30</v>
      </c>
      <c r="AD1168" s="24"/>
      <c r="AE1168" s="6" t="s">
        <v>38</v>
      </c>
      <c r="AF1168" s="6"/>
      <c r="AG1168" s="6" t="s">
        <v>3040</v>
      </c>
    </row>
    <row r="1169" spans="1:33" ht="7.5" customHeight="1" x14ac:dyDescent="0.25">
      <c r="A1169" s="27"/>
      <c r="B1169" s="39"/>
      <c r="C1169" s="39"/>
      <c r="D1169" s="39"/>
      <c r="E1169" s="28"/>
      <c r="F1169" s="27"/>
      <c r="G1169" s="27"/>
      <c r="H1169" s="27"/>
      <c r="I1169" s="27"/>
      <c r="J1169" s="30"/>
      <c r="K1169" s="30"/>
      <c r="L1169" s="29"/>
      <c r="M1169" s="27"/>
      <c r="N1169" s="27"/>
      <c r="O1169" s="27"/>
      <c r="P1169" s="27"/>
      <c r="Q1169" s="29"/>
      <c r="R1169" s="29"/>
      <c r="S1169" s="29"/>
      <c r="T1169" s="29"/>
      <c r="U1169" s="27"/>
      <c r="V1169" s="29"/>
      <c r="W1169" s="29"/>
      <c r="X1169" s="29"/>
      <c r="Y1169" s="31"/>
      <c r="Z1169" s="29"/>
      <c r="AA1169" s="30"/>
      <c r="AB1169" s="32"/>
      <c r="AC1169" s="30"/>
      <c r="AD1169" s="33"/>
      <c r="AE1169" s="29"/>
      <c r="AF1169" s="29"/>
      <c r="AG1169" s="29"/>
    </row>
    <row r="1170" spans="1:33" ht="15" customHeight="1" x14ac:dyDescent="0.25">
      <c r="A1170" s="5">
        <v>48</v>
      </c>
      <c r="B1170" s="38">
        <v>44158</v>
      </c>
      <c r="C1170" s="38">
        <v>44137</v>
      </c>
      <c r="D1170" s="38">
        <v>44130</v>
      </c>
      <c r="E1170" s="34">
        <v>44158</v>
      </c>
      <c r="F1170" s="5">
        <v>10718</v>
      </c>
      <c r="G1170" s="5" t="s">
        <v>91</v>
      </c>
      <c r="H1170" s="5" t="s">
        <v>43</v>
      </c>
      <c r="I1170" s="5" t="s">
        <v>92</v>
      </c>
      <c r="J1170" s="21" t="s">
        <v>170</v>
      </c>
      <c r="K1170" s="21" t="s">
        <v>2809</v>
      </c>
      <c r="L1170" s="6" t="s">
        <v>2810</v>
      </c>
      <c r="M1170" s="5">
        <v>19</v>
      </c>
      <c r="N1170" s="5" t="s">
        <v>91</v>
      </c>
      <c r="O1170" s="5" t="s">
        <v>91</v>
      </c>
      <c r="P1170" s="5" t="s">
        <v>1215</v>
      </c>
      <c r="Q1170" s="6" t="s">
        <v>2546</v>
      </c>
      <c r="R1170" s="6" t="s">
        <v>112</v>
      </c>
      <c r="S1170" s="6"/>
      <c r="T1170" s="6"/>
      <c r="U1170" s="5"/>
      <c r="V1170" s="6" t="s">
        <v>2811</v>
      </c>
      <c r="W1170" s="6" t="s">
        <v>1832</v>
      </c>
      <c r="X1170" s="6" t="s">
        <v>251</v>
      </c>
      <c r="Y1170" s="22"/>
      <c r="Z1170" s="6">
        <v>3.7</v>
      </c>
      <c r="AA1170" s="21"/>
      <c r="AB1170" s="23"/>
      <c r="AC1170" s="21" t="s">
        <v>32</v>
      </c>
      <c r="AD1170" s="24"/>
      <c r="AE1170" s="6" t="s">
        <v>31</v>
      </c>
      <c r="AF1170" s="6"/>
      <c r="AG1170" s="6" t="s">
        <v>3039</v>
      </c>
    </row>
    <row r="1171" spans="1:33" ht="7.5" customHeight="1" x14ac:dyDescent="0.25">
      <c r="A1171" s="27"/>
      <c r="B1171" s="39"/>
      <c r="C1171" s="39"/>
      <c r="D1171" s="39"/>
      <c r="E1171" s="28"/>
      <c r="F1171" s="27"/>
      <c r="G1171" s="27"/>
      <c r="H1171" s="27"/>
      <c r="I1171" s="27"/>
      <c r="J1171" s="30"/>
      <c r="K1171" s="30"/>
      <c r="L1171" s="29"/>
      <c r="M1171" s="27"/>
      <c r="N1171" s="27"/>
      <c r="O1171" s="27"/>
      <c r="P1171" s="27"/>
      <c r="Q1171" s="29"/>
      <c r="R1171" s="29"/>
      <c r="S1171" s="29"/>
      <c r="T1171" s="29"/>
      <c r="U1171" s="27"/>
      <c r="V1171" s="29"/>
      <c r="W1171" s="29"/>
      <c r="X1171" s="29"/>
      <c r="Y1171" s="31"/>
      <c r="Z1171" s="29"/>
      <c r="AA1171" s="30"/>
      <c r="AB1171" s="32"/>
      <c r="AC1171" s="30"/>
      <c r="AD1171" s="33"/>
      <c r="AE1171" s="29"/>
      <c r="AF1171" s="29"/>
      <c r="AG1171" s="29"/>
    </row>
    <row r="1172" spans="1:33" ht="15" customHeight="1" x14ac:dyDescent="0.25">
      <c r="A1172" s="5">
        <v>46</v>
      </c>
      <c r="B1172" s="38">
        <v>44146</v>
      </c>
      <c r="C1172" s="38">
        <v>44137</v>
      </c>
      <c r="D1172" s="38">
        <v>44137</v>
      </c>
      <c r="E1172" s="28">
        <v>44146</v>
      </c>
      <c r="F1172" s="5">
        <v>3141</v>
      </c>
      <c r="G1172" s="5" t="s">
        <v>91</v>
      </c>
      <c r="H1172" s="5" t="s">
        <v>40</v>
      </c>
      <c r="I1172" s="5" t="s">
        <v>92</v>
      </c>
      <c r="J1172" s="21" t="s">
        <v>93</v>
      </c>
      <c r="K1172" s="21" t="s">
        <v>2586</v>
      </c>
      <c r="L1172" s="6" t="s">
        <v>2587</v>
      </c>
      <c r="M1172" s="5">
        <v>0</v>
      </c>
      <c r="N1172" s="5" t="s">
        <v>91</v>
      </c>
      <c r="O1172" s="5" t="s">
        <v>91</v>
      </c>
      <c r="P1172" s="5" t="s">
        <v>91</v>
      </c>
      <c r="Q1172" s="6"/>
      <c r="R1172" s="6" t="s">
        <v>380</v>
      </c>
      <c r="S1172" s="6"/>
      <c r="T1172" s="6"/>
      <c r="U1172" s="5"/>
      <c r="V1172" s="6"/>
      <c r="W1172" s="6"/>
      <c r="X1172" s="6"/>
      <c r="Y1172" s="22"/>
      <c r="Z1172" s="6"/>
      <c r="AA1172" s="21">
        <v>10221</v>
      </c>
      <c r="AB1172" s="23">
        <v>44124</v>
      </c>
      <c r="AC1172" s="21" t="s">
        <v>30</v>
      </c>
      <c r="AD1172" s="24" t="s">
        <v>2588</v>
      </c>
      <c r="AE1172" s="6" t="s">
        <v>31</v>
      </c>
      <c r="AF1172" s="6"/>
      <c r="AG1172" s="6" t="s">
        <v>3041</v>
      </c>
    </row>
    <row r="1173" spans="1:33" ht="15" customHeight="1" x14ac:dyDescent="0.25">
      <c r="A1173" s="5">
        <v>46</v>
      </c>
      <c r="B1173" s="38">
        <v>44146</v>
      </c>
      <c r="C1173" s="38">
        <v>44137</v>
      </c>
      <c r="D1173" s="38">
        <v>44118</v>
      </c>
      <c r="E1173" s="28">
        <v>44146</v>
      </c>
      <c r="F1173" s="5">
        <v>12097</v>
      </c>
      <c r="G1173" s="5" t="s">
        <v>91</v>
      </c>
      <c r="H1173" s="5" t="s">
        <v>40</v>
      </c>
      <c r="I1173" s="5" t="s">
        <v>92</v>
      </c>
      <c r="J1173" s="21" t="s">
        <v>275</v>
      </c>
      <c r="K1173" s="21" t="s">
        <v>2589</v>
      </c>
      <c r="L1173" s="6" t="s">
        <v>2367</v>
      </c>
      <c r="M1173" s="5">
        <v>0</v>
      </c>
      <c r="N1173" s="5" t="s">
        <v>91</v>
      </c>
      <c r="O1173" s="5" t="s">
        <v>91</v>
      </c>
      <c r="P1173" s="5" t="s">
        <v>91</v>
      </c>
      <c r="Q1173" s="6"/>
      <c r="R1173" s="6" t="s">
        <v>2368</v>
      </c>
      <c r="S1173" s="6"/>
      <c r="T1173" s="6"/>
      <c r="U1173" s="5"/>
      <c r="V1173" s="6"/>
      <c r="W1173" s="6" t="s">
        <v>416</v>
      </c>
      <c r="X1173" s="6"/>
      <c r="Y1173" s="22"/>
      <c r="Z1173" s="6">
        <v>0</v>
      </c>
      <c r="AA1173" s="21"/>
      <c r="AB1173" s="23">
        <v>44140</v>
      </c>
      <c r="AC1173" s="21" t="s">
        <v>30</v>
      </c>
      <c r="AD1173" s="24" t="s">
        <v>2286</v>
      </c>
      <c r="AE1173" s="6" t="s">
        <v>36</v>
      </c>
      <c r="AF1173" s="6"/>
      <c r="AG1173" s="6" t="s">
        <v>3042</v>
      </c>
    </row>
    <row r="1174" spans="1:33" ht="15" customHeight="1" x14ac:dyDescent="0.25">
      <c r="A1174" s="5">
        <v>46</v>
      </c>
      <c r="B1174" s="38">
        <v>44146</v>
      </c>
      <c r="C1174" s="38">
        <v>44137</v>
      </c>
      <c r="D1174" s="38">
        <v>44116</v>
      </c>
      <c r="E1174" s="28">
        <v>44146</v>
      </c>
      <c r="F1174" s="5">
        <v>12098</v>
      </c>
      <c r="G1174" s="5" t="s">
        <v>91</v>
      </c>
      <c r="H1174" s="5" t="s">
        <v>41</v>
      </c>
      <c r="I1174" s="5" t="s">
        <v>92</v>
      </c>
      <c r="J1174" s="21" t="s">
        <v>275</v>
      </c>
      <c r="K1174" s="21" t="s">
        <v>2590</v>
      </c>
      <c r="L1174" s="6" t="s">
        <v>2591</v>
      </c>
      <c r="M1174" s="5">
        <v>10</v>
      </c>
      <c r="N1174" s="5" t="s">
        <v>91</v>
      </c>
      <c r="O1174" s="5" t="s">
        <v>91</v>
      </c>
      <c r="P1174" s="5" t="s">
        <v>91</v>
      </c>
      <c r="Q1174" s="6" t="s">
        <v>2573</v>
      </c>
      <c r="R1174" s="6" t="s">
        <v>2368</v>
      </c>
      <c r="S1174" s="6"/>
      <c r="T1174" s="6"/>
      <c r="U1174" s="5"/>
      <c r="V1174" s="6" t="s">
        <v>2547</v>
      </c>
      <c r="W1174" s="6" t="s">
        <v>2502</v>
      </c>
      <c r="X1174" s="6"/>
      <c r="Y1174" s="22"/>
      <c r="Z1174" s="6">
        <v>3.6</v>
      </c>
      <c r="AA1174" s="21"/>
      <c r="AB1174" s="23">
        <v>44105</v>
      </c>
      <c r="AC1174" s="21" t="s">
        <v>30</v>
      </c>
      <c r="AD1174" s="24" t="s">
        <v>115</v>
      </c>
      <c r="AE1174" s="6" t="s">
        <v>31</v>
      </c>
      <c r="AF1174" s="6"/>
      <c r="AG1174" s="6" t="s">
        <v>3039</v>
      </c>
    </row>
    <row r="1175" spans="1:33" ht="7.5" customHeight="1" x14ac:dyDescent="0.25">
      <c r="A1175" s="27"/>
      <c r="B1175" s="39"/>
      <c r="C1175" s="39"/>
      <c r="D1175" s="39"/>
      <c r="E1175" s="28"/>
      <c r="F1175" s="27"/>
      <c r="G1175" s="27"/>
      <c r="H1175" s="27"/>
      <c r="I1175" s="27"/>
      <c r="J1175" s="30"/>
      <c r="K1175" s="30"/>
      <c r="L1175" s="29"/>
      <c r="M1175" s="27"/>
      <c r="N1175" s="27"/>
      <c r="O1175" s="27"/>
      <c r="P1175" s="27"/>
      <c r="Q1175" s="29"/>
      <c r="R1175" s="29"/>
      <c r="S1175" s="29"/>
      <c r="T1175" s="29"/>
      <c r="U1175" s="27"/>
      <c r="V1175" s="29"/>
      <c r="W1175" s="29"/>
      <c r="X1175" s="29"/>
      <c r="Y1175" s="31"/>
      <c r="Z1175" s="29"/>
      <c r="AA1175" s="30"/>
      <c r="AB1175" s="32"/>
      <c r="AC1175" s="30"/>
      <c r="AD1175" s="33"/>
      <c r="AE1175" s="29"/>
      <c r="AF1175" s="29"/>
      <c r="AG1175" s="29"/>
    </row>
    <row r="1176" spans="1:33" ht="15" customHeight="1" x14ac:dyDescent="0.25">
      <c r="A1176" s="5">
        <v>47</v>
      </c>
      <c r="B1176" s="38">
        <v>44151</v>
      </c>
      <c r="C1176" s="38">
        <v>44137</v>
      </c>
      <c r="D1176" s="38">
        <v>44130</v>
      </c>
      <c r="E1176" s="37">
        <v>44151</v>
      </c>
      <c r="F1176" s="5">
        <v>12105</v>
      </c>
      <c r="G1176" s="5" t="s">
        <v>91</v>
      </c>
      <c r="H1176" s="5" t="s">
        <v>40</v>
      </c>
      <c r="I1176" s="5" t="s">
        <v>92</v>
      </c>
      <c r="J1176" s="21" t="s">
        <v>275</v>
      </c>
      <c r="K1176" s="21" t="s">
        <v>2659</v>
      </c>
      <c r="L1176" s="6" t="s">
        <v>1716</v>
      </c>
      <c r="M1176" s="5">
        <v>12</v>
      </c>
      <c r="N1176" s="5" t="s">
        <v>91</v>
      </c>
      <c r="O1176" s="5" t="s">
        <v>91</v>
      </c>
      <c r="P1176" s="5" t="s">
        <v>91</v>
      </c>
      <c r="Q1176" s="6" t="s">
        <v>2557</v>
      </c>
      <c r="R1176" s="6" t="s">
        <v>296</v>
      </c>
      <c r="S1176" s="6"/>
      <c r="T1176" s="6"/>
      <c r="U1176" s="5"/>
      <c r="V1176" s="6"/>
      <c r="W1176" s="6" t="s">
        <v>2660</v>
      </c>
      <c r="X1176" s="6"/>
      <c r="Y1176" s="22"/>
      <c r="Z1176" s="6">
        <v>4.5999999999999996</v>
      </c>
      <c r="AA1176" s="21"/>
      <c r="AB1176" s="23">
        <v>44105</v>
      </c>
      <c r="AC1176" s="21" t="s">
        <v>32</v>
      </c>
      <c r="AD1176" s="24" t="s">
        <v>115</v>
      </c>
      <c r="AE1176" s="6" t="s">
        <v>31</v>
      </c>
      <c r="AF1176" s="6"/>
      <c r="AG1176" s="6" t="s">
        <v>3040</v>
      </c>
    </row>
    <row r="1177" spans="1:33" ht="7.5" customHeight="1" x14ac:dyDescent="0.25">
      <c r="A1177" s="27"/>
      <c r="B1177" s="39"/>
      <c r="C1177" s="39"/>
      <c r="D1177" s="39"/>
      <c r="E1177" s="28"/>
      <c r="F1177" s="27"/>
      <c r="G1177" s="27"/>
      <c r="H1177" s="27"/>
      <c r="I1177" s="27"/>
      <c r="J1177" s="30"/>
      <c r="K1177" s="30"/>
      <c r="L1177" s="29"/>
      <c r="M1177" s="27"/>
      <c r="N1177" s="27"/>
      <c r="O1177" s="27"/>
      <c r="P1177" s="27"/>
      <c r="Q1177" s="29"/>
      <c r="R1177" s="29"/>
      <c r="S1177" s="29"/>
      <c r="T1177" s="29"/>
      <c r="U1177" s="27"/>
      <c r="V1177" s="29"/>
      <c r="W1177" s="29"/>
      <c r="X1177" s="29"/>
      <c r="Y1177" s="31"/>
      <c r="Z1177" s="29"/>
      <c r="AA1177" s="30"/>
      <c r="AB1177" s="32"/>
      <c r="AC1177" s="30"/>
      <c r="AD1177" s="33"/>
      <c r="AE1177" s="29"/>
      <c r="AF1177" s="29"/>
      <c r="AG1177" s="29"/>
    </row>
    <row r="1178" spans="1:33" ht="15" customHeight="1" x14ac:dyDescent="0.25">
      <c r="A1178" s="5">
        <v>47</v>
      </c>
      <c r="B1178" s="38">
        <v>44153</v>
      </c>
      <c r="C1178" s="38">
        <v>44137</v>
      </c>
      <c r="D1178" s="38">
        <v>44118</v>
      </c>
      <c r="E1178" s="37">
        <v>44153</v>
      </c>
      <c r="F1178" s="5">
        <v>12104</v>
      </c>
      <c r="G1178" s="5" t="s">
        <v>91</v>
      </c>
      <c r="H1178" s="5" t="s">
        <v>43</v>
      </c>
      <c r="I1178" s="5" t="s">
        <v>92</v>
      </c>
      <c r="J1178" s="21" t="s">
        <v>275</v>
      </c>
      <c r="K1178" s="21" t="s">
        <v>2717</v>
      </c>
      <c r="L1178" s="6" t="s">
        <v>2718</v>
      </c>
      <c r="M1178" s="5">
        <v>1</v>
      </c>
      <c r="N1178" s="5" t="s">
        <v>91</v>
      </c>
      <c r="O1178" s="5" t="s">
        <v>91</v>
      </c>
      <c r="P1178" s="5" t="s">
        <v>91</v>
      </c>
      <c r="Q1178" s="6"/>
      <c r="R1178" s="6" t="s">
        <v>2368</v>
      </c>
      <c r="S1178" s="6"/>
      <c r="T1178" s="6"/>
      <c r="U1178" s="5"/>
      <c r="V1178" s="6"/>
      <c r="W1178" s="6" t="s">
        <v>2719</v>
      </c>
      <c r="X1178" s="6"/>
      <c r="Y1178" s="22"/>
      <c r="Z1178" s="6">
        <v>0.5</v>
      </c>
      <c r="AA1178" s="21">
        <v>10215</v>
      </c>
      <c r="AB1178" s="23">
        <v>44127</v>
      </c>
      <c r="AC1178" s="21" t="s">
        <v>30</v>
      </c>
      <c r="AD1178" s="24" t="s">
        <v>2720</v>
      </c>
      <c r="AE1178" s="6" t="s">
        <v>31</v>
      </c>
      <c r="AF1178" s="6"/>
      <c r="AG1178" s="6" t="s">
        <v>3039</v>
      </c>
    </row>
    <row r="1179" spans="1:33" ht="7.5" customHeight="1" x14ac:dyDescent="0.25">
      <c r="A1179" s="27"/>
      <c r="B1179" s="39"/>
      <c r="C1179" s="39"/>
      <c r="D1179" s="39"/>
      <c r="E1179" s="28"/>
      <c r="F1179" s="27"/>
      <c r="G1179" s="27"/>
      <c r="H1179" s="27"/>
      <c r="I1179" s="27"/>
      <c r="J1179" s="30"/>
      <c r="K1179" s="30"/>
      <c r="L1179" s="29"/>
      <c r="M1179" s="27"/>
      <c r="N1179" s="27"/>
      <c r="O1179" s="27"/>
      <c r="P1179" s="27"/>
      <c r="Q1179" s="29"/>
      <c r="R1179" s="29"/>
      <c r="S1179" s="29"/>
      <c r="T1179" s="29"/>
      <c r="U1179" s="27"/>
      <c r="V1179" s="29"/>
      <c r="W1179" s="29"/>
      <c r="X1179" s="29"/>
      <c r="Y1179" s="31"/>
      <c r="Z1179" s="29"/>
      <c r="AA1179" s="30"/>
      <c r="AB1179" s="32"/>
      <c r="AC1179" s="30"/>
      <c r="AD1179" s="33"/>
      <c r="AE1179" s="29"/>
      <c r="AF1179" s="29"/>
      <c r="AG1179" s="29"/>
    </row>
    <row r="1180" spans="1:33" ht="15" customHeight="1" x14ac:dyDescent="0.25">
      <c r="A1180" s="5">
        <v>46</v>
      </c>
      <c r="B1180" s="38">
        <v>44146</v>
      </c>
      <c r="C1180" s="38">
        <v>44137</v>
      </c>
      <c r="D1180" s="38">
        <v>44082</v>
      </c>
      <c r="E1180" s="28">
        <v>44146</v>
      </c>
      <c r="F1180" s="5">
        <v>4826</v>
      </c>
      <c r="G1180" s="5" t="s">
        <v>91</v>
      </c>
      <c r="H1180" s="5" t="s">
        <v>43</v>
      </c>
      <c r="I1180" s="5" t="s">
        <v>92</v>
      </c>
      <c r="J1180" s="21" t="s">
        <v>109</v>
      </c>
      <c r="K1180" s="21" t="s">
        <v>2592</v>
      </c>
      <c r="L1180" s="6" t="s">
        <v>211</v>
      </c>
      <c r="M1180" s="5">
        <v>0</v>
      </c>
      <c r="N1180" s="5" t="s">
        <v>91</v>
      </c>
      <c r="O1180" s="5" t="s">
        <v>91</v>
      </c>
      <c r="P1180" s="5" t="s">
        <v>91</v>
      </c>
      <c r="Q1180" s="6"/>
      <c r="R1180" s="6" t="s">
        <v>112</v>
      </c>
      <c r="S1180" s="6"/>
      <c r="T1180" s="6"/>
      <c r="U1180" s="5"/>
      <c r="V1180" s="6"/>
      <c r="W1180" s="6" t="s">
        <v>212</v>
      </c>
      <c r="X1180" s="6"/>
      <c r="Y1180" s="22"/>
      <c r="Z1180" s="6">
        <v>0</v>
      </c>
      <c r="AA1180" s="21"/>
      <c r="AB1180" s="23">
        <v>44114</v>
      </c>
      <c r="AC1180" s="21" t="s">
        <v>32</v>
      </c>
      <c r="AD1180" s="24" t="s">
        <v>2593</v>
      </c>
      <c r="AE1180" s="6" t="s">
        <v>31</v>
      </c>
      <c r="AF1180" s="6"/>
      <c r="AG1180" s="6" t="s">
        <v>3040</v>
      </c>
    </row>
    <row r="1181" spans="1:33" ht="7.5" customHeight="1" x14ac:dyDescent="0.25">
      <c r="A1181" s="27"/>
      <c r="B1181" s="39"/>
      <c r="C1181" s="39"/>
      <c r="D1181" s="39"/>
      <c r="E1181" s="28"/>
      <c r="F1181" s="27"/>
      <c r="G1181" s="27"/>
      <c r="H1181" s="27"/>
      <c r="I1181" s="27"/>
      <c r="J1181" s="30"/>
      <c r="K1181" s="30"/>
      <c r="L1181" s="29"/>
      <c r="M1181" s="27"/>
      <c r="N1181" s="27"/>
      <c r="O1181" s="27"/>
      <c r="P1181" s="27"/>
      <c r="Q1181" s="29"/>
      <c r="R1181" s="29"/>
      <c r="S1181" s="29"/>
      <c r="T1181" s="29"/>
      <c r="U1181" s="27"/>
      <c r="V1181" s="29"/>
      <c r="W1181" s="29"/>
      <c r="X1181" s="29"/>
      <c r="Y1181" s="31"/>
      <c r="Z1181" s="29"/>
      <c r="AA1181" s="30"/>
      <c r="AB1181" s="32"/>
      <c r="AC1181" s="30"/>
      <c r="AD1181" s="33"/>
      <c r="AE1181" s="29"/>
      <c r="AF1181" s="29"/>
      <c r="AG1181" s="29"/>
    </row>
    <row r="1182" spans="1:33" ht="15" customHeight="1" x14ac:dyDescent="0.25">
      <c r="A1182" s="5">
        <v>47</v>
      </c>
      <c r="B1182" s="38">
        <v>44151</v>
      </c>
      <c r="C1182" s="38">
        <v>44137</v>
      </c>
      <c r="D1182" s="38">
        <v>44130</v>
      </c>
      <c r="E1182" s="37">
        <v>44151</v>
      </c>
      <c r="F1182" s="5">
        <v>4864</v>
      </c>
      <c r="G1182" s="5" t="s">
        <v>91</v>
      </c>
      <c r="H1182" s="5" t="s">
        <v>40</v>
      </c>
      <c r="I1182" s="5" t="s">
        <v>92</v>
      </c>
      <c r="J1182" s="21" t="s">
        <v>109</v>
      </c>
      <c r="K1182" s="21" t="s">
        <v>2664</v>
      </c>
      <c r="L1182" s="6" t="s">
        <v>2665</v>
      </c>
      <c r="M1182" s="5">
        <v>20</v>
      </c>
      <c r="N1182" s="5" t="s">
        <v>91</v>
      </c>
      <c r="O1182" s="5" t="s">
        <v>91</v>
      </c>
      <c r="P1182" s="5" t="s">
        <v>1215</v>
      </c>
      <c r="Q1182" s="6" t="s">
        <v>2557</v>
      </c>
      <c r="R1182" s="6" t="s">
        <v>112</v>
      </c>
      <c r="S1182" s="6"/>
      <c r="T1182" s="6"/>
      <c r="U1182" s="5"/>
      <c r="V1182" s="6"/>
      <c r="W1182" s="6" t="s">
        <v>2666</v>
      </c>
      <c r="X1182" s="6"/>
      <c r="Y1182" s="22"/>
      <c r="Z1182" s="6">
        <v>7.8</v>
      </c>
      <c r="AA1182" s="21"/>
      <c r="AB1182" s="23">
        <v>44127</v>
      </c>
      <c r="AC1182" s="21" t="s">
        <v>33</v>
      </c>
      <c r="AD1182" s="24" t="s">
        <v>2667</v>
      </c>
      <c r="AE1182" s="6" t="s">
        <v>36</v>
      </c>
      <c r="AF1182" s="6"/>
      <c r="AG1182" s="6" t="s">
        <v>3042</v>
      </c>
    </row>
    <row r="1183" spans="1:33" ht="7.5" customHeight="1" x14ac:dyDescent="0.25">
      <c r="A1183" s="27"/>
      <c r="B1183" s="39"/>
      <c r="C1183" s="39"/>
      <c r="D1183" s="39"/>
      <c r="E1183" s="28"/>
      <c r="F1183" s="27"/>
      <c r="G1183" s="27"/>
      <c r="H1183" s="27"/>
      <c r="I1183" s="27"/>
      <c r="J1183" s="30"/>
      <c r="K1183" s="30"/>
      <c r="L1183" s="29"/>
      <c r="M1183" s="27"/>
      <c r="N1183" s="27"/>
      <c r="O1183" s="27"/>
      <c r="P1183" s="27"/>
      <c r="Q1183" s="29"/>
      <c r="R1183" s="29"/>
      <c r="S1183" s="29"/>
      <c r="T1183" s="29"/>
      <c r="U1183" s="27"/>
      <c r="V1183" s="29"/>
      <c r="W1183" s="29"/>
      <c r="X1183" s="29"/>
      <c r="Y1183" s="31"/>
      <c r="Z1183" s="29"/>
      <c r="AA1183" s="30"/>
      <c r="AB1183" s="32"/>
      <c r="AC1183" s="30"/>
      <c r="AD1183" s="33"/>
      <c r="AE1183" s="29"/>
      <c r="AF1183" s="29"/>
      <c r="AG1183" s="29"/>
    </row>
    <row r="1184" spans="1:33" ht="15" customHeight="1" x14ac:dyDescent="0.25">
      <c r="A1184" s="5">
        <v>47</v>
      </c>
      <c r="B1184" s="38">
        <v>44153</v>
      </c>
      <c r="C1184" s="38">
        <v>44137</v>
      </c>
      <c r="D1184" s="38">
        <v>44118</v>
      </c>
      <c r="E1184" s="37">
        <v>44153</v>
      </c>
      <c r="F1184" s="5">
        <v>5711</v>
      </c>
      <c r="G1184" s="5" t="s">
        <v>91</v>
      </c>
      <c r="H1184" s="5" t="s">
        <v>43</v>
      </c>
      <c r="I1184" s="5" t="s">
        <v>92</v>
      </c>
      <c r="J1184" s="21" t="s">
        <v>131</v>
      </c>
      <c r="K1184" s="21" t="s">
        <v>2734</v>
      </c>
      <c r="L1184" s="6" t="s">
        <v>2735</v>
      </c>
      <c r="M1184" s="5">
        <v>20</v>
      </c>
      <c r="N1184" s="5" t="s">
        <v>91</v>
      </c>
      <c r="O1184" s="5" t="s">
        <v>91</v>
      </c>
      <c r="P1184" s="5" t="s">
        <v>1215</v>
      </c>
      <c r="Q1184" s="6" t="s">
        <v>2573</v>
      </c>
      <c r="R1184" s="6" t="s">
        <v>2106</v>
      </c>
      <c r="S1184" s="6"/>
      <c r="T1184" s="6"/>
      <c r="U1184" s="5"/>
      <c r="V1184" s="6" t="s">
        <v>2736</v>
      </c>
      <c r="W1184" s="6" t="s">
        <v>794</v>
      </c>
      <c r="X1184" s="6"/>
      <c r="Y1184" s="22"/>
      <c r="Z1184" s="6">
        <v>7</v>
      </c>
      <c r="AA1184" s="21"/>
      <c r="AB1184" s="23">
        <v>44147</v>
      </c>
      <c r="AC1184" s="21" t="s">
        <v>30</v>
      </c>
      <c r="AD1184" s="24" t="s">
        <v>296</v>
      </c>
      <c r="AE1184" s="6" t="s">
        <v>31</v>
      </c>
      <c r="AF1184" s="6"/>
      <c r="AG1184" s="6" t="s">
        <v>3041</v>
      </c>
    </row>
    <row r="1185" spans="1:33" ht="7.5" customHeight="1" x14ac:dyDescent="0.25">
      <c r="A1185" s="27"/>
      <c r="B1185" s="39"/>
      <c r="C1185" s="39"/>
      <c r="D1185" s="39"/>
      <c r="E1185" s="28"/>
      <c r="F1185" s="27"/>
      <c r="G1185" s="27"/>
      <c r="H1185" s="27"/>
      <c r="I1185" s="27"/>
      <c r="J1185" s="30"/>
      <c r="K1185" s="30"/>
      <c r="L1185" s="29"/>
      <c r="M1185" s="27"/>
      <c r="N1185" s="27"/>
      <c r="O1185" s="27"/>
      <c r="P1185" s="27"/>
      <c r="Q1185" s="29"/>
      <c r="R1185" s="29"/>
      <c r="S1185" s="29"/>
      <c r="T1185" s="29"/>
      <c r="U1185" s="27"/>
      <c r="V1185" s="29"/>
      <c r="W1185" s="29"/>
      <c r="X1185" s="29"/>
      <c r="Y1185" s="31"/>
      <c r="Z1185" s="29"/>
      <c r="AA1185" s="30"/>
      <c r="AB1185" s="32"/>
      <c r="AC1185" s="30"/>
      <c r="AD1185" s="33"/>
      <c r="AE1185" s="29"/>
      <c r="AF1185" s="29"/>
      <c r="AG1185" s="29"/>
    </row>
    <row r="1186" spans="1:33" ht="15" customHeight="1" x14ac:dyDescent="0.25">
      <c r="A1186" s="5">
        <v>48</v>
      </c>
      <c r="B1186" s="38">
        <v>44158</v>
      </c>
      <c r="C1186" s="38">
        <v>44137</v>
      </c>
      <c r="D1186" s="38">
        <v>44130</v>
      </c>
      <c r="E1186" s="34">
        <v>44158</v>
      </c>
      <c r="F1186" s="5">
        <v>5733</v>
      </c>
      <c r="G1186" s="5" t="s">
        <v>91</v>
      </c>
      <c r="H1186" s="5" t="s">
        <v>40</v>
      </c>
      <c r="I1186" s="5" t="s">
        <v>92</v>
      </c>
      <c r="J1186" s="21" t="s">
        <v>131</v>
      </c>
      <c r="K1186" s="21" t="s">
        <v>2824</v>
      </c>
      <c r="L1186" s="6" t="s">
        <v>2825</v>
      </c>
      <c r="M1186" s="5">
        <v>11</v>
      </c>
      <c r="N1186" s="5" t="s">
        <v>91</v>
      </c>
      <c r="O1186" s="5" t="s">
        <v>91</v>
      </c>
      <c r="P1186" s="5" t="s">
        <v>91</v>
      </c>
      <c r="Q1186" s="6" t="s">
        <v>2546</v>
      </c>
      <c r="R1186" s="6" t="s">
        <v>2368</v>
      </c>
      <c r="S1186" s="6"/>
      <c r="T1186" s="6"/>
      <c r="U1186" s="5"/>
      <c r="V1186" s="6"/>
      <c r="W1186" s="6" t="s">
        <v>1919</v>
      </c>
      <c r="X1186" s="6"/>
      <c r="Y1186" s="22"/>
      <c r="Z1186" s="6"/>
      <c r="AA1186" s="21"/>
      <c r="AB1186" s="23">
        <v>44151</v>
      </c>
      <c r="AC1186" s="21" t="s">
        <v>30</v>
      </c>
      <c r="AD1186" s="24" t="s">
        <v>2826</v>
      </c>
      <c r="AE1186" s="6" t="s">
        <v>31</v>
      </c>
      <c r="AF1186" s="6"/>
      <c r="AG1186" s="6" t="s">
        <v>3041</v>
      </c>
    </row>
    <row r="1187" spans="1:33" ht="15" customHeight="1" x14ac:dyDescent="0.25">
      <c r="A1187" s="5">
        <v>48</v>
      </c>
      <c r="B1187" s="38">
        <v>44158</v>
      </c>
      <c r="C1187" s="38">
        <v>44137</v>
      </c>
      <c r="D1187" s="38">
        <v>44130</v>
      </c>
      <c r="E1187" s="34">
        <v>44158</v>
      </c>
      <c r="F1187" s="5">
        <v>5736</v>
      </c>
      <c r="G1187" s="5" t="s">
        <v>91</v>
      </c>
      <c r="H1187" s="5" t="s">
        <v>43</v>
      </c>
      <c r="I1187" s="5" t="s">
        <v>92</v>
      </c>
      <c r="J1187" s="21" t="s">
        <v>131</v>
      </c>
      <c r="K1187" s="21" t="s">
        <v>2827</v>
      </c>
      <c r="L1187" s="6" t="s">
        <v>95</v>
      </c>
      <c r="M1187" s="5">
        <v>16</v>
      </c>
      <c r="N1187" s="5" t="s">
        <v>91</v>
      </c>
      <c r="O1187" s="5" t="s">
        <v>91</v>
      </c>
      <c r="P1187" s="5" t="s">
        <v>1215</v>
      </c>
      <c r="Q1187" s="6" t="s">
        <v>86</v>
      </c>
      <c r="R1187" s="6" t="s">
        <v>2368</v>
      </c>
      <c r="S1187" s="6"/>
      <c r="T1187" s="6"/>
      <c r="U1187" s="5"/>
      <c r="V1187" s="6"/>
      <c r="W1187" s="6" t="s">
        <v>2828</v>
      </c>
      <c r="X1187" s="6"/>
      <c r="Y1187" s="22"/>
      <c r="Z1187" s="6"/>
      <c r="AA1187" s="21"/>
      <c r="AB1187" s="23">
        <v>44131</v>
      </c>
      <c r="AC1187" s="21" t="s">
        <v>30</v>
      </c>
      <c r="AD1187" s="24">
        <v>4364.7299999999996</v>
      </c>
      <c r="AE1187" s="6" t="s">
        <v>36</v>
      </c>
      <c r="AF1187" s="6"/>
      <c r="AG1187" s="6" t="s">
        <v>3042</v>
      </c>
    </row>
    <row r="1188" spans="1:33" ht="7.5" customHeight="1" x14ac:dyDescent="0.25">
      <c r="A1188" s="27"/>
      <c r="B1188" s="39"/>
      <c r="C1188" s="39"/>
      <c r="D1188" s="39"/>
      <c r="E1188" s="28"/>
      <c r="F1188" s="27"/>
      <c r="G1188" s="27"/>
      <c r="H1188" s="27"/>
      <c r="I1188" s="27"/>
      <c r="J1188" s="30"/>
      <c r="K1188" s="30"/>
      <c r="L1188" s="29"/>
      <c r="M1188" s="27"/>
      <c r="N1188" s="27"/>
      <c r="O1188" s="27"/>
      <c r="P1188" s="27"/>
      <c r="Q1188" s="29"/>
      <c r="R1188" s="29"/>
      <c r="S1188" s="29"/>
      <c r="T1188" s="29"/>
      <c r="U1188" s="27"/>
      <c r="V1188" s="29"/>
      <c r="W1188" s="29"/>
      <c r="X1188" s="29"/>
      <c r="Y1188" s="31"/>
      <c r="Z1188" s="29"/>
      <c r="AA1188" s="30"/>
      <c r="AB1188" s="32"/>
      <c r="AC1188" s="30"/>
      <c r="AD1188" s="33"/>
      <c r="AE1188" s="29"/>
      <c r="AF1188" s="29"/>
      <c r="AG1188" s="29"/>
    </row>
    <row r="1189" spans="1:33" ht="15" customHeight="1" x14ac:dyDescent="0.25">
      <c r="A1189" s="5">
        <v>47</v>
      </c>
      <c r="B1189" s="38">
        <v>44151</v>
      </c>
      <c r="C1189" s="38">
        <v>44137</v>
      </c>
      <c r="D1189" s="38">
        <v>44130</v>
      </c>
      <c r="E1189" s="37">
        <v>44151</v>
      </c>
      <c r="F1189" s="5">
        <v>6742</v>
      </c>
      <c r="G1189" s="5" t="s">
        <v>91</v>
      </c>
      <c r="H1189" s="5" t="s">
        <v>40</v>
      </c>
      <c r="I1189" s="5" t="s">
        <v>92</v>
      </c>
      <c r="J1189" s="21" t="s">
        <v>191</v>
      </c>
      <c r="K1189" s="21" t="s">
        <v>2690</v>
      </c>
      <c r="L1189" s="6" t="s">
        <v>2691</v>
      </c>
      <c r="M1189" s="5">
        <v>12</v>
      </c>
      <c r="N1189" s="5" t="s">
        <v>91</v>
      </c>
      <c r="O1189" s="5" t="s">
        <v>91</v>
      </c>
      <c r="P1189" s="5" t="s">
        <v>91</v>
      </c>
      <c r="Q1189" s="6" t="s">
        <v>2573</v>
      </c>
      <c r="R1189" s="6" t="s">
        <v>194</v>
      </c>
      <c r="S1189" s="6"/>
      <c r="T1189" s="6"/>
      <c r="U1189" s="5"/>
      <c r="V1189" s="6"/>
      <c r="W1189" s="6" t="s">
        <v>672</v>
      </c>
      <c r="X1189" s="6"/>
      <c r="Y1189" s="22"/>
      <c r="Z1189" s="6">
        <v>5</v>
      </c>
      <c r="AA1189" s="21"/>
      <c r="AB1189" s="23">
        <v>44106</v>
      </c>
      <c r="AC1189" s="21" t="s">
        <v>32</v>
      </c>
      <c r="AD1189" s="24" t="s">
        <v>2692</v>
      </c>
      <c r="AE1189" s="6" t="s">
        <v>31</v>
      </c>
      <c r="AF1189" s="6"/>
      <c r="AG1189" s="6" t="s">
        <v>3039</v>
      </c>
    </row>
    <row r="1190" spans="1:33" ht="15" customHeight="1" x14ac:dyDescent="0.25">
      <c r="A1190" s="5">
        <v>47</v>
      </c>
      <c r="B1190" s="38">
        <v>44151</v>
      </c>
      <c r="C1190" s="38">
        <v>44137</v>
      </c>
      <c r="D1190" s="38">
        <v>44130</v>
      </c>
      <c r="E1190" s="37">
        <v>44151</v>
      </c>
      <c r="F1190" s="5">
        <v>6751</v>
      </c>
      <c r="G1190" s="5" t="s">
        <v>91</v>
      </c>
      <c r="H1190" s="5" t="s">
        <v>43</v>
      </c>
      <c r="I1190" s="5" t="s">
        <v>92</v>
      </c>
      <c r="J1190" s="21" t="s">
        <v>191</v>
      </c>
      <c r="K1190" s="21" t="s">
        <v>2693</v>
      </c>
      <c r="L1190" s="6" t="s">
        <v>2694</v>
      </c>
      <c r="M1190" s="5">
        <v>3</v>
      </c>
      <c r="N1190" s="5" t="s">
        <v>91</v>
      </c>
      <c r="O1190" s="5" t="s">
        <v>91</v>
      </c>
      <c r="P1190" s="5" t="s">
        <v>91</v>
      </c>
      <c r="Q1190" s="6"/>
      <c r="R1190" s="6" t="s">
        <v>1189</v>
      </c>
      <c r="S1190" s="6"/>
      <c r="T1190" s="6"/>
      <c r="U1190" s="5"/>
      <c r="V1190" s="6"/>
      <c r="W1190" s="6" t="s">
        <v>1705</v>
      </c>
      <c r="X1190" s="6"/>
      <c r="Y1190" s="22"/>
      <c r="Z1190" s="6">
        <v>1.5</v>
      </c>
      <c r="AA1190" s="21"/>
      <c r="AB1190" s="23">
        <v>44106</v>
      </c>
      <c r="AC1190" s="21" t="s">
        <v>30</v>
      </c>
      <c r="AD1190" s="24">
        <v>5340.76</v>
      </c>
      <c r="AE1190" s="6" t="s">
        <v>31</v>
      </c>
      <c r="AF1190" s="6" t="s">
        <v>2697</v>
      </c>
      <c r="AG1190" s="6" t="s">
        <v>3040</v>
      </c>
    </row>
    <row r="1191" spans="1:33" ht="7.5" customHeight="1" x14ac:dyDescent="0.25">
      <c r="A1191" s="27"/>
      <c r="B1191" s="39"/>
      <c r="C1191" s="39"/>
      <c r="D1191" s="39"/>
      <c r="E1191" s="28"/>
      <c r="F1191" s="27"/>
      <c r="G1191" s="27"/>
      <c r="H1191" s="27"/>
      <c r="I1191" s="27"/>
      <c r="J1191" s="30"/>
      <c r="K1191" s="30"/>
      <c r="L1191" s="29"/>
      <c r="M1191" s="27"/>
      <c r="N1191" s="27"/>
      <c r="O1191" s="27"/>
      <c r="P1191" s="27"/>
      <c r="Q1191" s="29"/>
      <c r="R1191" s="29"/>
      <c r="S1191" s="29"/>
      <c r="T1191" s="29"/>
      <c r="U1191" s="27"/>
      <c r="V1191" s="29"/>
      <c r="W1191" s="29"/>
      <c r="X1191" s="29"/>
      <c r="Y1191" s="31"/>
      <c r="Z1191" s="29"/>
      <c r="AA1191" s="30"/>
      <c r="AB1191" s="32"/>
      <c r="AC1191" s="30"/>
      <c r="AD1191" s="33"/>
      <c r="AE1191" s="29"/>
      <c r="AF1191" s="29"/>
      <c r="AG1191" s="29"/>
    </row>
    <row r="1192" spans="1:33" ht="15" customHeight="1" x14ac:dyDescent="0.25">
      <c r="A1192" s="5">
        <v>46</v>
      </c>
      <c r="B1192" s="38">
        <v>44146</v>
      </c>
      <c r="C1192" s="38">
        <v>44137</v>
      </c>
      <c r="D1192" s="38">
        <v>44132</v>
      </c>
      <c r="E1192" s="28">
        <v>44146</v>
      </c>
      <c r="F1192" s="5">
        <v>7806</v>
      </c>
      <c r="G1192" s="5" t="s">
        <v>91</v>
      </c>
      <c r="H1192" s="5" t="s">
        <v>43</v>
      </c>
      <c r="I1192" s="5" t="s">
        <v>92</v>
      </c>
      <c r="J1192" s="21" t="s">
        <v>214</v>
      </c>
      <c r="K1192" s="21" t="s">
        <v>2605</v>
      </c>
      <c r="L1192" s="6" t="s">
        <v>1790</v>
      </c>
      <c r="M1192" s="5">
        <v>12</v>
      </c>
      <c r="N1192" s="5" t="s">
        <v>91</v>
      </c>
      <c r="O1192" s="5" t="s">
        <v>91</v>
      </c>
      <c r="P1192" s="5" t="s">
        <v>1215</v>
      </c>
      <c r="Q1192" s="6" t="s">
        <v>2546</v>
      </c>
      <c r="R1192" s="6" t="s">
        <v>217</v>
      </c>
      <c r="S1192" s="6"/>
      <c r="T1192" s="6"/>
      <c r="U1192" s="5"/>
      <c r="V1192" s="6" t="s">
        <v>2606</v>
      </c>
      <c r="W1192" s="6" t="s">
        <v>2607</v>
      </c>
      <c r="X1192" s="6"/>
      <c r="Y1192" s="22"/>
      <c r="Z1192" s="6">
        <v>5.91</v>
      </c>
      <c r="AA1192" s="21"/>
      <c r="AB1192" s="23">
        <v>44139</v>
      </c>
      <c r="AC1192" s="21" t="s">
        <v>30</v>
      </c>
      <c r="AD1192" s="24" t="s">
        <v>2608</v>
      </c>
      <c r="AE1192" s="6" t="s">
        <v>37</v>
      </c>
      <c r="AF1192" s="6"/>
      <c r="AG1192" s="6" t="s">
        <v>3041</v>
      </c>
    </row>
    <row r="1193" spans="1:33" ht="15" customHeight="1" x14ac:dyDescent="0.25">
      <c r="A1193" s="5">
        <v>46</v>
      </c>
      <c r="B1193" s="38">
        <v>44146</v>
      </c>
      <c r="C1193" s="38">
        <v>44137</v>
      </c>
      <c r="D1193" s="38">
        <v>44116</v>
      </c>
      <c r="E1193" s="28">
        <v>44146</v>
      </c>
      <c r="F1193" s="5">
        <v>7801</v>
      </c>
      <c r="G1193" s="5" t="s">
        <v>91</v>
      </c>
      <c r="H1193" s="5" t="s">
        <v>41</v>
      </c>
      <c r="I1193" s="5" t="s">
        <v>92</v>
      </c>
      <c r="J1193" s="21" t="s">
        <v>214</v>
      </c>
      <c r="K1193" s="21" t="s">
        <v>2609</v>
      </c>
      <c r="L1193" s="6" t="s">
        <v>2610</v>
      </c>
      <c r="M1193" s="5">
        <v>9</v>
      </c>
      <c r="N1193" s="5" t="s">
        <v>91</v>
      </c>
      <c r="O1193" s="5" t="s">
        <v>91</v>
      </c>
      <c r="P1193" s="5" t="s">
        <v>91</v>
      </c>
      <c r="Q1193" s="6" t="s">
        <v>2557</v>
      </c>
      <c r="R1193" s="6" t="s">
        <v>223</v>
      </c>
      <c r="S1193" s="6"/>
      <c r="T1193" s="6"/>
      <c r="U1193" s="5"/>
      <c r="V1193" s="6"/>
      <c r="W1193" s="6" t="s">
        <v>624</v>
      </c>
      <c r="X1193" s="6"/>
      <c r="Y1193" s="22"/>
      <c r="Z1193" s="6">
        <v>4.28</v>
      </c>
      <c r="AA1193" s="21" t="s">
        <v>2611</v>
      </c>
      <c r="AB1193" s="23">
        <v>44127</v>
      </c>
      <c r="AC1193" s="21" t="s">
        <v>32</v>
      </c>
      <c r="AD1193" s="24" t="s">
        <v>2612</v>
      </c>
      <c r="AE1193" s="6" t="s">
        <v>38</v>
      </c>
      <c r="AF1193" s="6"/>
      <c r="AG1193" s="6" t="s">
        <v>3042</v>
      </c>
    </row>
    <row r="1194" spans="1:33" ht="7.5" customHeight="1" x14ac:dyDescent="0.25">
      <c r="A1194" s="27"/>
      <c r="B1194" s="39"/>
      <c r="C1194" s="39"/>
      <c r="D1194" s="39"/>
      <c r="E1194" s="28"/>
      <c r="F1194" s="27"/>
      <c r="G1194" s="27"/>
      <c r="H1194" s="27"/>
      <c r="I1194" s="27"/>
      <c r="J1194" s="30"/>
      <c r="K1194" s="30"/>
      <c r="L1194" s="29"/>
      <c r="M1194" s="27"/>
      <c r="N1194" s="27"/>
      <c r="O1194" s="27"/>
      <c r="P1194" s="27"/>
      <c r="Q1194" s="29"/>
      <c r="R1194" s="29"/>
      <c r="S1194" s="29"/>
      <c r="T1194" s="29"/>
      <c r="U1194" s="27"/>
      <c r="V1194" s="29"/>
      <c r="W1194" s="29"/>
      <c r="X1194" s="29"/>
      <c r="Y1194" s="31"/>
      <c r="Z1194" s="29"/>
      <c r="AA1194" s="30"/>
      <c r="AB1194" s="32"/>
      <c r="AC1194" s="30"/>
      <c r="AD1194" s="33"/>
      <c r="AE1194" s="29"/>
      <c r="AF1194" s="29"/>
      <c r="AG1194" s="29"/>
    </row>
    <row r="1195" spans="1:33" ht="15" customHeight="1" x14ac:dyDescent="0.25">
      <c r="A1195" s="5">
        <v>48</v>
      </c>
      <c r="B1195" s="38">
        <v>44162</v>
      </c>
      <c r="C1195" s="38">
        <v>44137</v>
      </c>
      <c r="D1195" s="38">
        <v>44124</v>
      </c>
      <c r="E1195" s="34">
        <v>44162</v>
      </c>
      <c r="F1195" s="5">
        <v>8802</v>
      </c>
      <c r="G1195" s="5" t="s">
        <v>91</v>
      </c>
      <c r="H1195" s="5" t="s">
        <v>40</v>
      </c>
      <c r="I1195" s="5" t="s">
        <v>92</v>
      </c>
      <c r="J1195" s="21" t="s">
        <v>147</v>
      </c>
      <c r="K1195" s="21" t="s">
        <v>2959</v>
      </c>
      <c r="L1195" s="6" t="s">
        <v>2960</v>
      </c>
      <c r="M1195" s="5">
        <v>34</v>
      </c>
      <c r="N1195" s="5" t="s">
        <v>91</v>
      </c>
      <c r="O1195" s="5" t="s">
        <v>91</v>
      </c>
      <c r="P1195" s="5"/>
      <c r="Q1195" s="6" t="s">
        <v>2582</v>
      </c>
      <c r="R1195" s="6" t="s">
        <v>2961</v>
      </c>
      <c r="S1195" s="6" t="s">
        <v>2962</v>
      </c>
      <c r="T1195" s="6"/>
      <c r="U1195" s="5"/>
      <c r="V1195" s="6" t="s">
        <v>2963</v>
      </c>
      <c r="W1195" s="6" t="s">
        <v>2964</v>
      </c>
      <c r="X1195" s="6" t="s">
        <v>2965</v>
      </c>
      <c r="Y1195" s="22"/>
      <c r="Z1195" s="6"/>
      <c r="AA1195" s="21"/>
      <c r="AB1195" s="23"/>
      <c r="AC1195" s="21" t="s">
        <v>32</v>
      </c>
      <c r="AD1195" s="24"/>
      <c r="AE1195" s="6" t="s">
        <v>36</v>
      </c>
      <c r="AF1195" s="6"/>
      <c r="AG1195" s="6" t="s">
        <v>3041</v>
      </c>
    </row>
    <row r="1196" spans="1:33" ht="7.5" customHeight="1" x14ac:dyDescent="0.25">
      <c r="A1196" s="27"/>
      <c r="B1196" s="39"/>
      <c r="C1196" s="39"/>
      <c r="D1196" s="39"/>
      <c r="E1196" s="28"/>
      <c r="F1196" s="27"/>
      <c r="G1196" s="27"/>
      <c r="H1196" s="27"/>
      <c r="I1196" s="27"/>
      <c r="J1196" s="30"/>
      <c r="K1196" s="30"/>
      <c r="L1196" s="29"/>
      <c r="M1196" s="27"/>
      <c r="N1196" s="27"/>
      <c r="O1196" s="27"/>
      <c r="P1196" s="27"/>
      <c r="Q1196" s="29"/>
      <c r="R1196" s="29"/>
      <c r="S1196" s="29"/>
      <c r="T1196" s="29"/>
      <c r="U1196" s="27"/>
      <c r="V1196" s="29"/>
      <c r="W1196" s="29"/>
      <c r="X1196" s="29"/>
      <c r="Y1196" s="31"/>
      <c r="Z1196" s="29"/>
      <c r="AA1196" s="30"/>
      <c r="AB1196" s="32"/>
      <c r="AC1196" s="30"/>
      <c r="AD1196" s="33"/>
      <c r="AE1196" s="29"/>
      <c r="AF1196" s="29"/>
      <c r="AG1196" s="29"/>
    </row>
    <row r="1197" spans="1:33" ht="15" customHeight="1" x14ac:dyDescent="0.25">
      <c r="A1197" s="5">
        <v>47</v>
      </c>
      <c r="B1197" s="38">
        <v>44154</v>
      </c>
      <c r="C1197" s="38">
        <v>44138</v>
      </c>
      <c r="D1197" s="38">
        <v>44123</v>
      </c>
      <c r="E1197" s="37">
        <v>44154</v>
      </c>
      <c r="F1197" s="5">
        <v>1624</v>
      </c>
      <c r="G1197" s="5" t="s">
        <v>91</v>
      </c>
      <c r="H1197" s="5" t="s">
        <v>40</v>
      </c>
      <c r="I1197" s="5" t="s">
        <v>92</v>
      </c>
      <c r="J1197" s="21" t="s">
        <v>372</v>
      </c>
      <c r="K1197" s="21" t="s">
        <v>1797</v>
      </c>
      <c r="L1197" s="6" t="s">
        <v>2773</v>
      </c>
      <c r="M1197" s="5">
        <v>18</v>
      </c>
      <c r="N1197" s="5" t="s">
        <v>91</v>
      </c>
      <c r="O1197" s="5" t="s">
        <v>91</v>
      </c>
      <c r="P1197" s="5" t="s">
        <v>91</v>
      </c>
      <c r="Q1197" s="6" t="s">
        <v>2573</v>
      </c>
      <c r="R1197" s="6" t="s">
        <v>112</v>
      </c>
      <c r="S1197" s="6" t="s">
        <v>265</v>
      </c>
      <c r="T1197" s="6" t="s">
        <v>2774</v>
      </c>
      <c r="U1197" s="5"/>
      <c r="V1197" s="6"/>
      <c r="W1197" s="6" t="s">
        <v>2775</v>
      </c>
      <c r="X1197" s="6" t="s">
        <v>2776</v>
      </c>
      <c r="Y1197" s="22"/>
      <c r="Z1197" s="6"/>
      <c r="AA1197" s="21"/>
      <c r="AB1197" s="23">
        <v>44132</v>
      </c>
      <c r="AC1197" s="21" t="s">
        <v>32</v>
      </c>
      <c r="AD1197" s="24">
        <v>292.63</v>
      </c>
      <c r="AE1197" s="6" t="s">
        <v>38</v>
      </c>
      <c r="AF1197" s="6"/>
      <c r="AG1197" s="6" t="s">
        <v>3041</v>
      </c>
    </row>
    <row r="1198" spans="1:33" ht="7.5" customHeight="1" x14ac:dyDescent="0.25">
      <c r="A1198" s="27"/>
      <c r="B1198" s="39"/>
      <c r="C1198" s="39"/>
      <c r="D1198" s="39"/>
      <c r="E1198" s="28"/>
      <c r="F1198" s="27"/>
      <c r="G1198" s="27"/>
      <c r="H1198" s="27"/>
      <c r="I1198" s="27"/>
      <c r="J1198" s="30"/>
      <c r="K1198" s="30"/>
      <c r="L1198" s="29"/>
      <c r="M1198" s="27"/>
      <c r="N1198" s="27"/>
      <c r="O1198" s="27"/>
      <c r="P1198" s="27"/>
      <c r="Q1198" s="29"/>
      <c r="R1198" s="29"/>
      <c r="S1198" s="29"/>
      <c r="T1198" s="29"/>
      <c r="U1198" s="27"/>
      <c r="V1198" s="29"/>
      <c r="W1198" s="29"/>
      <c r="X1198" s="29"/>
      <c r="Y1198" s="31"/>
      <c r="Z1198" s="29"/>
      <c r="AA1198" s="30"/>
      <c r="AB1198" s="32"/>
      <c r="AC1198" s="30"/>
      <c r="AD1198" s="33"/>
      <c r="AE1198" s="29"/>
      <c r="AF1198" s="29"/>
      <c r="AG1198" s="29"/>
    </row>
    <row r="1199" spans="1:33" ht="15" customHeight="1" x14ac:dyDescent="0.25">
      <c r="A1199" s="5">
        <v>47</v>
      </c>
      <c r="B1199" s="38">
        <v>44152</v>
      </c>
      <c r="C1199" s="38">
        <v>44138</v>
      </c>
      <c r="D1199" s="38">
        <v>44131</v>
      </c>
      <c r="E1199" s="37">
        <v>44152</v>
      </c>
      <c r="F1199" s="5">
        <v>3131</v>
      </c>
      <c r="G1199" s="5" t="s">
        <v>91</v>
      </c>
      <c r="H1199" s="5" t="s">
        <v>43</v>
      </c>
      <c r="I1199" s="5" t="s">
        <v>92</v>
      </c>
      <c r="J1199" s="21" t="s">
        <v>93</v>
      </c>
      <c r="K1199" s="21" t="s">
        <v>215</v>
      </c>
      <c r="L1199" s="6" t="s">
        <v>2703</v>
      </c>
      <c r="M1199" s="5">
        <v>12</v>
      </c>
      <c r="N1199" s="5" t="s">
        <v>91</v>
      </c>
      <c r="O1199" s="5" t="s">
        <v>91</v>
      </c>
      <c r="P1199" s="5" t="s">
        <v>91</v>
      </c>
      <c r="Q1199" s="6" t="s">
        <v>2557</v>
      </c>
      <c r="R1199" s="6" t="s">
        <v>1473</v>
      </c>
      <c r="S1199" s="6" t="s">
        <v>265</v>
      </c>
      <c r="T1199" s="6"/>
      <c r="U1199" s="5"/>
      <c r="V1199" s="6"/>
      <c r="W1199" s="6" t="s">
        <v>2704</v>
      </c>
      <c r="X1199" s="6" t="s">
        <v>2705</v>
      </c>
      <c r="Y1199" s="22"/>
      <c r="Z1199" s="6"/>
      <c r="AA1199" s="21"/>
      <c r="AB1199" s="23"/>
      <c r="AC1199" s="21" t="s">
        <v>33</v>
      </c>
      <c r="AD1199" s="24"/>
      <c r="AE1199" s="6" t="s">
        <v>31</v>
      </c>
      <c r="AF1199" s="6"/>
      <c r="AG1199" s="6" t="s">
        <v>3039</v>
      </c>
    </row>
    <row r="1200" spans="1:33" ht="7.5" customHeight="1" x14ac:dyDescent="0.25">
      <c r="A1200" s="27"/>
      <c r="B1200" s="39"/>
      <c r="C1200" s="39"/>
      <c r="D1200" s="39"/>
      <c r="E1200" s="28"/>
      <c r="F1200" s="27"/>
      <c r="G1200" s="27"/>
      <c r="H1200" s="27"/>
      <c r="I1200" s="27"/>
      <c r="J1200" s="30"/>
      <c r="K1200" s="30"/>
      <c r="L1200" s="29"/>
      <c r="M1200" s="27"/>
      <c r="N1200" s="27"/>
      <c r="O1200" s="27"/>
      <c r="P1200" s="27"/>
      <c r="Q1200" s="29"/>
      <c r="R1200" s="29"/>
      <c r="S1200" s="29"/>
      <c r="T1200" s="29"/>
      <c r="U1200" s="27"/>
      <c r="V1200" s="29"/>
      <c r="W1200" s="29"/>
      <c r="X1200" s="29"/>
      <c r="Y1200" s="31"/>
      <c r="Z1200" s="29"/>
      <c r="AA1200" s="30"/>
      <c r="AB1200" s="32"/>
      <c r="AC1200" s="30"/>
      <c r="AD1200" s="33"/>
      <c r="AE1200" s="29"/>
      <c r="AF1200" s="29"/>
      <c r="AG1200" s="29"/>
    </row>
    <row r="1201" spans="1:33" ht="15" customHeight="1" x14ac:dyDescent="0.25">
      <c r="A1201" s="5">
        <v>46</v>
      </c>
      <c r="B1201" s="38">
        <v>44147</v>
      </c>
      <c r="C1201" s="38">
        <v>44138</v>
      </c>
      <c r="D1201" s="38">
        <v>44127</v>
      </c>
      <c r="E1201" s="28">
        <v>44147</v>
      </c>
      <c r="F1201" s="5">
        <v>4858</v>
      </c>
      <c r="G1201" s="5" t="s">
        <v>91</v>
      </c>
      <c r="H1201" s="5" t="s">
        <v>40</v>
      </c>
      <c r="I1201" s="5" t="s">
        <v>92</v>
      </c>
      <c r="J1201" s="21" t="s">
        <v>109</v>
      </c>
      <c r="K1201" s="21" t="s">
        <v>1051</v>
      </c>
      <c r="L1201" s="6" t="s">
        <v>2622</v>
      </c>
      <c r="M1201" s="5">
        <v>9</v>
      </c>
      <c r="N1201" s="5" t="s">
        <v>91</v>
      </c>
      <c r="O1201" s="5" t="s">
        <v>91</v>
      </c>
      <c r="P1201" s="5" t="s">
        <v>91</v>
      </c>
      <c r="Q1201" s="6" t="s">
        <v>2546</v>
      </c>
      <c r="R1201" s="6" t="s">
        <v>112</v>
      </c>
      <c r="S1201" s="6"/>
      <c r="T1201" s="6"/>
      <c r="U1201" s="5"/>
      <c r="V1201" s="6"/>
      <c r="W1201" s="6" t="s">
        <v>2623</v>
      </c>
      <c r="X1201" s="6"/>
      <c r="Y1201" s="22"/>
      <c r="Z1201" s="6">
        <v>4.0999999999999996</v>
      </c>
      <c r="AA1201" s="21"/>
      <c r="AB1201" s="23"/>
      <c r="AC1201" s="21" t="s">
        <v>30</v>
      </c>
      <c r="AD1201" s="24"/>
      <c r="AE1201" s="6" t="s">
        <v>31</v>
      </c>
      <c r="AF1201" s="6"/>
      <c r="AG1201" s="6" t="s">
        <v>3042</v>
      </c>
    </row>
    <row r="1202" spans="1:33" ht="15" customHeight="1" x14ac:dyDescent="0.25">
      <c r="A1202" s="5">
        <v>46</v>
      </c>
      <c r="B1202" s="38">
        <v>44147</v>
      </c>
      <c r="C1202" s="38">
        <v>44138</v>
      </c>
      <c r="D1202" s="38">
        <v>44123</v>
      </c>
      <c r="E1202" s="28">
        <v>44147</v>
      </c>
      <c r="F1202" s="5">
        <v>8801</v>
      </c>
      <c r="G1202" s="5" t="s">
        <v>91</v>
      </c>
      <c r="H1202" s="5" t="s">
        <v>40</v>
      </c>
      <c r="I1202" s="5" t="s">
        <v>92</v>
      </c>
      <c r="J1202" s="21" t="s">
        <v>147</v>
      </c>
      <c r="K1202" s="21" t="s">
        <v>2630</v>
      </c>
      <c r="L1202" s="6" t="s">
        <v>95</v>
      </c>
      <c r="M1202" s="5">
        <v>0</v>
      </c>
      <c r="N1202" s="5" t="s">
        <v>91</v>
      </c>
      <c r="O1202" s="5" t="s">
        <v>91</v>
      </c>
      <c r="P1202" s="5" t="s">
        <v>91</v>
      </c>
      <c r="Q1202" s="6"/>
      <c r="R1202" s="6" t="s">
        <v>529</v>
      </c>
      <c r="S1202" s="6"/>
      <c r="T1202" s="6"/>
      <c r="U1202" s="5"/>
      <c r="V1202" s="6"/>
      <c r="W1202" s="6" t="s">
        <v>2535</v>
      </c>
      <c r="X1202" s="6"/>
      <c r="Y1202" s="22"/>
      <c r="Z1202" s="6"/>
      <c r="AA1202" s="21"/>
      <c r="AB1202" s="23">
        <v>44116</v>
      </c>
      <c r="AC1202" s="21" t="s">
        <v>32</v>
      </c>
      <c r="AD1202" s="24" t="s">
        <v>2631</v>
      </c>
      <c r="AE1202" s="6" t="s">
        <v>31</v>
      </c>
      <c r="AF1202" s="6"/>
      <c r="AG1202" s="6" t="s">
        <v>3041</v>
      </c>
    </row>
    <row r="1203" spans="1:33" ht="15" customHeight="1" x14ac:dyDescent="0.25">
      <c r="A1203" s="5">
        <v>46</v>
      </c>
      <c r="B1203" s="38">
        <v>44147</v>
      </c>
      <c r="C1203" s="38">
        <v>44138</v>
      </c>
      <c r="D1203" s="38">
        <v>44119</v>
      </c>
      <c r="E1203" s="28">
        <v>44147</v>
      </c>
      <c r="F1203" s="5">
        <v>8797</v>
      </c>
      <c r="G1203" s="5" t="s">
        <v>91</v>
      </c>
      <c r="H1203" s="5" t="s">
        <v>43</v>
      </c>
      <c r="I1203" s="5" t="s">
        <v>92</v>
      </c>
      <c r="J1203" s="21" t="s">
        <v>147</v>
      </c>
      <c r="K1203" s="21" t="s">
        <v>2637</v>
      </c>
      <c r="L1203" s="6" t="s">
        <v>2638</v>
      </c>
      <c r="M1203" s="5">
        <v>1</v>
      </c>
      <c r="N1203" s="5" t="s">
        <v>91</v>
      </c>
      <c r="O1203" s="5" t="s">
        <v>91</v>
      </c>
      <c r="P1203" s="5" t="s">
        <v>91</v>
      </c>
      <c r="Q1203" s="6" t="s">
        <v>105</v>
      </c>
      <c r="R1203" s="6" t="s">
        <v>106</v>
      </c>
      <c r="S1203" s="6"/>
      <c r="T1203" s="6"/>
      <c r="U1203" s="5"/>
      <c r="V1203" s="6"/>
      <c r="W1203" s="6" t="s">
        <v>106</v>
      </c>
      <c r="X1203" s="6" t="s">
        <v>2639</v>
      </c>
      <c r="Y1203" s="22"/>
      <c r="Z1203" s="6"/>
      <c r="AA1203" s="21"/>
      <c r="AB1203" s="23">
        <v>44097</v>
      </c>
      <c r="AC1203" s="21" t="s">
        <v>32</v>
      </c>
      <c r="AD1203" s="24">
        <v>11971.93</v>
      </c>
      <c r="AE1203" s="6" t="s">
        <v>31</v>
      </c>
      <c r="AF1203" s="6"/>
      <c r="AG1203" s="6" t="s">
        <v>3040</v>
      </c>
    </row>
    <row r="1204" spans="1:33" ht="15" customHeight="1" x14ac:dyDescent="0.25">
      <c r="A1204" s="5">
        <v>46</v>
      </c>
      <c r="B1204" s="38">
        <v>44147</v>
      </c>
      <c r="C1204" s="38">
        <v>44138</v>
      </c>
      <c r="D1204" s="38">
        <v>44117</v>
      </c>
      <c r="E1204" s="28">
        <v>44147</v>
      </c>
      <c r="F1204" s="5">
        <v>9717</v>
      </c>
      <c r="G1204" s="5" t="s">
        <v>91</v>
      </c>
      <c r="H1204" s="5" t="s">
        <v>40</v>
      </c>
      <c r="I1204" s="5" t="s">
        <v>92</v>
      </c>
      <c r="J1204" s="21" t="s">
        <v>159</v>
      </c>
      <c r="K1204" s="21">
        <v>258374</v>
      </c>
      <c r="L1204" s="6" t="s">
        <v>1261</v>
      </c>
      <c r="M1204" s="5">
        <v>1</v>
      </c>
      <c r="N1204" s="5" t="s">
        <v>91</v>
      </c>
      <c r="O1204" s="5" t="s">
        <v>91</v>
      </c>
      <c r="P1204" s="5" t="s">
        <v>91</v>
      </c>
      <c r="Q1204" s="6"/>
      <c r="R1204" s="6" t="s">
        <v>979</v>
      </c>
      <c r="S1204" s="6"/>
      <c r="T1204" s="6"/>
      <c r="U1204" s="5"/>
      <c r="V1204" s="6"/>
      <c r="W1204" s="6" t="s">
        <v>2640</v>
      </c>
      <c r="X1204" s="6"/>
      <c r="Y1204" s="22"/>
      <c r="Z1204" s="6"/>
      <c r="AA1204" s="21"/>
      <c r="AB1204" s="23">
        <v>44118</v>
      </c>
      <c r="AC1204" s="21" t="s">
        <v>33</v>
      </c>
      <c r="AD1204" s="24">
        <v>595.78</v>
      </c>
      <c r="AE1204" s="6" t="s">
        <v>31</v>
      </c>
      <c r="AF1204" s="6"/>
      <c r="AG1204" s="6" t="s">
        <v>3041</v>
      </c>
    </row>
    <row r="1205" spans="1:33" ht="7.5" customHeight="1" x14ac:dyDescent="0.25">
      <c r="A1205" s="27"/>
      <c r="B1205" s="39"/>
      <c r="C1205" s="39"/>
      <c r="D1205" s="39"/>
      <c r="E1205" s="28"/>
      <c r="F1205" s="27"/>
      <c r="G1205" s="27"/>
      <c r="H1205" s="27"/>
      <c r="I1205" s="27"/>
      <c r="J1205" s="30"/>
      <c r="K1205" s="30"/>
      <c r="L1205" s="29"/>
      <c r="M1205" s="27"/>
      <c r="N1205" s="27"/>
      <c r="O1205" s="27"/>
      <c r="P1205" s="27"/>
      <c r="Q1205" s="29"/>
      <c r="R1205" s="29"/>
      <c r="S1205" s="29"/>
      <c r="T1205" s="29"/>
      <c r="U1205" s="27"/>
      <c r="V1205" s="29"/>
      <c r="W1205" s="29"/>
      <c r="X1205" s="29"/>
      <c r="Y1205" s="31"/>
      <c r="Z1205" s="29"/>
      <c r="AA1205" s="30"/>
      <c r="AB1205" s="32"/>
      <c r="AC1205" s="30"/>
      <c r="AD1205" s="33"/>
      <c r="AE1205" s="29"/>
      <c r="AF1205" s="29"/>
      <c r="AG1205" s="29"/>
    </row>
    <row r="1206" spans="1:33" ht="15" customHeight="1" x14ac:dyDescent="0.25">
      <c r="A1206" s="5">
        <v>47</v>
      </c>
      <c r="B1206" s="38">
        <v>44153</v>
      </c>
      <c r="C1206" s="38">
        <v>44139</v>
      </c>
      <c r="D1206" s="38">
        <v>44132</v>
      </c>
      <c r="E1206" s="37">
        <v>44153</v>
      </c>
      <c r="F1206" s="5">
        <v>10725</v>
      </c>
      <c r="G1206" s="5" t="s">
        <v>91</v>
      </c>
      <c r="H1206" s="5" t="s">
        <v>41</v>
      </c>
      <c r="I1206" s="5" t="s">
        <v>92</v>
      </c>
      <c r="J1206" s="21" t="s">
        <v>170</v>
      </c>
      <c r="K1206" s="21" t="s">
        <v>2711</v>
      </c>
      <c r="L1206" s="6" t="s">
        <v>2493</v>
      </c>
      <c r="M1206" s="5">
        <v>0</v>
      </c>
      <c r="N1206" s="5" t="s">
        <v>91</v>
      </c>
      <c r="O1206" s="5" t="s">
        <v>91</v>
      </c>
      <c r="P1206" s="5" t="s">
        <v>91</v>
      </c>
      <c r="Q1206" s="6" t="s">
        <v>105</v>
      </c>
      <c r="R1206" s="6" t="s">
        <v>112</v>
      </c>
      <c r="S1206" s="6"/>
      <c r="T1206" s="6"/>
      <c r="U1206" s="5"/>
      <c r="V1206" s="6" t="s">
        <v>113</v>
      </c>
      <c r="W1206" s="6" t="s">
        <v>173</v>
      </c>
      <c r="X1206" s="6"/>
      <c r="Y1206" s="22"/>
      <c r="Z1206" s="6"/>
      <c r="AA1206" s="21" t="s">
        <v>2712</v>
      </c>
      <c r="AB1206" s="23">
        <v>44099</v>
      </c>
      <c r="AC1206" s="21" t="s">
        <v>30</v>
      </c>
      <c r="AD1206" s="24">
        <v>14774.48</v>
      </c>
      <c r="AE1206" s="6" t="s">
        <v>36</v>
      </c>
      <c r="AF1206" s="6"/>
      <c r="AG1206" s="6" t="s">
        <v>3041</v>
      </c>
    </row>
    <row r="1207" spans="1:33" ht="7.5" customHeight="1" x14ac:dyDescent="0.25">
      <c r="A1207" s="27"/>
      <c r="B1207" s="39"/>
      <c r="C1207" s="39"/>
      <c r="D1207" s="39"/>
      <c r="E1207" s="28"/>
      <c r="F1207" s="27"/>
      <c r="G1207" s="27"/>
      <c r="H1207" s="27"/>
      <c r="I1207" s="27"/>
      <c r="J1207" s="30"/>
      <c r="K1207" s="30"/>
      <c r="L1207" s="29"/>
      <c r="M1207" s="27"/>
      <c r="N1207" s="27"/>
      <c r="O1207" s="27"/>
      <c r="P1207" s="27"/>
      <c r="Q1207" s="29"/>
      <c r="R1207" s="29"/>
      <c r="S1207" s="29"/>
      <c r="T1207" s="29"/>
      <c r="U1207" s="27"/>
      <c r="V1207" s="29"/>
      <c r="W1207" s="29"/>
      <c r="X1207" s="29"/>
      <c r="Y1207" s="31"/>
      <c r="Z1207" s="29"/>
      <c r="AA1207" s="30"/>
      <c r="AB1207" s="32"/>
      <c r="AC1207" s="30"/>
      <c r="AD1207" s="33"/>
      <c r="AE1207" s="29"/>
      <c r="AF1207" s="29"/>
      <c r="AG1207" s="29"/>
    </row>
    <row r="1208" spans="1:33" ht="15" customHeight="1" x14ac:dyDescent="0.25">
      <c r="A1208" s="5">
        <v>48</v>
      </c>
      <c r="B1208" s="38">
        <v>44160</v>
      </c>
      <c r="C1208" s="38">
        <v>44139</v>
      </c>
      <c r="D1208" s="38">
        <v>44132</v>
      </c>
      <c r="E1208" s="34">
        <v>44160</v>
      </c>
      <c r="F1208" s="5">
        <v>10719</v>
      </c>
      <c r="G1208" s="5" t="s">
        <v>91</v>
      </c>
      <c r="H1208" s="5" t="s">
        <v>43</v>
      </c>
      <c r="I1208" s="5" t="s">
        <v>92</v>
      </c>
      <c r="J1208" s="21" t="s">
        <v>170</v>
      </c>
      <c r="K1208" s="21" t="s">
        <v>2864</v>
      </c>
      <c r="L1208" s="6" t="s">
        <v>2865</v>
      </c>
      <c r="M1208" s="5">
        <v>6</v>
      </c>
      <c r="N1208" s="5" t="s">
        <v>91</v>
      </c>
      <c r="O1208" s="5" t="s">
        <v>91</v>
      </c>
      <c r="P1208" s="5" t="s">
        <v>1215</v>
      </c>
      <c r="Q1208" s="6" t="s">
        <v>2557</v>
      </c>
      <c r="R1208" s="6" t="s">
        <v>734</v>
      </c>
      <c r="S1208" s="6"/>
      <c r="T1208" s="6"/>
      <c r="U1208" s="5"/>
      <c r="V1208" s="6" t="s">
        <v>2866</v>
      </c>
      <c r="W1208" s="6" t="s">
        <v>2285</v>
      </c>
      <c r="X1208" s="6" t="s">
        <v>2867</v>
      </c>
      <c r="Y1208" s="22"/>
      <c r="Z1208" s="6">
        <v>2.1</v>
      </c>
      <c r="AA1208" s="21" t="s">
        <v>2868</v>
      </c>
      <c r="AB1208" s="23">
        <v>44125</v>
      </c>
      <c r="AC1208" s="21" t="s">
        <v>33</v>
      </c>
      <c r="AD1208" s="24">
        <v>6249.45</v>
      </c>
      <c r="AE1208" s="6" t="s">
        <v>35</v>
      </c>
      <c r="AF1208" s="6"/>
      <c r="AG1208" s="6" t="s">
        <v>3040</v>
      </c>
    </row>
    <row r="1209" spans="1:33" ht="15" customHeight="1" x14ac:dyDescent="0.25">
      <c r="A1209" s="5">
        <v>48</v>
      </c>
      <c r="B1209" s="38">
        <v>44160</v>
      </c>
      <c r="C1209" s="38">
        <v>44139</v>
      </c>
      <c r="D1209" s="38">
        <v>44132</v>
      </c>
      <c r="E1209" s="34">
        <v>44160</v>
      </c>
      <c r="F1209" s="5">
        <v>10721</v>
      </c>
      <c r="G1209" s="5" t="s">
        <v>91</v>
      </c>
      <c r="H1209" s="5" t="s">
        <v>43</v>
      </c>
      <c r="I1209" s="5" t="s">
        <v>92</v>
      </c>
      <c r="J1209" s="21" t="s">
        <v>170</v>
      </c>
      <c r="K1209" s="21" t="s">
        <v>2869</v>
      </c>
      <c r="L1209" s="6" t="s">
        <v>95</v>
      </c>
      <c r="M1209" s="5">
        <v>2</v>
      </c>
      <c r="N1209" s="5" t="s">
        <v>91</v>
      </c>
      <c r="O1209" s="5" t="s">
        <v>91</v>
      </c>
      <c r="P1209" s="5" t="s">
        <v>1215</v>
      </c>
      <c r="Q1209" s="6" t="s">
        <v>2582</v>
      </c>
      <c r="R1209" s="6" t="s">
        <v>112</v>
      </c>
      <c r="S1209" s="6"/>
      <c r="T1209" s="6"/>
      <c r="U1209" s="5"/>
      <c r="V1209" s="6" t="s">
        <v>2870</v>
      </c>
      <c r="W1209" s="6" t="s">
        <v>2871</v>
      </c>
      <c r="X1209" s="6" t="s">
        <v>2872</v>
      </c>
      <c r="Y1209" s="22"/>
      <c r="Z1209" s="6">
        <v>1</v>
      </c>
      <c r="AA1209" s="21" t="s">
        <v>2873</v>
      </c>
      <c r="AB1209" s="23">
        <v>44132</v>
      </c>
      <c r="AC1209" s="21" t="s">
        <v>30</v>
      </c>
      <c r="AD1209" s="24">
        <v>2514.89</v>
      </c>
      <c r="AE1209" s="6" t="s">
        <v>31</v>
      </c>
      <c r="AF1209" s="6"/>
      <c r="AG1209" s="6" t="s">
        <v>3041</v>
      </c>
    </row>
    <row r="1210" spans="1:33" ht="7.5" customHeight="1" x14ac:dyDescent="0.25">
      <c r="A1210" s="27"/>
      <c r="B1210" s="39"/>
      <c r="C1210" s="39"/>
      <c r="D1210" s="39"/>
      <c r="E1210" s="28"/>
      <c r="F1210" s="27"/>
      <c r="G1210" s="27"/>
      <c r="H1210" s="27"/>
      <c r="I1210" s="27"/>
      <c r="J1210" s="30"/>
      <c r="K1210" s="30"/>
      <c r="L1210" s="29"/>
      <c r="M1210" s="27"/>
      <c r="N1210" s="27"/>
      <c r="O1210" s="27"/>
      <c r="P1210" s="27"/>
      <c r="Q1210" s="29"/>
      <c r="R1210" s="29"/>
      <c r="S1210" s="29"/>
      <c r="T1210" s="29"/>
      <c r="U1210" s="27"/>
      <c r="V1210" s="29"/>
      <c r="W1210" s="29"/>
      <c r="X1210" s="29"/>
      <c r="Y1210" s="31"/>
      <c r="Z1210" s="29"/>
      <c r="AA1210" s="30"/>
      <c r="AB1210" s="32"/>
      <c r="AC1210" s="30"/>
      <c r="AD1210" s="33"/>
      <c r="AE1210" s="29"/>
      <c r="AF1210" s="29"/>
      <c r="AG1210" s="29"/>
    </row>
    <row r="1211" spans="1:33" ht="15" customHeight="1" x14ac:dyDescent="0.25">
      <c r="A1211" s="5">
        <v>47</v>
      </c>
      <c r="B1211" s="38">
        <v>44153</v>
      </c>
      <c r="C1211" s="38">
        <v>44139</v>
      </c>
      <c r="D1211" s="38">
        <v>44132</v>
      </c>
      <c r="E1211" s="37">
        <v>44153</v>
      </c>
      <c r="F1211" s="5">
        <v>3130</v>
      </c>
      <c r="G1211" s="5" t="s">
        <v>91</v>
      </c>
      <c r="H1211" s="5" t="s">
        <v>41</v>
      </c>
      <c r="I1211" s="5" t="s">
        <v>92</v>
      </c>
      <c r="J1211" s="21" t="s">
        <v>93</v>
      </c>
      <c r="K1211" s="21" t="s">
        <v>2713</v>
      </c>
      <c r="L1211" s="6" t="s">
        <v>95</v>
      </c>
      <c r="M1211" s="5">
        <v>11</v>
      </c>
      <c r="N1211" s="5" t="s">
        <v>91</v>
      </c>
      <c r="O1211" s="5" t="s">
        <v>91</v>
      </c>
      <c r="P1211" s="5" t="s">
        <v>1215</v>
      </c>
      <c r="Q1211" s="6" t="s">
        <v>2546</v>
      </c>
      <c r="R1211" s="6" t="s">
        <v>2075</v>
      </c>
      <c r="S1211" s="6" t="s">
        <v>668</v>
      </c>
      <c r="T1211" s="6"/>
      <c r="U1211" s="5"/>
      <c r="V1211" s="6" t="s">
        <v>2714</v>
      </c>
      <c r="W1211" s="6" t="s">
        <v>2715</v>
      </c>
      <c r="X1211" s="6" t="s">
        <v>2716</v>
      </c>
      <c r="Y1211" s="22"/>
      <c r="Z1211" s="6"/>
      <c r="AA1211" s="21"/>
      <c r="AB1211" s="23">
        <v>44147</v>
      </c>
      <c r="AC1211" s="21" t="s">
        <v>30</v>
      </c>
      <c r="AD1211" s="24" t="s">
        <v>296</v>
      </c>
      <c r="AE1211" s="6" t="s">
        <v>31</v>
      </c>
      <c r="AF1211" s="6"/>
      <c r="AG1211" s="6" t="s">
        <v>3042</v>
      </c>
    </row>
    <row r="1212" spans="1:33" ht="15" customHeight="1" x14ac:dyDescent="0.25">
      <c r="A1212" s="5">
        <v>47</v>
      </c>
      <c r="B1212" s="38">
        <v>44153</v>
      </c>
      <c r="C1212" s="38">
        <v>44139</v>
      </c>
      <c r="D1212" s="38">
        <v>44132</v>
      </c>
      <c r="E1212" s="37">
        <v>44153</v>
      </c>
      <c r="F1212" s="5">
        <v>5730</v>
      </c>
      <c r="G1212" s="5" t="s">
        <v>91</v>
      </c>
      <c r="H1212" s="5" t="s">
        <v>43</v>
      </c>
      <c r="I1212" s="5" t="s">
        <v>92</v>
      </c>
      <c r="J1212" s="21" t="s">
        <v>131</v>
      </c>
      <c r="K1212" s="21" t="s">
        <v>2737</v>
      </c>
      <c r="L1212" s="6" t="s">
        <v>2738</v>
      </c>
      <c r="M1212" s="5">
        <v>18</v>
      </c>
      <c r="N1212" s="5" t="s">
        <v>91</v>
      </c>
      <c r="O1212" s="5" t="s">
        <v>91</v>
      </c>
      <c r="P1212" s="5" t="s">
        <v>1215</v>
      </c>
      <c r="Q1212" s="6" t="s">
        <v>2582</v>
      </c>
      <c r="R1212" s="6" t="s">
        <v>2106</v>
      </c>
      <c r="S1212" s="6"/>
      <c r="T1212" s="6"/>
      <c r="U1212" s="5"/>
      <c r="V1212" s="6"/>
      <c r="W1212" s="6" t="s">
        <v>1919</v>
      </c>
      <c r="X1212" s="6"/>
      <c r="Y1212" s="22"/>
      <c r="Z1212" s="6">
        <v>7.5</v>
      </c>
      <c r="AA1212" s="21"/>
      <c r="AB1212" s="23">
        <v>44120</v>
      </c>
      <c r="AC1212" s="21" t="s">
        <v>30</v>
      </c>
      <c r="AD1212" s="24" t="s">
        <v>2739</v>
      </c>
      <c r="AE1212" s="6" t="s">
        <v>31</v>
      </c>
      <c r="AF1212" s="6"/>
      <c r="AG1212" s="6" t="s">
        <v>3042</v>
      </c>
    </row>
    <row r="1213" spans="1:33" ht="15" customHeight="1" x14ac:dyDescent="0.25">
      <c r="A1213" s="5">
        <v>47</v>
      </c>
      <c r="B1213" s="38">
        <v>44153</v>
      </c>
      <c r="C1213" s="38">
        <v>44139</v>
      </c>
      <c r="D1213" s="38">
        <v>44132</v>
      </c>
      <c r="E1213" s="37">
        <v>44153</v>
      </c>
      <c r="F1213" s="5">
        <v>5745</v>
      </c>
      <c r="G1213" s="5" t="s">
        <v>91</v>
      </c>
      <c r="H1213" s="5" t="s">
        <v>41</v>
      </c>
      <c r="I1213" s="5" t="s">
        <v>92</v>
      </c>
      <c r="J1213" s="21" t="s">
        <v>131</v>
      </c>
      <c r="K1213" s="21" t="s">
        <v>2743</v>
      </c>
      <c r="L1213" s="6" t="s">
        <v>1781</v>
      </c>
      <c r="M1213" s="5">
        <v>0</v>
      </c>
      <c r="N1213" s="5" t="s">
        <v>91</v>
      </c>
      <c r="O1213" s="5" t="s">
        <v>91</v>
      </c>
      <c r="P1213" s="5" t="s">
        <v>91</v>
      </c>
      <c r="Q1213" s="6"/>
      <c r="R1213" s="6" t="s">
        <v>2368</v>
      </c>
      <c r="S1213" s="6"/>
      <c r="T1213" s="6"/>
      <c r="U1213" s="5"/>
      <c r="V1213" s="6" t="s">
        <v>2744</v>
      </c>
      <c r="W1213" s="6" t="s">
        <v>429</v>
      </c>
      <c r="X1213" s="6"/>
      <c r="Y1213" s="22"/>
      <c r="Z1213" s="6"/>
      <c r="AA1213" s="21"/>
      <c r="AB1213" s="23">
        <v>44139</v>
      </c>
      <c r="AC1213" s="21" t="s">
        <v>30</v>
      </c>
      <c r="AD1213" s="24" t="s">
        <v>296</v>
      </c>
      <c r="AE1213" s="6" t="s">
        <v>34</v>
      </c>
      <c r="AF1213" s="6"/>
      <c r="AG1213" s="6" t="s">
        <v>3040</v>
      </c>
    </row>
    <row r="1214" spans="1:33" ht="15" customHeight="1" x14ac:dyDescent="0.25">
      <c r="A1214" s="5">
        <v>47</v>
      </c>
      <c r="B1214" s="38">
        <v>44153</v>
      </c>
      <c r="C1214" s="38">
        <v>44139</v>
      </c>
      <c r="D1214" s="38">
        <v>44132</v>
      </c>
      <c r="E1214" s="37">
        <v>44153</v>
      </c>
      <c r="F1214" s="5">
        <v>5753</v>
      </c>
      <c r="G1214" s="5" t="s">
        <v>91</v>
      </c>
      <c r="H1214" s="5" t="s">
        <v>41</v>
      </c>
      <c r="I1214" s="5" t="s">
        <v>92</v>
      </c>
      <c r="J1214" s="21" t="s">
        <v>131</v>
      </c>
      <c r="K1214" s="21" t="s">
        <v>2748</v>
      </c>
      <c r="L1214" s="6" t="s">
        <v>216</v>
      </c>
      <c r="M1214" s="5">
        <v>0</v>
      </c>
      <c r="N1214" s="5" t="s">
        <v>91</v>
      </c>
      <c r="O1214" s="5" t="s">
        <v>91</v>
      </c>
      <c r="P1214" s="5" t="s">
        <v>91</v>
      </c>
      <c r="Q1214" s="6" t="s">
        <v>96</v>
      </c>
      <c r="R1214" s="6" t="s">
        <v>2368</v>
      </c>
      <c r="S1214" s="6"/>
      <c r="T1214" s="6"/>
      <c r="U1214" s="5"/>
      <c r="V1214" s="6"/>
      <c r="W1214" s="6" t="s">
        <v>183</v>
      </c>
      <c r="X1214" s="6"/>
      <c r="Y1214" s="22"/>
      <c r="Z1214" s="6"/>
      <c r="AA1214" s="21"/>
      <c r="AB1214" s="23">
        <v>44146</v>
      </c>
      <c r="AC1214" s="21" t="s">
        <v>30</v>
      </c>
      <c r="AD1214" s="24" t="s">
        <v>296</v>
      </c>
      <c r="AE1214" s="6" t="s">
        <v>35</v>
      </c>
      <c r="AF1214" s="6"/>
      <c r="AG1214" s="6" t="s">
        <v>3042</v>
      </c>
    </row>
    <row r="1215" spans="1:33" ht="15" customHeight="1" x14ac:dyDescent="0.25">
      <c r="A1215" s="5">
        <v>47</v>
      </c>
      <c r="B1215" s="38">
        <v>44153</v>
      </c>
      <c r="C1215" s="38">
        <v>44139</v>
      </c>
      <c r="D1215" s="38">
        <v>44132</v>
      </c>
      <c r="E1215" s="37">
        <v>44153</v>
      </c>
      <c r="F1215" s="5">
        <v>5759</v>
      </c>
      <c r="G1215" s="5" t="s">
        <v>91</v>
      </c>
      <c r="H1215" s="5" t="s">
        <v>41</v>
      </c>
      <c r="I1215" s="5" t="s">
        <v>92</v>
      </c>
      <c r="J1215" s="21" t="s">
        <v>131</v>
      </c>
      <c r="K1215" s="21" t="s">
        <v>2749</v>
      </c>
      <c r="L1215" s="6" t="s">
        <v>152</v>
      </c>
      <c r="M1215" s="5">
        <v>1</v>
      </c>
      <c r="N1215" s="5" t="s">
        <v>91</v>
      </c>
      <c r="O1215" s="5" t="s">
        <v>91</v>
      </c>
      <c r="P1215" s="5" t="s">
        <v>91</v>
      </c>
      <c r="Q1215" s="6" t="s">
        <v>105</v>
      </c>
      <c r="R1215" s="6" t="s">
        <v>2368</v>
      </c>
      <c r="S1215" s="6"/>
      <c r="T1215" s="6"/>
      <c r="U1215" s="5"/>
      <c r="V1215" s="6" t="s">
        <v>2750</v>
      </c>
      <c r="W1215" s="6" t="s">
        <v>2751</v>
      </c>
      <c r="X1215" s="6"/>
      <c r="Y1215" s="22"/>
      <c r="Z1215" s="6"/>
      <c r="AA1215" s="21"/>
      <c r="AB1215" s="23">
        <v>44146</v>
      </c>
      <c r="AC1215" s="21" t="s">
        <v>30</v>
      </c>
      <c r="AD1215" s="24" t="s">
        <v>2752</v>
      </c>
      <c r="AE1215" s="6" t="s">
        <v>31</v>
      </c>
      <c r="AF1215" s="6"/>
      <c r="AG1215" s="6" t="s">
        <v>3039</v>
      </c>
    </row>
    <row r="1216" spans="1:33" ht="7.5" customHeight="1" x14ac:dyDescent="0.25">
      <c r="A1216" s="27"/>
      <c r="B1216" s="39"/>
      <c r="C1216" s="39"/>
      <c r="D1216" s="39"/>
      <c r="E1216" s="28"/>
      <c r="F1216" s="27"/>
      <c r="G1216" s="27"/>
      <c r="H1216" s="27"/>
      <c r="I1216" s="27"/>
      <c r="J1216" s="30"/>
      <c r="K1216" s="30"/>
      <c r="L1216" s="29"/>
      <c r="M1216" s="27"/>
      <c r="N1216" s="27"/>
      <c r="O1216" s="27"/>
      <c r="P1216" s="27"/>
      <c r="Q1216" s="29"/>
      <c r="R1216" s="29"/>
      <c r="S1216" s="29"/>
      <c r="T1216" s="29"/>
      <c r="U1216" s="27"/>
      <c r="V1216" s="29"/>
      <c r="W1216" s="29"/>
      <c r="X1216" s="29"/>
      <c r="Y1216" s="31"/>
      <c r="Z1216" s="29"/>
      <c r="AA1216" s="30"/>
      <c r="AB1216" s="32"/>
      <c r="AC1216" s="30"/>
      <c r="AD1216" s="33"/>
      <c r="AE1216" s="29"/>
      <c r="AF1216" s="29"/>
      <c r="AG1216" s="29"/>
    </row>
    <row r="1217" spans="1:33" ht="15" customHeight="1" x14ac:dyDescent="0.25">
      <c r="A1217" s="5">
        <v>48</v>
      </c>
      <c r="B1217" s="38">
        <v>44160</v>
      </c>
      <c r="C1217" s="38">
        <v>44139</v>
      </c>
      <c r="D1217" s="38">
        <v>44132</v>
      </c>
      <c r="E1217" s="34">
        <v>44160</v>
      </c>
      <c r="F1217" s="5">
        <v>5743</v>
      </c>
      <c r="G1217" s="5" t="s">
        <v>91</v>
      </c>
      <c r="H1217" s="5" t="s">
        <v>43</v>
      </c>
      <c r="I1217" s="5" t="s">
        <v>92</v>
      </c>
      <c r="J1217" s="21" t="s">
        <v>131</v>
      </c>
      <c r="K1217" s="21" t="s">
        <v>2904</v>
      </c>
      <c r="L1217" s="6" t="s">
        <v>2905</v>
      </c>
      <c r="M1217" s="5">
        <v>15</v>
      </c>
      <c r="N1217" s="5" t="s">
        <v>91</v>
      </c>
      <c r="O1217" s="5" t="s">
        <v>91</v>
      </c>
      <c r="P1217" s="5" t="s">
        <v>1215</v>
      </c>
      <c r="Q1217" s="6" t="s">
        <v>2573</v>
      </c>
      <c r="R1217" s="6" t="s">
        <v>2368</v>
      </c>
      <c r="S1217" s="6"/>
      <c r="T1217" s="6"/>
      <c r="U1217" s="5"/>
      <c r="V1217" s="6"/>
      <c r="W1217" s="6" t="s">
        <v>183</v>
      </c>
      <c r="X1217" s="6"/>
      <c r="Y1217" s="22"/>
      <c r="Z1217" s="6">
        <v>5</v>
      </c>
      <c r="AA1217" s="21"/>
      <c r="AB1217" s="23">
        <v>44114</v>
      </c>
      <c r="AC1217" s="21" t="s">
        <v>32</v>
      </c>
      <c r="AD1217" s="24">
        <v>10094.58</v>
      </c>
      <c r="AE1217" s="6" t="s">
        <v>38</v>
      </c>
      <c r="AF1217" s="6"/>
      <c r="AG1217" s="6" t="s">
        <v>3042</v>
      </c>
    </row>
    <row r="1218" spans="1:33" ht="7.5" customHeight="1" x14ac:dyDescent="0.25">
      <c r="A1218" s="27"/>
      <c r="B1218" s="39"/>
      <c r="C1218" s="39"/>
      <c r="D1218" s="39"/>
      <c r="E1218" s="28"/>
      <c r="F1218" s="27"/>
      <c r="G1218" s="27"/>
      <c r="H1218" s="27"/>
      <c r="I1218" s="27"/>
      <c r="J1218" s="30"/>
      <c r="K1218" s="30"/>
      <c r="L1218" s="29"/>
      <c r="M1218" s="27"/>
      <c r="N1218" s="27"/>
      <c r="O1218" s="27"/>
      <c r="P1218" s="27"/>
      <c r="Q1218" s="29"/>
      <c r="R1218" s="29"/>
      <c r="S1218" s="29"/>
      <c r="T1218" s="29"/>
      <c r="U1218" s="27"/>
      <c r="V1218" s="29"/>
      <c r="W1218" s="29"/>
      <c r="X1218" s="29"/>
      <c r="Y1218" s="31"/>
      <c r="Z1218" s="29"/>
      <c r="AA1218" s="30"/>
      <c r="AB1218" s="32"/>
      <c r="AC1218" s="30"/>
      <c r="AD1218" s="33"/>
      <c r="AE1218" s="29"/>
      <c r="AF1218" s="29"/>
      <c r="AG1218" s="29"/>
    </row>
    <row r="1219" spans="1:33" ht="15" customHeight="1" x14ac:dyDescent="0.25">
      <c r="A1219" s="5">
        <v>47</v>
      </c>
      <c r="B1219" s="38">
        <v>44153</v>
      </c>
      <c r="C1219" s="38">
        <v>44139</v>
      </c>
      <c r="D1219" s="38">
        <v>44132</v>
      </c>
      <c r="E1219" s="37">
        <v>44153</v>
      </c>
      <c r="F1219" s="5">
        <v>6732</v>
      </c>
      <c r="G1219" s="5" t="s">
        <v>91</v>
      </c>
      <c r="H1219" s="5" t="s">
        <v>41</v>
      </c>
      <c r="I1219" s="5" t="s">
        <v>92</v>
      </c>
      <c r="J1219" s="21" t="s">
        <v>191</v>
      </c>
      <c r="K1219" s="21" t="s">
        <v>2753</v>
      </c>
      <c r="L1219" s="6" t="s">
        <v>95</v>
      </c>
      <c r="M1219" s="5">
        <v>20</v>
      </c>
      <c r="N1219" s="5" t="s">
        <v>91</v>
      </c>
      <c r="O1219" s="5" t="s">
        <v>91</v>
      </c>
      <c r="P1219" s="5" t="s">
        <v>1215</v>
      </c>
      <c r="Q1219" s="6" t="s">
        <v>2582</v>
      </c>
      <c r="R1219" s="6" t="s">
        <v>194</v>
      </c>
      <c r="S1219" s="6"/>
      <c r="T1219" s="6"/>
      <c r="U1219" s="5"/>
      <c r="V1219" s="6" t="s">
        <v>2754</v>
      </c>
      <c r="W1219" s="6" t="s">
        <v>580</v>
      </c>
      <c r="X1219" s="6"/>
      <c r="Y1219" s="22"/>
      <c r="Z1219" s="6">
        <v>7</v>
      </c>
      <c r="AA1219" s="21"/>
      <c r="AB1219" s="23">
        <v>44151</v>
      </c>
      <c r="AC1219" s="21" t="s">
        <v>30</v>
      </c>
      <c r="AD1219" s="24" t="s">
        <v>2755</v>
      </c>
      <c r="AE1219" s="6" t="s">
        <v>31</v>
      </c>
      <c r="AF1219" s="6"/>
      <c r="AG1219" s="6" t="s">
        <v>3040</v>
      </c>
    </row>
    <row r="1220" spans="1:33" ht="15" customHeight="1" x14ac:dyDescent="0.25">
      <c r="A1220" s="5">
        <v>47</v>
      </c>
      <c r="B1220" s="38">
        <v>44153</v>
      </c>
      <c r="C1220" s="38">
        <v>44139</v>
      </c>
      <c r="D1220" s="38">
        <v>44132</v>
      </c>
      <c r="E1220" s="37">
        <v>44153</v>
      </c>
      <c r="F1220" s="5">
        <v>7811</v>
      </c>
      <c r="G1220" s="5" t="s">
        <v>91</v>
      </c>
      <c r="H1220" s="5" t="s">
        <v>43</v>
      </c>
      <c r="I1220" s="5" t="s">
        <v>92</v>
      </c>
      <c r="J1220" s="21" t="s">
        <v>214</v>
      </c>
      <c r="K1220" s="21" t="s">
        <v>2761</v>
      </c>
      <c r="L1220" s="6" t="s">
        <v>2762</v>
      </c>
      <c r="M1220" s="5">
        <v>7</v>
      </c>
      <c r="N1220" s="5" t="s">
        <v>91</v>
      </c>
      <c r="O1220" s="5" t="s">
        <v>91</v>
      </c>
      <c r="P1220" s="5" t="s">
        <v>91</v>
      </c>
      <c r="Q1220" s="6" t="s">
        <v>2573</v>
      </c>
      <c r="R1220" s="6" t="s">
        <v>223</v>
      </c>
      <c r="S1220" s="6"/>
      <c r="T1220" s="6"/>
      <c r="U1220" s="5"/>
      <c r="V1220" s="6"/>
      <c r="W1220" s="6" t="s">
        <v>224</v>
      </c>
      <c r="X1220" s="6"/>
      <c r="Y1220" s="22"/>
      <c r="Z1220" s="6">
        <v>2.5499999999999998</v>
      </c>
      <c r="AA1220" s="21" t="s">
        <v>2763</v>
      </c>
      <c r="AB1220" s="23">
        <v>44119</v>
      </c>
      <c r="AC1220" s="21" t="s">
        <v>30</v>
      </c>
      <c r="AD1220" s="24" t="s">
        <v>2764</v>
      </c>
      <c r="AE1220" s="6" t="s">
        <v>31</v>
      </c>
      <c r="AF1220" s="6"/>
      <c r="AG1220" s="6" t="s">
        <v>3039</v>
      </c>
    </row>
    <row r="1221" spans="1:33" ht="15" customHeight="1" x14ac:dyDescent="0.25">
      <c r="A1221" s="5">
        <v>47</v>
      </c>
      <c r="B1221" s="38">
        <v>44153</v>
      </c>
      <c r="C1221" s="38">
        <v>44139</v>
      </c>
      <c r="D1221" s="38">
        <v>44132</v>
      </c>
      <c r="E1221" s="37">
        <v>44153</v>
      </c>
      <c r="F1221" s="5">
        <v>8809</v>
      </c>
      <c r="G1221" s="5" t="s">
        <v>91</v>
      </c>
      <c r="H1221" s="5" t="s">
        <v>41</v>
      </c>
      <c r="I1221" s="5" t="s">
        <v>92</v>
      </c>
      <c r="J1221" s="21" t="s">
        <v>147</v>
      </c>
      <c r="K1221" s="21" t="s">
        <v>2765</v>
      </c>
      <c r="L1221" s="6" t="s">
        <v>2766</v>
      </c>
      <c r="M1221" s="5">
        <v>1</v>
      </c>
      <c r="N1221" s="5" t="s">
        <v>91</v>
      </c>
      <c r="O1221" s="5" t="s">
        <v>91</v>
      </c>
      <c r="P1221" s="5" t="s">
        <v>91</v>
      </c>
      <c r="Q1221" s="6" t="s">
        <v>2546</v>
      </c>
      <c r="R1221" s="6" t="s">
        <v>2767</v>
      </c>
      <c r="S1221" s="6"/>
      <c r="T1221" s="6"/>
      <c r="U1221" s="5" t="s">
        <v>2768</v>
      </c>
      <c r="V1221" s="6"/>
      <c r="W1221" s="6" t="s">
        <v>2769</v>
      </c>
      <c r="X1221" s="6" t="s">
        <v>2770</v>
      </c>
      <c r="Y1221" s="22"/>
      <c r="Z1221" s="6"/>
      <c r="AA1221" s="21" t="s">
        <v>2771</v>
      </c>
      <c r="AB1221" s="23">
        <v>44131</v>
      </c>
      <c r="AC1221" s="21" t="s">
        <v>30</v>
      </c>
      <c r="AD1221" s="24" t="s">
        <v>2772</v>
      </c>
      <c r="AE1221" s="6" t="s">
        <v>37</v>
      </c>
      <c r="AF1221" s="6"/>
      <c r="AG1221" s="6" t="s">
        <v>3040</v>
      </c>
    </row>
    <row r="1222" spans="1:33" ht="7.5" customHeight="1" x14ac:dyDescent="0.25">
      <c r="A1222" s="27"/>
      <c r="B1222" s="39"/>
      <c r="C1222" s="39"/>
      <c r="D1222" s="39"/>
      <c r="E1222" s="28"/>
      <c r="F1222" s="27"/>
      <c r="G1222" s="27"/>
      <c r="H1222" s="27"/>
      <c r="I1222" s="27"/>
      <c r="J1222" s="30"/>
      <c r="K1222" s="30"/>
      <c r="L1222" s="29"/>
      <c r="M1222" s="27"/>
      <c r="N1222" s="27"/>
      <c r="O1222" s="27"/>
      <c r="P1222" s="27"/>
      <c r="Q1222" s="29"/>
      <c r="R1222" s="29"/>
      <c r="S1222" s="29"/>
      <c r="T1222" s="29"/>
      <c r="U1222" s="27"/>
      <c r="V1222" s="29"/>
      <c r="W1222" s="29"/>
      <c r="X1222" s="29"/>
      <c r="Y1222" s="31"/>
      <c r="Z1222" s="29"/>
      <c r="AA1222" s="30"/>
      <c r="AB1222" s="32"/>
      <c r="AC1222" s="30"/>
      <c r="AD1222" s="33"/>
      <c r="AE1222" s="29"/>
      <c r="AF1222" s="29"/>
      <c r="AG1222" s="29"/>
    </row>
    <row r="1223" spans="1:33" ht="15" customHeight="1" x14ac:dyDescent="0.25">
      <c r="A1223" s="5">
        <v>47</v>
      </c>
      <c r="B1223" s="38">
        <v>44155</v>
      </c>
      <c r="C1223" s="38">
        <v>44139</v>
      </c>
      <c r="D1223" s="38">
        <v>44112</v>
      </c>
      <c r="E1223" s="37">
        <v>44155</v>
      </c>
      <c r="F1223" s="5">
        <v>9715</v>
      </c>
      <c r="G1223" s="5" t="s">
        <v>91</v>
      </c>
      <c r="H1223" s="5" t="s">
        <v>40</v>
      </c>
      <c r="I1223" s="5" t="s">
        <v>92</v>
      </c>
      <c r="J1223" s="21" t="s">
        <v>159</v>
      </c>
      <c r="K1223" s="21">
        <v>258311</v>
      </c>
      <c r="L1223" s="6" t="s">
        <v>152</v>
      </c>
      <c r="M1223" s="5">
        <v>18</v>
      </c>
      <c r="N1223" s="5" t="s">
        <v>91</v>
      </c>
      <c r="O1223" s="5" t="s">
        <v>91</v>
      </c>
      <c r="P1223" s="5" t="s">
        <v>91</v>
      </c>
      <c r="Q1223" s="6"/>
      <c r="R1223" s="6" t="s">
        <v>163</v>
      </c>
      <c r="S1223" s="6"/>
      <c r="T1223" s="6"/>
      <c r="U1223" s="5"/>
      <c r="V1223" s="6" t="s">
        <v>164</v>
      </c>
      <c r="W1223" s="6" t="s">
        <v>2805</v>
      </c>
      <c r="X1223" s="6"/>
      <c r="Y1223" s="22"/>
      <c r="Z1223" s="6"/>
      <c r="AA1223" s="21">
        <v>10211</v>
      </c>
      <c r="AB1223" s="23">
        <v>44140</v>
      </c>
      <c r="AC1223" s="21" t="s">
        <v>30</v>
      </c>
      <c r="AD1223" s="24" t="s">
        <v>2806</v>
      </c>
      <c r="AE1223" s="6" t="s">
        <v>38</v>
      </c>
      <c r="AF1223" s="6"/>
      <c r="AG1223" s="6" t="s">
        <v>3040</v>
      </c>
    </row>
    <row r="1224" spans="1:33" ht="7.5" customHeight="1" x14ac:dyDescent="0.25">
      <c r="A1224" s="27"/>
      <c r="B1224" s="39"/>
      <c r="C1224" s="39"/>
      <c r="D1224" s="39"/>
      <c r="E1224" s="28"/>
      <c r="F1224" s="27"/>
      <c r="G1224" s="27"/>
      <c r="H1224" s="27"/>
      <c r="I1224" s="27"/>
      <c r="J1224" s="30"/>
      <c r="K1224" s="30"/>
      <c r="L1224" s="29"/>
      <c r="M1224" s="27"/>
      <c r="N1224" s="27"/>
      <c r="O1224" s="27"/>
      <c r="P1224" s="27"/>
      <c r="Q1224" s="29"/>
      <c r="R1224" s="29"/>
      <c r="S1224" s="29"/>
      <c r="T1224" s="29"/>
      <c r="U1224" s="27"/>
      <c r="V1224" s="29"/>
      <c r="W1224" s="29"/>
      <c r="X1224" s="29"/>
      <c r="Y1224" s="31"/>
      <c r="Z1224" s="29"/>
      <c r="AA1224" s="30"/>
      <c r="AB1224" s="32"/>
      <c r="AC1224" s="30"/>
      <c r="AD1224" s="33"/>
      <c r="AE1224" s="29"/>
      <c r="AF1224" s="29"/>
      <c r="AG1224" s="29"/>
    </row>
    <row r="1225" spans="1:33" ht="15" customHeight="1" x14ac:dyDescent="0.25">
      <c r="A1225" s="5">
        <v>47</v>
      </c>
      <c r="B1225" s="38">
        <v>44151</v>
      </c>
      <c r="C1225" s="38">
        <v>44140</v>
      </c>
      <c r="D1225" s="38">
        <v>44110</v>
      </c>
      <c r="E1225" s="37">
        <v>44151</v>
      </c>
      <c r="F1225" s="5">
        <v>3108</v>
      </c>
      <c r="G1225" s="5" t="s">
        <v>91</v>
      </c>
      <c r="H1225" s="5" t="s">
        <v>43</v>
      </c>
      <c r="I1225" s="5" t="s">
        <v>92</v>
      </c>
      <c r="J1225" s="21" t="s">
        <v>93</v>
      </c>
      <c r="K1225" s="21" t="s">
        <v>2657</v>
      </c>
      <c r="L1225" s="6" t="s">
        <v>95</v>
      </c>
      <c r="M1225" s="5">
        <v>0</v>
      </c>
      <c r="N1225" s="5" t="s">
        <v>91</v>
      </c>
      <c r="O1225" s="5" t="s">
        <v>91</v>
      </c>
      <c r="P1225" s="5" t="s">
        <v>91</v>
      </c>
      <c r="Q1225" s="6" t="s">
        <v>86</v>
      </c>
      <c r="R1225" s="6" t="s">
        <v>106</v>
      </c>
      <c r="S1225" s="6" t="s">
        <v>668</v>
      </c>
      <c r="T1225" s="6"/>
      <c r="U1225" s="5"/>
      <c r="V1225" s="6"/>
      <c r="W1225" s="6" t="s">
        <v>2289</v>
      </c>
      <c r="X1225" s="6" t="s">
        <v>2290</v>
      </c>
      <c r="Y1225" s="22"/>
      <c r="Z1225" s="6"/>
      <c r="AA1225" s="21">
        <v>10176</v>
      </c>
      <c r="AB1225" s="23">
        <v>44125</v>
      </c>
      <c r="AC1225" s="21" t="s">
        <v>32</v>
      </c>
      <c r="AD1225" s="24" t="s">
        <v>2658</v>
      </c>
      <c r="AE1225" s="6" t="s">
        <v>31</v>
      </c>
      <c r="AF1225" s="6"/>
      <c r="AG1225" s="6" t="s">
        <v>3039</v>
      </c>
    </row>
    <row r="1226" spans="1:33" ht="7.5" customHeight="1" x14ac:dyDescent="0.25">
      <c r="A1226" s="27"/>
      <c r="B1226" s="39"/>
      <c r="C1226" s="39"/>
      <c r="D1226" s="39"/>
      <c r="E1226" s="28"/>
      <c r="F1226" s="27"/>
      <c r="G1226" s="27"/>
      <c r="H1226" s="27"/>
      <c r="I1226" s="27"/>
      <c r="J1226" s="30"/>
      <c r="K1226" s="30"/>
      <c r="L1226" s="29"/>
      <c r="M1226" s="27"/>
      <c r="N1226" s="27"/>
      <c r="O1226" s="27"/>
      <c r="P1226" s="27"/>
      <c r="Q1226" s="29"/>
      <c r="R1226" s="29"/>
      <c r="S1226" s="29"/>
      <c r="T1226" s="29"/>
      <c r="U1226" s="27"/>
      <c r="V1226" s="29"/>
      <c r="W1226" s="29"/>
      <c r="X1226" s="29"/>
      <c r="Y1226" s="31"/>
      <c r="Z1226" s="29"/>
      <c r="AA1226" s="30"/>
      <c r="AB1226" s="32"/>
      <c r="AC1226" s="30"/>
      <c r="AD1226" s="33"/>
      <c r="AE1226" s="29"/>
      <c r="AF1226" s="29"/>
      <c r="AG1226" s="29"/>
    </row>
    <row r="1227" spans="1:33" ht="15" customHeight="1" x14ac:dyDescent="0.25">
      <c r="A1227" s="5">
        <v>47</v>
      </c>
      <c r="B1227" s="38">
        <v>44154</v>
      </c>
      <c r="C1227" s="38">
        <v>44140</v>
      </c>
      <c r="D1227" s="38">
        <v>44133</v>
      </c>
      <c r="E1227" s="37">
        <v>44154</v>
      </c>
      <c r="F1227" s="5">
        <v>3133</v>
      </c>
      <c r="G1227" s="5" t="s">
        <v>91</v>
      </c>
      <c r="H1227" s="5" t="s">
        <v>41</v>
      </c>
      <c r="I1227" s="5" t="s">
        <v>92</v>
      </c>
      <c r="J1227" s="21" t="s">
        <v>93</v>
      </c>
      <c r="K1227" s="21" t="s">
        <v>2777</v>
      </c>
      <c r="L1227" s="6" t="s">
        <v>2778</v>
      </c>
      <c r="M1227" s="5">
        <v>14</v>
      </c>
      <c r="N1227" s="5" t="s">
        <v>91</v>
      </c>
      <c r="O1227" s="5" t="s">
        <v>91</v>
      </c>
      <c r="P1227" s="5" t="s">
        <v>91</v>
      </c>
      <c r="Q1227" s="6" t="s">
        <v>2557</v>
      </c>
      <c r="R1227" s="6" t="s">
        <v>458</v>
      </c>
      <c r="S1227" s="6" t="s">
        <v>265</v>
      </c>
      <c r="T1227" s="6"/>
      <c r="U1227" s="5"/>
      <c r="V1227" s="6"/>
      <c r="W1227" s="6" t="s">
        <v>2779</v>
      </c>
      <c r="X1227" s="6" t="s">
        <v>2780</v>
      </c>
      <c r="Y1227" s="22"/>
      <c r="Z1227" s="6"/>
      <c r="AA1227" s="21"/>
      <c r="AB1227" s="23"/>
      <c r="AC1227" s="21" t="s">
        <v>30</v>
      </c>
      <c r="AD1227" s="24"/>
      <c r="AE1227" s="6" t="s">
        <v>31</v>
      </c>
      <c r="AF1227" s="6"/>
      <c r="AG1227" s="6" t="s">
        <v>3042</v>
      </c>
    </row>
    <row r="1228" spans="1:33" ht="15" customHeight="1" x14ac:dyDescent="0.25">
      <c r="A1228" s="5">
        <v>47</v>
      </c>
      <c r="B1228" s="38">
        <v>44154</v>
      </c>
      <c r="C1228" s="38">
        <v>44140</v>
      </c>
      <c r="D1228" s="38">
        <v>44133</v>
      </c>
      <c r="E1228" s="37">
        <v>44154</v>
      </c>
      <c r="F1228" s="5">
        <v>3147</v>
      </c>
      <c r="G1228" s="5" t="s">
        <v>91</v>
      </c>
      <c r="H1228" s="5" t="s">
        <v>41</v>
      </c>
      <c r="I1228" s="5" t="s">
        <v>92</v>
      </c>
      <c r="J1228" s="21" t="s">
        <v>93</v>
      </c>
      <c r="K1228" s="21" t="s">
        <v>2781</v>
      </c>
      <c r="L1228" s="6" t="s">
        <v>2782</v>
      </c>
      <c r="M1228" s="5">
        <v>0</v>
      </c>
      <c r="N1228" s="5" t="s">
        <v>91</v>
      </c>
      <c r="O1228" s="5" t="s">
        <v>91</v>
      </c>
      <c r="P1228" s="5" t="s">
        <v>91</v>
      </c>
      <c r="Q1228" s="6"/>
      <c r="R1228" s="6" t="s">
        <v>107</v>
      </c>
      <c r="S1228" s="6"/>
      <c r="T1228" s="6"/>
      <c r="U1228" s="5"/>
      <c r="V1228" s="6" t="s">
        <v>2783</v>
      </c>
      <c r="W1228" s="6" t="s">
        <v>106</v>
      </c>
      <c r="X1228" s="6"/>
      <c r="Y1228" s="22"/>
      <c r="Z1228" s="6"/>
      <c r="AA1228" s="21">
        <v>10222</v>
      </c>
      <c r="AB1228" s="23">
        <v>44132</v>
      </c>
      <c r="AC1228" s="21" t="s">
        <v>32</v>
      </c>
      <c r="AD1228" s="24" t="s">
        <v>2784</v>
      </c>
      <c r="AE1228" s="6" t="s">
        <v>34</v>
      </c>
      <c r="AF1228" s="6"/>
      <c r="AG1228" s="6" t="s">
        <v>3040</v>
      </c>
    </row>
    <row r="1229" spans="1:33" ht="15" customHeight="1" x14ac:dyDescent="0.25">
      <c r="A1229" s="5">
        <v>47</v>
      </c>
      <c r="B1229" s="38">
        <v>44154</v>
      </c>
      <c r="C1229" s="38">
        <v>44140</v>
      </c>
      <c r="D1229" s="38">
        <v>44133</v>
      </c>
      <c r="E1229" s="37">
        <v>44154</v>
      </c>
      <c r="F1229" s="5">
        <v>3151</v>
      </c>
      <c r="G1229" s="5" t="s">
        <v>91</v>
      </c>
      <c r="H1229" s="5" t="s">
        <v>41</v>
      </c>
      <c r="I1229" s="5" t="s">
        <v>92</v>
      </c>
      <c r="J1229" s="21" t="s">
        <v>93</v>
      </c>
      <c r="K1229" s="21" t="s">
        <v>2785</v>
      </c>
      <c r="L1229" s="6" t="s">
        <v>95</v>
      </c>
      <c r="M1229" s="5">
        <v>0</v>
      </c>
      <c r="N1229" s="5" t="s">
        <v>91</v>
      </c>
      <c r="O1229" s="5" t="s">
        <v>91</v>
      </c>
      <c r="P1229" s="5" t="s">
        <v>91</v>
      </c>
      <c r="Q1229" s="6"/>
      <c r="R1229" s="6" t="s">
        <v>2786</v>
      </c>
      <c r="S1229" s="6"/>
      <c r="T1229" s="6"/>
      <c r="U1229" s="5"/>
      <c r="V1229" s="6"/>
      <c r="W1229" s="6" t="s">
        <v>106</v>
      </c>
      <c r="X1229" s="6"/>
      <c r="Y1229" s="22"/>
      <c r="Z1229" s="6"/>
      <c r="AA1229" s="21" t="s">
        <v>2787</v>
      </c>
      <c r="AB1229" s="23">
        <v>44146</v>
      </c>
      <c r="AC1229" s="21" t="s">
        <v>32</v>
      </c>
      <c r="AD1229" s="24" t="s">
        <v>2788</v>
      </c>
      <c r="AE1229" s="6" t="s">
        <v>31</v>
      </c>
      <c r="AF1229" s="6"/>
      <c r="AG1229" s="6" t="s">
        <v>3041</v>
      </c>
    </row>
    <row r="1230" spans="1:33" ht="7.5" customHeight="1" x14ac:dyDescent="0.25">
      <c r="A1230" s="27"/>
      <c r="B1230" s="39"/>
      <c r="C1230" s="39"/>
      <c r="D1230" s="39"/>
      <c r="E1230" s="28"/>
      <c r="F1230" s="27"/>
      <c r="G1230" s="27"/>
      <c r="H1230" s="27"/>
      <c r="I1230" s="27"/>
      <c r="J1230" s="30"/>
      <c r="K1230" s="30"/>
      <c r="L1230" s="29"/>
      <c r="M1230" s="27"/>
      <c r="N1230" s="27"/>
      <c r="O1230" s="27"/>
      <c r="P1230" s="27"/>
      <c r="Q1230" s="29"/>
      <c r="R1230" s="29"/>
      <c r="S1230" s="29"/>
      <c r="T1230" s="29"/>
      <c r="U1230" s="27"/>
      <c r="V1230" s="29"/>
      <c r="W1230" s="29"/>
      <c r="X1230" s="29"/>
      <c r="Y1230" s="31"/>
      <c r="Z1230" s="29"/>
      <c r="AA1230" s="30"/>
      <c r="AB1230" s="32"/>
      <c r="AC1230" s="30"/>
      <c r="AD1230" s="33"/>
      <c r="AE1230" s="29"/>
      <c r="AF1230" s="29"/>
      <c r="AG1230" s="29"/>
    </row>
    <row r="1231" spans="1:33" ht="15" customHeight="1" x14ac:dyDescent="0.25">
      <c r="A1231" s="5">
        <v>47</v>
      </c>
      <c r="B1231" s="38">
        <v>44151</v>
      </c>
      <c r="C1231" s="38">
        <v>44140</v>
      </c>
      <c r="D1231" s="38">
        <v>44130</v>
      </c>
      <c r="E1231" s="37">
        <v>44151</v>
      </c>
      <c r="F1231" s="5">
        <v>12107</v>
      </c>
      <c r="G1231" s="5" t="s">
        <v>91</v>
      </c>
      <c r="H1231" s="5" t="s">
        <v>43</v>
      </c>
      <c r="I1231" s="5" t="s">
        <v>92</v>
      </c>
      <c r="J1231" s="21" t="s">
        <v>275</v>
      </c>
      <c r="K1231" s="21" t="s">
        <v>2661</v>
      </c>
      <c r="L1231" s="6" t="s">
        <v>2662</v>
      </c>
      <c r="M1231" s="5">
        <v>14</v>
      </c>
      <c r="N1231" s="5" t="s">
        <v>91</v>
      </c>
      <c r="O1231" s="5" t="s">
        <v>91</v>
      </c>
      <c r="P1231" s="5" t="s">
        <v>91</v>
      </c>
      <c r="Q1231" s="6" t="s">
        <v>2582</v>
      </c>
      <c r="R1231" s="6" t="s">
        <v>296</v>
      </c>
      <c r="S1231" s="6"/>
      <c r="T1231" s="6"/>
      <c r="U1231" s="5"/>
      <c r="V1231" s="6"/>
      <c r="W1231" s="6" t="s">
        <v>429</v>
      </c>
      <c r="X1231" s="6"/>
      <c r="Y1231" s="22"/>
      <c r="Z1231" s="6">
        <v>7.5</v>
      </c>
      <c r="AA1231" s="21"/>
      <c r="AB1231" s="23">
        <v>44126</v>
      </c>
      <c r="AC1231" s="21" t="s">
        <v>32</v>
      </c>
      <c r="AD1231" s="24" t="s">
        <v>2663</v>
      </c>
      <c r="AE1231" s="6" t="s">
        <v>37</v>
      </c>
      <c r="AF1231" s="6"/>
      <c r="AG1231" s="6" t="s">
        <v>3041</v>
      </c>
    </row>
    <row r="1232" spans="1:33" ht="7.5" customHeight="1" x14ac:dyDescent="0.25">
      <c r="A1232" s="27"/>
      <c r="B1232" s="39"/>
      <c r="C1232" s="39"/>
      <c r="D1232" s="39"/>
      <c r="E1232" s="28"/>
      <c r="F1232" s="27"/>
      <c r="G1232" s="27"/>
      <c r="H1232" s="27"/>
      <c r="I1232" s="27"/>
      <c r="J1232" s="30"/>
      <c r="K1232" s="30"/>
      <c r="L1232" s="29"/>
      <c r="M1232" s="27"/>
      <c r="N1232" s="27"/>
      <c r="O1232" s="27"/>
      <c r="P1232" s="27"/>
      <c r="Q1232" s="29"/>
      <c r="R1232" s="29"/>
      <c r="S1232" s="29"/>
      <c r="T1232" s="29"/>
      <c r="U1232" s="27"/>
      <c r="V1232" s="29"/>
      <c r="W1232" s="29"/>
      <c r="X1232" s="29"/>
      <c r="Y1232" s="31"/>
      <c r="Z1232" s="29"/>
      <c r="AA1232" s="30"/>
      <c r="AB1232" s="32"/>
      <c r="AC1232" s="30"/>
      <c r="AD1232" s="33"/>
      <c r="AE1232" s="29"/>
      <c r="AF1232" s="29"/>
      <c r="AG1232" s="29"/>
    </row>
    <row r="1233" spans="1:33" ht="15" customHeight="1" x14ac:dyDescent="0.25">
      <c r="A1233" s="5">
        <v>47</v>
      </c>
      <c r="B1233" s="38">
        <v>44154</v>
      </c>
      <c r="C1233" s="38">
        <v>44140</v>
      </c>
      <c r="D1233" s="38">
        <v>44133</v>
      </c>
      <c r="E1233" s="37">
        <v>44154</v>
      </c>
      <c r="F1233" s="5">
        <v>4862</v>
      </c>
      <c r="G1233" s="5" t="s">
        <v>91</v>
      </c>
      <c r="H1233" s="5" t="s">
        <v>41</v>
      </c>
      <c r="I1233" s="5" t="s">
        <v>92</v>
      </c>
      <c r="J1233" s="21" t="s">
        <v>109</v>
      </c>
      <c r="K1233" s="21" t="s">
        <v>2791</v>
      </c>
      <c r="L1233" s="6" t="s">
        <v>2792</v>
      </c>
      <c r="M1233" s="5">
        <v>0</v>
      </c>
      <c r="N1233" s="5" t="s">
        <v>91</v>
      </c>
      <c r="O1233" s="5" t="s">
        <v>91</v>
      </c>
      <c r="P1233" s="5" t="s">
        <v>91</v>
      </c>
      <c r="Q1233" s="6"/>
      <c r="R1233" s="6" t="s">
        <v>112</v>
      </c>
      <c r="S1233" s="6"/>
      <c r="T1233" s="6"/>
      <c r="U1233" s="5"/>
      <c r="V1233" s="6"/>
      <c r="W1233" s="6" t="s">
        <v>1041</v>
      </c>
      <c r="X1233" s="6"/>
      <c r="Y1233" s="22"/>
      <c r="Z1233" s="6">
        <v>0</v>
      </c>
      <c r="AA1233" s="21">
        <v>10208</v>
      </c>
      <c r="AB1233" s="23">
        <v>44120</v>
      </c>
      <c r="AC1233" s="21" t="s">
        <v>30</v>
      </c>
      <c r="AD1233" s="24" t="s">
        <v>115</v>
      </c>
      <c r="AE1233" s="6" t="s">
        <v>31</v>
      </c>
      <c r="AF1233" s="6"/>
      <c r="AG1233" s="6" t="s">
        <v>3039</v>
      </c>
    </row>
    <row r="1234" spans="1:33" ht="7.5" customHeight="1" x14ac:dyDescent="0.25">
      <c r="A1234" s="27"/>
      <c r="B1234" s="39"/>
      <c r="C1234" s="39"/>
      <c r="D1234" s="39"/>
      <c r="E1234" s="28"/>
      <c r="F1234" s="27"/>
      <c r="G1234" s="27"/>
      <c r="H1234" s="27"/>
      <c r="I1234" s="27"/>
      <c r="J1234" s="30"/>
      <c r="K1234" s="30"/>
      <c r="L1234" s="29"/>
      <c r="M1234" s="27"/>
      <c r="N1234" s="27"/>
      <c r="O1234" s="27"/>
      <c r="P1234" s="27"/>
      <c r="Q1234" s="29"/>
      <c r="R1234" s="29"/>
      <c r="S1234" s="29"/>
      <c r="T1234" s="29"/>
      <c r="U1234" s="27"/>
      <c r="V1234" s="29"/>
      <c r="W1234" s="29"/>
      <c r="X1234" s="29"/>
      <c r="Y1234" s="31"/>
      <c r="Z1234" s="29"/>
      <c r="AA1234" s="30"/>
      <c r="AB1234" s="32"/>
      <c r="AC1234" s="30"/>
      <c r="AD1234" s="33"/>
      <c r="AE1234" s="29"/>
      <c r="AF1234" s="29"/>
      <c r="AG1234" s="29"/>
    </row>
    <row r="1235" spans="1:33" ht="15" customHeight="1" x14ac:dyDescent="0.25">
      <c r="A1235" s="5">
        <v>47</v>
      </c>
      <c r="B1235" s="38">
        <v>44151</v>
      </c>
      <c r="C1235" s="38">
        <v>44140</v>
      </c>
      <c r="D1235" s="38">
        <v>44127</v>
      </c>
      <c r="E1235" s="37">
        <v>44151</v>
      </c>
      <c r="F1235" s="5">
        <v>5735</v>
      </c>
      <c r="G1235" s="5" t="s">
        <v>91</v>
      </c>
      <c r="H1235" s="5" t="s">
        <v>43</v>
      </c>
      <c r="I1235" s="5" t="s">
        <v>92</v>
      </c>
      <c r="J1235" s="21" t="s">
        <v>131</v>
      </c>
      <c r="K1235" s="21" t="s">
        <v>2672</v>
      </c>
      <c r="L1235" s="6" t="s">
        <v>2673</v>
      </c>
      <c r="M1235" s="5">
        <v>0</v>
      </c>
      <c r="N1235" s="5" t="s">
        <v>91</v>
      </c>
      <c r="O1235" s="5" t="s">
        <v>91</v>
      </c>
      <c r="P1235" s="5" t="s">
        <v>91</v>
      </c>
      <c r="Q1235" s="6" t="s">
        <v>86</v>
      </c>
      <c r="R1235" s="6" t="s">
        <v>2674</v>
      </c>
      <c r="S1235" s="6"/>
      <c r="T1235" s="6"/>
      <c r="U1235" s="5"/>
      <c r="V1235" s="6" t="s">
        <v>2675</v>
      </c>
      <c r="W1235" s="6" t="s">
        <v>186</v>
      </c>
      <c r="X1235" s="6"/>
      <c r="Y1235" s="22"/>
      <c r="Z1235" s="6"/>
      <c r="AA1235" s="21"/>
      <c r="AB1235" s="23">
        <v>44105</v>
      </c>
      <c r="AC1235" s="21" t="s">
        <v>30</v>
      </c>
      <c r="AD1235" s="24" t="s">
        <v>2676</v>
      </c>
      <c r="AE1235" s="6" t="s">
        <v>31</v>
      </c>
      <c r="AF1235" s="6"/>
      <c r="AG1235" s="6" t="s">
        <v>3040</v>
      </c>
    </row>
    <row r="1236" spans="1:33" ht="15" customHeight="1" x14ac:dyDescent="0.25">
      <c r="A1236" s="5">
        <v>47</v>
      </c>
      <c r="B1236" s="38">
        <v>44151</v>
      </c>
      <c r="C1236" s="38">
        <v>44140</v>
      </c>
      <c r="D1236" s="38">
        <v>44127</v>
      </c>
      <c r="E1236" s="37">
        <v>44151</v>
      </c>
      <c r="F1236" s="5">
        <v>5737</v>
      </c>
      <c r="G1236" s="5" t="s">
        <v>91</v>
      </c>
      <c r="H1236" s="5" t="s">
        <v>43</v>
      </c>
      <c r="I1236" s="5" t="s">
        <v>92</v>
      </c>
      <c r="J1236" s="21" t="s">
        <v>131</v>
      </c>
      <c r="K1236" s="21" t="s">
        <v>2677</v>
      </c>
      <c r="L1236" s="6" t="s">
        <v>2678</v>
      </c>
      <c r="M1236" s="5">
        <v>0</v>
      </c>
      <c r="N1236" s="5" t="s">
        <v>91</v>
      </c>
      <c r="O1236" s="5" t="s">
        <v>91</v>
      </c>
      <c r="P1236" s="5" t="s">
        <v>91</v>
      </c>
      <c r="Q1236" s="6"/>
      <c r="R1236" s="6" t="s">
        <v>2062</v>
      </c>
      <c r="S1236" s="6"/>
      <c r="T1236" s="6"/>
      <c r="U1236" s="5"/>
      <c r="V1236" s="6"/>
      <c r="W1236" s="6" t="s">
        <v>502</v>
      </c>
      <c r="X1236" s="6"/>
      <c r="Y1236" s="22"/>
      <c r="Z1236" s="6"/>
      <c r="AA1236" s="21"/>
      <c r="AB1236" s="23">
        <v>44133</v>
      </c>
      <c r="AC1236" s="21" t="s">
        <v>30</v>
      </c>
      <c r="AD1236" s="24" t="s">
        <v>296</v>
      </c>
      <c r="AE1236" s="6" t="s">
        <v>35</v>
      </c>
      <c r="AF1236" s="6"/>
      <c r="AG1236" s="6" t="s">
        <v>3041</v>
      </c>
    </row>
    <row r="1237" spans="1:33" ht="15" customHeight="1" x14ac:dyDescent="0.25">
      <c r="A1237" s="5">
        <v>47</v>
      </c>
      <c r="B1237" s="38">
        <v>44151</v>
      </c>
      <c r="C1237" s="38">
        <v>44140</v>
      </c>
      <c r="D1237" s="38">
        <v>44127</v>
      </c>
      <c r="E1237" s="37">
        <v>44151</v>
      </c>
      <c r="F1237" s="5">
        <v>5738</v>
      </c>
      <c r="G1237" s="5" t="s">
        <v>91</v>
      </c>
      <c r="H1237" s="5" t="s">
        <v>43</v>
      </c>
      <c r="I1237" s="5" t="s">
        <v>92</v>
      </c>
      <c r="J1237" s="21" t="s">
        <v>131</v>
      </c>
      <c r="K1237" s="21" t="s">
        <v>2679</v>
      </c>
      <c r="L1237" s="6" t="s">
        <v>2680</v>
      </c>
      <c r="M1237" s="5">
        <v>0</v>
      </c>
      <c r="N1237" s="5" t="s">
        <v>91</v>
      </c>
      <c r="O1237" s="5" t="s">
        <v>91</v>
      </c>
      <c r="P1237" s="5" t="s">
        <v>91</v>
      </c>
      <c r="Q1237" s="6"/>
      <c r="R1237" s="6" t="s">
        <v>2368</v>
      </c>
      <c r="S1237" s="6"/>
      <c r="T1237" s="6"/>
      <c r="U1237" s="5"/>
      <c r="V1237" s="6"/>
      <c r="W1237" s="6" t="s">
        <v>183</v>
      </c>
      <c r="X1237" s="6"/>
      <c r="Y1237" s="22"/>
      <c r="Z1237" s="6"/>
      <c r="AA1237" s="21"/>
      <c r="AB1237" s="23">
        <v>44134</v>
      </c>
      <c r="AC1237" s="21" t="s">
        <v>32</v>
      </c>
      <c r="AD1237" s="24" t="s">
        <v>2681</v>
      </c>
      <c r="AE1237" s="6" t="s">
        <v>36</v>
      </c>
      <c r="AF1237" s="6"/>
      <c r="AG1237" s="6" t="s">
        <v>3042</v>
      </c>
    </row>
    <row r="1238" spans="1:33" ht="15" customHeight="1" x14ac:dyDescent="0.25">
      <c r="A1238" s="5">
        <v>47</v>
      </c>
      <c r="B1238" s="38">
        <v>44151</v>
      </c>
      <c r="C1238" s="38">
        <v>44140</v>
      </c>
      <c r="D1238" s="38">
        <v>44127</v>
      </c>
      <c r="E1238" s="37">
        <v>44151</v>
      </c>
      <c r="F1238" s="5">
        <v>5739</v>
      </c>
      <c r="G1238" s="5" t="s">
        <v>91</v>
      </c>
      <c r="H1238" s="5" t="s">
        <v>43</v>
      </c>
      <c r="I1238" s="5" t="s">
        <v>92</v>
      </c>
      <c r="J1238" s="21" t="s">
        <v>131</v>
      </c>
      <c r="K1238" s="21" t="s">
        <v>2682</v>
      </c>
      <c r="L1238" s="6" t="s">
        <v>1452</v>
      </c>
      <c r="M1238" s="5">
        <v>0</v>
      </c>
      <c r="N1238" s="5" t="s">
        <v>91</v>
      </c>
      <c r="O1238" s="5" t="s">
        <v>91</v>
      </c>
      <c r="P1238" s="5" t="s">
        <v>91</v>
      </c>
      <c r="Q1238" s="6" t="s">
        <v>86</v>
      </c>
      <c r="R1238" s="6" t="s">
        <v>2368</v>
      </c>
      <c r="S1238" s="6"/>
      <c r="T1238" s="6"/>
      <c r="U1238" s="5"/>
      <c r="V1238" s="6" t="s">
        <v>2683</v>
      </c>
      <c r="W1238" s="6" t="s">
        <v>1919</v>
      </c>
      <c r="X1238" s="6"/>
      <c r="Y1238" s="22"/>
      <c r="Z1238" s="6"/>
      <c r="AA1238" s="21"/>
      <c r="AB1238" s="23">
        <v>44134</v>
      </c>
      <c r="AC1238" s="21" t="s">
        <v>33</v>
      </c>
      <c r="AD1238" s="24" t="s">
        <v>296</v>
      </c>
      <c r="AE1238" s="6" t="s">
        <v>38</v>
      </c>
      <c r="AF1238" s="6"/>
      <c r="AG1238" s="6" t="s">
        <v>3039</v>
      </c>
    </row>
    <row r="1239" spans="1:33" ht="15" customHeight="1" x14ac:dyDescent="0.25">
      <c r="A1239" s="5">
        <v>47</v>
      </c>
      <c r="B1239" s="38">
        <v>44151</v>
      </c>
      <c r="C1239" s="38">
        <v>44140</v>
      </c>
      <c r="D1239" s="38">
        <v>44125</v>
      </c>
      <c r="E1239" s="37">
        <v>44151</v>
      </c>
      <c r="F1239" s="5">
        <v>5724</v>
      </c>
      <c r="G1239" s="5" t="s">
        <v>91</v>
      </c>
      <c r="H1239" s="5" t="s">
        <v>43</v>
      </c>
      <c r="I1239" s="5" t="s">
        <v>92</v>
      </c>
      <c r="J1239" s="21" t="s">
        <v>131</v>
      </c>
      <c r="K1239" s="21" t="s">
        <v>2684</v>
      </c>
      <c r="L1239" s="6" t="s">
        <v>1261</v>
      </c>
      <c r="M1239" s="5">
        <v>0</v>
      </c>
      <c r="N1239" s="5" t="s">
        <v>91</v>
      </c>
      <c r="O1239" s="5" t="s">
        <v>91</v>
      </c>
      <c r="P1239" s="5" t="s">
        <v>91</v>
      </c>
      <c r="Q1239" s="6"/>
      <c r="R1239" s="6" t="s">
        <v>2106</v>
      </c>
      <c r="S1239" s="6"/>
      <c r="T1239" s="6"/>
      <c r="U1239" s="5"/>
      <c r="V1239" s="6"/>
      <c r="W1239" s="6" t="s">
        <v>794</v>
      </c>
      <c r="X1239" s="6"/>
      <c r="Y1239" s="22"/>
      <c r="Z1239" s="6"/>
      <c r="AA1239" s="21"/>
      <c r="AB1239" s="23">
        <v>44134</v>
      </c>
      <c r="AC1239" s="21" t="s">
        <v>30</v>
      </c>
      <c r="AD1239" s="24" t="s">
        <v>296</v>
      </c>
      <c r="AE1239" s="6" t="s">
        <v>31</v>
      </c>
      <c r="AF1239" s="6"/>
      <c r="AG1239" s="6" t="s">
        <v>3040</v>
      </c>
    </row>
    <row r="1240" spans="1:33" ht="15" customHeight="1" x14ac:dyDescent="0.25">
      <c r="A1240" s="5">
        <v>47</v>
      </c>
      <c r="B1240" s="38">
        <v>44151</v>
      </c>
      <c r="C1240" s="38">
        <v>44140</v>
      </c>
      <c r="D1240" s="38">
        <v>44127</v>
      </c>
      <c r="E1240" s="37">
        <v>44151</v>
      </c>
      <c r="F1240" s="5">
        <v>7815</v>
      </c>
      <c r="G1240" s="5" t="s">
        <v>91</v>
      </c>
      <c r="H1240" s="5" t="s">
        <v>43</v>
      </c>
      <c r="I1240" s="5" t="s">
        <v>92</v>
      </c>
      <c r="J1240" s="21" t="s">
        <v>214</v>
      </c>
      <c r="K1240" s="21" t="s">
        <v>2695</v>
      </c>
      <c r="L1240" s="6" t="s">
        <v>2696</v>
      </c>
      <c r="M1240" s="5">
        <v>0</v>
      </c>
      <c r="N1240" s="5" t="s">
        <v>91</v>
      </c>
      <c r="O1240" s="5" t="s">
        <v>91</v>
      </c>
      <c r="P1240" s="5" t="s">
        <v>91</v>
      </c>
      <c r="Q1240" s="6"/>
      <c r="R1240" s="6" t="s">
        <v>217</v>
      </c>
      <c r="S1240" s="6"/>
      <c r="T1240" s="6"/>
      <c r="U1240" s="5"/>
      <c r="V1240" s="6" t="s">
        <v>113</v>
      </c>
      <c r="W1240" s="6" t="s">
        <v>624</v>
      </c>
      <c r="X1240" s="6"/>
      <c r="Y1240" s="22"/>
      <c r="Z1240" s="6"/>
      <c r="AA1240" s="21"/>
      <c r="AB1240" s="23">
        <v>44124</v>
      </c>
      <c r="AC1240" s="21" t="s">
        <v>33</v>
      </c>
      <c r="AD1240" s="24" t="s">
        <v>2697</v>
      </c>
      <c r="AE1240" s="6" t="s">
        <v>35</v>
      </c>
      <c r="AF1240" s="6" t="s">
        <v>2702</v>
      </c>
      <c r="AG1240" s="6" t="s">
        <v>3041</v>
      </c>
    </row>
    <row r="1241" spans="1:33" ht="15" customHeight="1" x14ac:dyDescent="0.25">
      <c r="A1241" s="5">
        <v>47</v>
      </c>
      <c r="B1241" s="38">
        <v>44151</v>
      </c>
      <c r="C1241" s="38">
        <v>44140</v>
      </c>
      <c r="D1241" s="38">
        <v>44130</v>
      </c>
      <c r="E1241" s="37">
        <v>44151</v>
      </c>
      <c r="F1241" s="5">
        <v>7814</v>
      </c>
      <c r="G1241" s="5" t="s">
        <v>91</v>
      </c>
      <c r="H1241" s="5" t="s">
        <v>43</v>
      </c>
      <c r="I1241" s="5" t="s">
        <v>92</v>
      </c>
      <c r="J1241" s="21" t="s">
        <v>214</v>
      </c>
      <c r="K1241" s="21" t="s">
        <v>2698</v>
      </c>
      <c r="L1241" s="6" t="s">
        <v>2699</v>
      </c>
      <c r="M1241" s="5">
        <v>0</v>
      </c>
      <c r="N1241" s="5" t="s">
        <v>91</v>
      </c>
      <c r="O1241" s="5" t="s">
        <v>91</v>
      </c>
      <c r="P1241" s="5" t="s">
        <v>91</v>
      </c>
      <c r="Q1241" s="6"/>
      <c r="R1241" s="6" t="s">
        <v>2700</v>
      </c>
      <c r="S1241" s="6"/>
      <c r="T1241" s="6"/>
      <c r="U1241" s="5"/>
      <c r="V1241" s="6" t="s">
        <v>301</v>
      </c>
      <c r="W1241" s="6" t="s">
        <v>224</v>
      </c>
      <c r="X1241" s="6"/>
      <c r="Y1241" s="22"/>
      <c r="Z1241" s="6"/>
      <c r="AA1241" s="21" t="s">
        <v>2701</v>
      </c>
      <c r="AB1241" s="23">
        <v>44134</v>
      </c>
      <c r="AC1241" s="21" t="s">
        <v>30</v>
      </c>
      <c r="AD1241" s="24" t="s">
        <v>2702</v>
      </c>
      <c r="AE1241" s="6" t="s">
        <v>34</v>
      </c>
      <c r="AF1241" s="6"/>
      <c r="AG1241" s="6" t="s">
        <v>3042</v>
      </c>
    </row>
    <row r="1242" spans="1:33" ht="7.5" customHeight="1" x14ac:dyDescent="0.25">
      <c r="A1242" s="27"/>
      <c r="B1242" s="39"/>
      <c r="C1242" s="39"/>
      <c r="D1242" s="39"/>
      <c r="E1242" s="28"/>
      <c r="F1242" s="27"/>
      <c r="G1242" s="27"/>
      <c r="H1242" s="27"/>
      <c r="I1242" s="27"/>
      <c r="J1242" s="30"/>
      <c r="K1242" s="30"/>
      <c r="L1242" s="29"/>
      <c r="M1242" s="27"/>
      <c r="N1242" s="27"/>
      <c r="O1242" s="27"/>
      <c r="P1242" s="27"/>
      <c r="Q1242" s="29"/>
      <c r="R1242" s="29"/>
      <c r="S1242" s="29"/>
      <c r="T1242" s="29"/>
      <c r="U1242" s="27"/>
      <c r="V1242" s="29"/>
      <c r="W1242" s="29"/>
      <c r="X1242" s="29"/>
      <c r="Y1242" s="31"/>
      <c r="Z1242" s="29"/>
      <c r="AA1242" s="30"/>
      <c r="AB1242" s="32"/>
      <c r="AC1242" s="30"/>
      <c r="AD1242" s="33"/>
      <c r="AE1242" s="29"/>
      <c r="AF1242" s="29"/>
      <c r="AG1242" s="29"/>
    </row>
    <row r="1243" spans="1:33" ht="15" customHeight="1" x14ac:dyDescent="0.25">
      <c r="A1243" s="5">
        <v>48</v>
      </c>
      <c r="B1243" s="38">
        <v>44159</v>
      </c>
      <c r="C1243" s="38">
        <v>44141</v>
      </c>
      <c r="D1243" s="38">
        <v>44118</v>
      </c>
      <c r="E1243" s="34">
        <v>44159</v>
      </c>
      <c r="F1243" s="5">
        <v>8796</v>
      </c>
      <c r="G1243" s="5" t="s">
        <v>91</v>
      </c>
      <c r="H1243" s="5" t="s">
        <v>41</v>
      </c>
      <c r="I1243" s="5" t="s">
        <v>92</v>
      </c>
      <c r="J1243" s="21" t="s">
        <v>147</v>
      </c>
      <c r="K1243" s="21" t="s">
        <v>2845</v>
      </c>
      <c r="L1243" s="6" t="s">
        <v>2846</v>
      </c>
      <c r="M1243" s="5">
        <v>25</v>
      </c>
      <c r="N1243" s="5" t="s">
        <v>91</v>
      </c>
      <c r="O1243" s="5" t="s">
        <v>91</v>
      </c>
      <c r="P1243" s="5" t="s">
        <v>91</v>
      </c>
      <c r="Q1243" s="6" t="s">
        <v>2557</v>
      </c>
      <c r="R1243" s="6" t="s">
        <v>2847</v>
      </c>
      <c r="S1243" s="6" t="s">
        <v>2139</v>
      </c>
      <c r="T1243" s="6" t="s">
        <v>2848</v>
      </c>
      <c r="U1243" s="5"/>
      <c r="V1243" s="6"/>
      <c r="W1243" s="6" t="s">
        <v>2849</v>
      </c>
      <c r="X1243" s="6" t="s">
        <v>2850</v>
      </c>
      <c r="Y1243" s="22"/>
      <c r="Z1243" s="6"/>
      <c r="AA1243" s="21"/>
      <c r="AB1243" s="23"/>
      <c r="AC1243" s="21" t="s">
        <v>33</v>
      </c>
      <c r="AD1243" s="24"/>
      <c r="AE1243" s="6" t="s">
        <v>31</v>
      </c>
      <c r="AF1243" s="6"/>
      <c r="AG1243" s="6" t="s">
        <v>3039</v>
      </c>
    </row>
    <row r="1244" spans="1:33" ht="15" customHeight="1" x14ac:dyDescent="0.25">
      <c r="A1244" s="5">
        <v>48</v>
      </c>
      <c r="B1244" s="38">
        <v>44159</v>
      </c>
      <c r="C1244" s="38">
        <v>44141</v>
      </c>
      <c r="D1244" s="38">
        <v>44125</v>
      </c>
      <c r="E1244" s="34">
        <v>44159</v>
      </c>
      <c r="F1244" s="5">
        <v>8806</v>
      </c>
      <c r="G1244" s="5" t="s">
        <v>91</v>
      </c>
      <c r="H1244" s="5" t="s">
        <v>43</v>
      </c>
      <c r="I1244" s="5" t="s">
        <v>92</v>
      </c>
      <c r="J1244" s="21" t="s">
        <v>147</v>
      </c>
      <c r="K1244" s="21" t="s">
        <v>644</v>
      </c>
      <c r="L1244" s="6" t="s">
        <v>989</v>
      </c>
      <c r="M1244" s="5">
        <v>12</v>
      </c>
      <c r="N1244" s="5" t="s">
        <v>91</v>
      </c>
      <c r="O1244" s="5" t="s">
        <v>91</v>
      </c>
      <c r="P1244" s="5" t="s">
        <v>1215</v>
      </c>
      <c r="Q1244" s="6" t="s">
        <v>86</v>
      </c>
      <c r="R1244" s="6"/>
      <c r="S1244" s="6" t="s">
        <v>2139</v>
      </c>
      <c r="T1244" s="6"/>
      <c r="U1244" s="5"/>
      <c r="V1244" s="6" t="s">
        <v>2851</v>
      </c>
      <c r="W1244" s="6" t="s">
        <v>2852</v>
      </c>
      <c r="X1244" s="6"/>
      <c r="Y1244" s="22"/>
      <c r="Z1244" s="6"/>
      <c r="AA1244" s="21"/>
      <c r="AB1244" s="23">
        <v>44118</v>
      </c>
      <c r="AC1244" s="21" t="s">
        <v>32</v>
      </c>
      <c r="AD1244" s="24">
        <v>21918.09</v>
      </c>
      <c r="AE1244" s="6" t="s">
        <v>37</v>
      </c>
      <c r="AF1244" s="6"/>
      <c r="AG1244" s="6" t="s">
        <v>3040</v>
      </c>
    </row>
    <row r="1245" spans="1:33" ht="7.5" customHeight="1" x14ac:dyDescent="0.25">
      <c r="A1245" s="27"/>
      <c r="B1245" s="39"/>
      <c r="C1245" s="39"/>
      <c r="D1245" s="39"/>
      <c r="E1245" s="28"/>
      <c r="F1245" s="27"/>
      <c r="G1245" s="27"/>
      <c r="H1245" s="27"/>
      <c r="I1245" s="27"/>
      <c r="J1245" s="30"/>
      <c r="K1245" s="30"/>
      <c r="L1245" s="29"/>
      <c r="M1245" s="27"/>
      <c r="N1245" s="27"/>
      <c r="O1245" s="27"/>
      <c r="P1245" s="27"/>
      <c r="Q1245" s="29"/>
      <c r="R1245" s="29"/>
      <c r="S1245" s="29"/>
      <c r="T1245" s="29"/>
      <c r="U1245" s="27"/>
      <c r="V1245" s="29"/>
      <c r="W1245" s="29"/>
      <c r="X1245" s="29"/>
      <c r="Y1245" s="31"/>
      <c r="Z1245" s="29"/>
      <c r="AA1245" s="30"/>
      <c r="AB1245" s="32"/>
      <c r="AC1245" s="30"/>
      <c r="AD1245" s="33"/>
      <c r="AE1245" s="29"/>
      <c r="AF1245" s="29"/>
      <c r="AG1245" s="29"/>
    </row>
    <row r="1246" spans="1:33" ht="15" customHeight="1" x14ac:dyDescent="0.25">
      <c r="A1246" s="5">
        <v>47</v>
      </c>
      <c r="B1246" s="38">
        <v>44153</v>
      </c>
      <c r="C1246" s="38">
        <v>44144</v>
      </c>
      <c r="D1246" s="38">
        <v>44104</v>
      </c>
      <c r="E1246" s="37">
        <v>44153</v>
      </c>
      <c r="F1246" s="5">
        <v>2394</v>
      </c>
      <c r="G1246" s="5" t="s">
        <v>91</v>
      </c>
      <c r="H1246" s="5" t="s">
        <v>40</v>
      </c>
      <c r="I1246" s="5" t="s">
        <v>92</v>
      </c>
      <c r="J1246" s="21" t="s">
        <v>231</v>
      </c>
      <c r="K1246" s="21" t="s">
        <v>2706</v>
      </c>
      <c r="L1246" s="6" t="s">
        <v>2707</v>
      </c>
      <c r="M1246" s="5">
        <v>23</v>
      </c>
      <c r="N1246" s="5" t="s">
        <v>91</v>
      </c>
      <c r="O1246" s="5" t="s">
        <v>91</v>
      </c>
      <c r="P1246" s="5" t="s">
        <v>91</v>
      </c>
      <c r="Q1246" s="6" t="s">
        <v>2557</v>
      </c>
      <c r="R1246" s="6" t="s">
        <v>2258</v>
      </c>
      <c r="S1246" s="6" t="s">
        <v>265</v>
      </c>
      <c r="T1246" s="6" t="s">
        <v>2708</v>
      </c>
      <c r="U1246" s="5"/>
      <c r="V1246" s="6"/>
      <c r="W1246" s="6" t="s">
        <v>2709</v>
      </c>
      <c r="X1246" s="6" t="s">
        <v>2710</v>
      </c>
      <c r="Y1246" s="22"/>
      <c r="Z1246" s="6"/>
      <c r="AA1246" s="21"/>
      <c r="AB1246" s="23"/>
      <c r="AC1246" s="21" t="s">
        <v>32</v>
      </c>
      <c r="AD1246" s="24"/>
      <c r="AE1246" s="6" t="s">
        <v>31</v>
      </c>
      <c r="AF1246" s="6"/>
      <c r="AG1246" s="6" t="s">
        <v>3040</v>
      </c>
    </row>
    <row r="1247" spans="1:33" ht="7.5" customHeight="1" x14ac:dyDescent="0.25">
      <c r="A1247" s="27"/>
      <c r="B1247" s="39"/>
      <c r="C1247" s="39"/>
      <c r="D1247" s="39"/>
      <c r="E1247" s="28"/>
      <c r="F1247" s="27"/>
      <c r="G1247" s="27"/>
      <c r="H1247" s="27"/>
      <c r="I1247" s="27"/>
      <c r="J1247" s="30"/>
      <c r="K1247" s="30"/>
      <c r="L1247" s="29"/>
      <c r="M1247" s="27"/>
      <c r="N1247" s="27"/>
      <c r="O1247" s="27"/>
      <c r="P1247" s="27"/>
      <c r="Q1247" s="29"/>
      <c r="R1247" s="29"/>
      <c r="S1247" s="29"/>
      <c r="T1247" s="29"/>
      <c r="U1247" s="27"/>
      <c r="V1247" s="29"/>
      <c r="W1247" s="29"/>
      <c r="X1247" s="29"/>
      <c r="Y1247" s="31"/>
      <c r="Z1247" s="29"/>
      <c r="AA1247" s="30"/>
      <c r="AB1247" s="32"/>
      <c r="AC1247" s="30"/>
      <c r="AD1247" s="33"/>
      <c r="AE1247" s="29"/>
      <c r="AF1247" s="29"/>
      <c r="AG1247" s="29"/>
    </row>
    <row r="1248" spans="1:33" ht="15" customHeight="1" x14ac:dyDescent="0.25">
      <c r="A1248" s="5">
        <v>48</v>
      </c>
      <c r="B1248" s="38">
        <v>44160</v>
      </c>
      <c r="C1248" s="38">
        <v>44144</v>
      </c>
      <c r="D1248" s="38">
        <v>44118</v>
      </c>
      <c r="E1248" s="34">
        <v>44160</v>
      </c>
      <c r="F1248" s="5">
        <v>2392</v>
      </c>
      <c r="G1248" s="5" t="s">
        <v>91</v>
      </c>
      <c r="H1248" s="5" t="s">
        <v>43</v>
      </c>
      <c r="I1248" s="5" t="s">
        <v>92</v>
      </c>
      <c r="J1248" s="21" t="s">
        <v>231</v>
      </c>
      <c r="K1248" s="21" t="s">
        <v>2860</v>
      </c>
      <c r="L1248" s="6" t="s">
        <v>2055</v>
      </c>
      <c r="M1248" s="5">
        <v>0</v>
      </c>
      <c r="N1248" s="5" t="s">
        <v>91</v>
      </c>
      <c r="O1248" s="5" t="s">
        <v>91</v>
      </c>
      <c r="P1248" s="5" t="s">
        <v>91</v>
      </c>
      <c r="Q1248" s="6"/>
      <c r="R1248" s="6" t="s">
        <v>2258</v>
      </c>
      <c r="S1248" s="6" t="s">
        <v>1264</v>
      </c>
      <c r="T1248" s="6" t="s">
        <v>2569</v>
      </c>
      <c r="U1248" s="5"/>
      <c r="V1248" s="6"/>
      <c r="W1248" s="6" t="s">
        <v>2570</v>
      </c>
      <c r="X1248" s="6" t="s">
        <v>235</v>
      </c>
      <c r="Y1248" s="22"/>
      <c r="Z1248" s="6"/>
      <c r="AA1248" s="21" t="s">
        <v>2861</v>
      </c>
      <c r="AB1248" s="23">
        <v>44126</v>
      </c>
      <c r="AC1248" s="21" t="s">
        <v>30</v>
      </c>
      <c r="AD1248" s="24">
        <v>12311.33</v>
      </c>
      <c r="AE1248" s="6" t="s">
        <v>38</v>
      </c>
      <c r="AF1248" s="6"/>
      <c r="AG1248" s="6" t="s">
        <v>3042</v>
      </c>
    </row>
    <row r="1249" spans="1:33" ht="7.5" customHeight="1" x14ac:dyDescent="0.25">
      <c r="A1249" s="27"/>
      <c r="B1249" s="39"/>
      <c r="C1249" s="39"/>
      <c r="D1249" s="39"/>
      <c r="E1249" s="28"/>
      <c r="F1249" s="27"/>
      <c r="G1249" s="27"/>
      <c r="H1249" s="27"/>
      <c r="I1249" s="27"/>
      <c r="J1249" s="30"/>
      <c r="K1249" s="30"/>
      <c r="L1249" s="29"/>
      <c r="M1249" s="27"/>
      <c r="N1249" s="27"/>
      <c r="O1249" s="27"/>
      <c r="P1249" s="27"/>
      <c r="Q1249" s="29"/>
      <c r="R1249" s="29"/>
      <c r="S1249" s="29"/>
      <c r="T1249" s="29"/>
      <c r="U1249" s="27"/>
      <c r="V1249" s="29"/>
      <c r="W1249" s="29"/>
      <c r="X1249" s="29"/>
      <c r="Y1249" s="31"/>
      <c r="Z1249" s="29"/>
      <c r="AA1249" s="30"/>
      <c r="AB1249" s="32"/>
      <c r="AC1249" s="30"/>
      <c r="AD1249" s="33"/>
      <c r="AE1249" s="29"/>
      <c r="AF1249" s="29"/>
      <c r="AG1249" s="29"/>
    </row>
    <row r="1250" spans="1:33" ht="15" customHeight="1" x14ac:dyDescent="0.25">
      <c r="A1250" s="5">
        <v>48</v>
      </c>
      <c r="B1250" s="38">
        <v>44158</v>
      </c>
      <c r="C1250" s="38">
        <v>44144</v>
      </c>
      <c r="D1250" s="38">
        <v>44137</v>
      </c>
      <c r="E1250" s="34">
        <v>44158</v>
      </c>
      <c r="F1250" s="5">
        <v>12109</v>
      </c>
      <c r="G1250" s="5" t="s">
        <v>91</v>
      </c>
      <c r="H1250" s="5" t="s">
        <v>43</v>
      </c>
      <c r="I1250" s="5" t="s">
        <v>92</v>
      </c>
      <c r="J1250" s="21" t="s">
        <v>275</v>
      </c>
      <c r="K1250" s="21" t="s">
        <v>2813</v>
      </c>
      <c r="L1250" s="6" t="s">
        <v>95</v>
      </c>
      <c r="M1250" s="5">
        <v>5</v>
      </c>
      <c r="N1250" s="5" t="s">
        <v>91</v>
      </c>
      <c r="O1250" s="5" t="s">
        <v>91</v>
      </c>
      <c r="P1250" s="5" t="s">
        <v>91</v>
      </c>
      <c r="Q1250" s="6"/>
      <c r="R1250" s="6" t="s">
        <v>2368</v>
      </c>
      <c r="S1250" s="6"/>
      <c r="T1250" s="6"/>
      <c r="U1250" s="5"/>
      <c r="V1250" s="6"/>
      <c r="W1250" s="6" t="s">
        <v>2814</v>
      </c>
      <c r="X1250" s="6"/>
      <c r="Y1250" s="22"/>
      <c r="Z1250" s="6">
        <v>1.6</v>
      </c>
      <c r="AA1250" s="21">
        <v>10204</v>
      </c>
      <c r="AB1250" s="23">
        <v>44114</v>
      </c>
      <c r="AC1250" s="21" t="s">
        <v>32</v>
      </c>
      <c r="AD1250" s="24" t="s">
        <v>115</v>
      </c>
      <c r="AE1250" s="6" t="s">
        <v>38</v>
      </c>
      <c r="AF1250" s="6"/>
      <c r="AG1250" s="6" t="s">
        <v>3041</v>
      </c>
    </row>
    <row r="1251" spans="1:33" ht="15" customHeight="1" x14ac:dyDescent="0.25">
      <c r="A1251" s="5">
        <v>48</v>
      </c>
      <c r="B1251" s="38">
        <v>44158</v>
      </c>
      <c r="C1251" s="38">
        <v>44144</v>
      </c>
      <c r="D1251" s="38">
        <v>44137</v>
      </c>
      <c r="E1251" s="34">
        <v>44158</v>
      </c>
      <c r="F1251" s="5">
        <v>12112</v>
      </c>
      <c r="G1251" s="5" t="s">
        <v>91</v>
      </c>
      <c r="H1251" s="5" t="s">
        <v>43</v>
      </c>
      <c r="I1251" s="5" t="s">
        <v>92</v>
      </c>
      <c r="J1251" s="21" t="s">
        <v>275</v>
      </c>
      <c r="K1251" s="21" t="s">
        <v>2815</v>
      </c>
      <c r="L1251" s="6" t="s">
        <v>989</v>
      </c>
      <c r="M1251" s="5">
        <v>9</v>
      </c>
      <c r="N1251" s="5" t="s">
        <v>91</v>
      </c>
      <c r="O1251" s="5" t="s">
        <v>91</v>
      </c>
      <c r="P1251" s="5" t="s">
        <v>1215</v>
      </c>
      <c r="Q1251" s="6"/>
      <c r="R1251" s="6" t="s">
        <v>2106</v>
      </c>
      <c r="S1251" s="6"/>
      <c r="T1251" s="6"/>
      <c r="U1251" s="5"/>
      <c r="V1251" s="6" t="s">
        <v>2816</v>
      </c>
      <c r="W1251" s="6" t="s">
        <v>2817</v>
      </c>
      <c r="X1251" s="6"/>
      <c r="Y1251" s="22"/>
      <c r="Z1251" s="6">
        <v>3.8</v>
      </c>
      <c r="AA1251" s="21"/>
      <c r="AB1251" s="23">
        <v>44134</v>
      </c>
      <c r="AC1251" s="21" t="s">
        <v>33</v>
      </c>
      <c r="AD1251" s="24" t="s">
        <v>2818</v>
      </c>
      <c r="AE1251" s="6" t="s">
        <v>31</v>
      </c>
      <c r="AF1251" s="6"/>
      <c r="AG1251" s="6" t="s">
        <v>3042</v>
      </c>
    </row>
    <row r="1252" spans="1:33" ht="15" customHeight="1" x14ac:dyDescent="0.25">
      <c r="A1252" s="5">
        <v>48</v>
      </c>
      <c r="B1252" s="38">
        <v>44158</v>
      </c>
      <c r="C1252" s="38">
        <v>44144</v>
      </c>
      <c r="D1252" s="38">
        <v>44137</v>
      </c>
      <c r="E1252" s="34">
        <v>44158</v>
      </c>
      <c r="F1252" s="5">
        <v>12116</v>
      </c>
      <c r="G1252" s="5" t="s">
        <v>91</v>
      </c>
      <c r="H1252" s="5" t="s">
        <v>41</v>
      </c>
      <c r="I1252" s="5" t="s">
        <v>92</v>
      </c>
      <c r="J1252" s="21" t="s">
        <v>275</v>
      </c>
      <c r="K1252" s="21" t="s">
        <v>2819</v>
      </c>
      <c r="L1252" s="6" t="s">
        <v>2820</v>
      </c>
      <c r="M1252" s="5">
        <v>0</v>
      </c>
      <c r="N1252" s="5" t="s">
        <v>91</v>
      </c>
      <c r="O1252" s="5" t="s">
        <v>91</v>
      </c>
      <c r="P1252" s="5" t="s">
        <v>91</v>
      </c>
      <c r="Q1252" s="6" t="s">
        <v>105</v>
      </c>
      <c r="R1252" s="6" t="s">
        <v>2368</v>
      </c>
      <c r="S1252" s="6"/>
      <c r="T1252" s="6"/>
      <c r="U1252" s="5"/>
      <c r="V1252" s="6" t="s">
        <v>1622</v>
      </c>
      <c r="W1252" s="6" t="s">
        <v>2502</v>
      </c>
      <c r="X1252" s="6"/>
      <c r="Y1252" s="22"/>
      <c r="Z1252" s="6"/>
      <c r="AA1252" s="21"/>
      <c r="AB1252" s="23">
        <v>44140</v>
      </c>
      <c r="AC1252" s="21" t="s">
        <v>30</v>
      </c>
      <c r="AD1252" s="24">
        <v>4211.1000000000004</v>
      </c>
      <c r="AE1252" s="6" t="s">
        <v>35</v>
      </c>
      <c r="AF1252" s="6"/>
      <c r="AG1252" s="6" t="s">
        <v>3039</v>
      </c>
    </row>
    <row r="1253" spans="1:33" ht="15" customHeight="1" x14ac:dyDescent="0.25">
      <c r="A1253" s="5">
        <v>48</v>
      </c>
      <c r="B1253" s="38">
        <v>44158</v>
      </c>
      <c r="C1253" s="38">
        <v>44144</v>
      </c>
      <c r="D1253" s="38">
        <v>44137</v>
      </c>
      <c r="E1253" s="34">
        <v>44158</v>
      </c>
      <c r="F1253" s="5">
        <v>12117</v>
      </c>
      <c r="G1253" s="5" t="s">
        <v>91</v>
      </c>
      <c r="H1253" s="5" t="s">
        <v>41</v>
      </c>
      <c r="I1253" s="5" t="s">
        <v>92</v>
      </c>
      <c r="J1253" s="21" t="s">
        <v>275</v>
      </c>
      <c r="K1253" s="21" t="s">
        <v>2821</v>
      </c>
      <c r="L1253" s="6" t="s">
        <v>152</v>
      </c>
      <c r="M1253" s="5">
        <v>1</v>
      </c>
      <c r="N1253" s="5" t="s">
        <v>91</v>
      </c>
      <c r="O1253" s="5" t="s">
        <v>91</v>
      </c>
      <c r="P1253" s="5" t="s">
        <v>91</v>
      </c>
      <c r="Q1253" s="6" t="s">
        <v>105</v>
      </c>
      <c r="R1253" s="6" t="s">
        <v>2368</v>
      </c>
      <c r="S1253" s="6"/>
      <c r="T1253" s="6"/>
      <c r="U1253" s="5"/>
      <c r="V1253" s="6" t="s">
        <v>2750</v>
      </c>
      <c r="W1253" s="6" t="s">
        <v>2822</v>
      </c>
      <c r="X1253" s="6"/>
      <c r="Y1253" s="22"/>
      <c r="Z1253" s="6"/>
      <c r="AA1253" s="21"/>
      <c r="AB1253" s="23">
        <v>44147</v>
      </c>
      <c r="AC1253" s="21" t="s">
        <v>39</v>
      </c>
      <c r="AD1253" s="24" t="s">
        <v>2823</v>
      </c>
      <c r="AE1253" s="6" t="s">
        <v>34</v>
      </c>
      <c r="AF1253" s="6"/>
      <c r="AG1253" s="6" t="s">
        <v>3040</v>
      </c>
    </row>
    <row r="1254" spans="1:33" ht="7.5" customHeight="1" x14ac:dyDescent="0.25">
      <c r="A1254" s="27"/>
      <c r="B1254" s="39"/>
      <c r="C1254" s="39"/>
      <c r="D1254" s="39"/>
      <c r="E1254" s="28"/>
      <c r="F1254" s="27"/>
      <c r="G1254" s="27"/>
      <c r="H1254" s="27"/>
      <c r="I1254" s="27"/>
      <c r="J1254" s="30"/>
      <c r="K1254" s="30"/>
      <c r="L1254" s="29"/>
      <c r="M1254" s="27"/>
      <c r="N1254" s="27"/>
      <c r="O1254" s="27"/>
      <c r="P1254" s="27"/>
      <c r="Q1254" s="29"/>
      <c r="R1254" s="29"/>
      <c r="S1254" s="29"/>
      <c r="T1254" s="29"/>
      <c r="U1254" s="27"/>
      <c r="V1254" s="29"/>
      <c r="W1254" s="29"/>
      <c r="X1254" s="29"/>
      <c r="Y1254" s="31"/>
      <c r="Z1254" s="29"/>
      <c r="AA1254" s="30"/>
      <c r="AB1254" s="32"/>
      <c r="AC1254" s="30"/>
      <c r="AD1254" s="33"/>
      <c r="AE1254" s="29"/>
      <c r="AF1254" s="29"/>
      <c r="AG1254" s="29"/>
    </row>
    <row r="1255" spans="1:33" ht="15" customHeight="1" x14ac:dyDescent="0.25">
      <c r="A1255" s="5">
        <v>47</v>
      </c>
      <c r="B1255" s="38">
        <v>44153</v>
      </c>
      <c r="C1255" s="38">
        <v>44144</v>
      </c>
      <c r="D1255" s="38">
        <v>44132</v>
      </c>
      <c r="E1255" s="37">
        <v>44153</v>
      </c>
      <c r="F1255" s="5">
        <v>4873</v>
      </c>
      <c r="G1255" s="5" t="s">
        <v>91</v>
      </c>
      <c r="H1255" s="5" t="s">
        <v>41</v>
      </c>
      <c r="I1255" s="5" t="s">
        <v>92</v>
      </c>
      <c r="J1255" s="21" t="s">
        <v>109</v>
      </c>
      <c r="K1255" s="21" t="s">
        <v>2721</v>
      </c>
      <c r="L1255" s="6" t="s">
        <v>2722</v>
      </c>
      <c r="M1255" s="5">
        <v>1</v>
      </c>
      <c r="N1255" s="5" t="s">
        <v>91</v>
      </c>
      <c r="O1255" s="5" t="s">
        <v>91</v>
      </c>
      <c r="P1255" s="5" t="s">
        <v>91</v>
      </c>
      <c r="Q1255" s="6" t="s">
        <v>96</v>
      </c>
      <c r="R1255" s="6" t="s">
        <v>123</v>
      </c>
      <c r="S1255" s="6"/>
      <c r="T1255" s="6"/>
      <c r="U1255" s="5"/>
      <c r="V1255" s="6"/>
      <c r="W1255" s="6" t="s">
        <v>2723</v>
      </c>
      <c r="X1255" s="6"/>
      <c r="Y1255" s="22"/>
      <c r="Z1255" s="6"/>
      <c r="AA1255" s="21"/>
      <c r="AB1255" s="23">
        <v>44125</v>
      </c>
      <c r="AC1255" s="21" t="s">
        <v>32</v>
      </c>
      <c r="AD1255" s="24" t="s">
        <v>2724</v>
      </c>
      <c r="AE1255" s="6" t="s">
        <v>37</v>
      </c>
      <c r="AF1255" s="6"/>
      <c r="AG1255" s="6" t="s">
        <v>3040</v>
      </c>
    </row>
    <row r="1256" spans="1:33" ht="15" customHeight="1" x14ac:dyDescent="0.25">
      <c r="A1256" s="5">
        <v>47</v>
      </c>
      <c r="B1256" s="38">
        <v>44153</v>
      </c>
      <c r="C1256" s="38">
        <v>44144</v>
      </c>
      <c r="D1256" s="38">
        <v>44126</v>
      </c>
      <c r="E1256" s="37">
        <v>44153</v>
      </c>
      <c r="F1256" s="5">
        <v>4860</v>
      </c>
      <c r="G1256" s="5" t="s">
        <v>91</v>
      </c>
      <c r="H1256" s="5" t="s">
        <v>43</v>
      </c>
      <c r="I1256" s="5" t="s">
        <v>92</v>
      </c>
      <c r="J1256" s="21" t="s">
        <v>109</v>
      </c>
      <c r="K1256" s="21" t="s">
        <v>2725</v>
      </c>
      <c r="L1256" s="6" t="s">
        <v>2726</v>
      </c>
      <c r="M1256" s="5">
        <v>3</v>
      </c>
      <c r="N1256" s="5" t="s">
        <v>91</v>
      </c>
      <c r="O1256" s="5" t="s">
        <v>91</v>
      </c>
      <c r="P1256" s="5" t="s">
        <v>1215</v>
      </c>
      <c r="Q1256" s="6" t="s">
        <v>2557</v>
      </c>
      <c r="R1256" s="6" t="s">
        <v>112</v>
      </c>
      <c r="S1256" s="6"/>
      <c r="T1256" s="6"/>
      <c r="U1256" s="5"/>
      <c r="V1256" s="6" t="s">
        <v>2727</v>
      </c>
      <c r="W1256" s="6" t="s">
        <v>2728</v>
      </c>
      <c r="X1256" s="6"/>
      <c r="Y1256" s="22"/>
      <c r="Z1256" s="6">
        <v>0.95</v>
      </c>
      <c r="AA1256" s="21"/>
      <c r="AB1256" s="23">
        <v>44144</v>
      </c>
      <c r="AC1256" s="21" t="s">
        <v>33</v>
      </c>
      <c r="AD1256" s="24" t="s">
        <v>296</v>
      </c>
      <c r="AE1256" s="6" t="s">
        <v>38</v>
      </c>
      <c r="AF1256" s="6"/>
      <c r="AG1256" s="6" t="s">
        <v>3041</v>
      </c>
    </row>
    <row r="1257" spans="1:33" ht="15" customHeight="1" x14ac:dyDescent="0.25">
      <c r="A1257" s="5">
        <v>47</v>
      </c>
      <c r="B1257" s="38">
        <v>44153</v>
      </c>
      <c r="C1257" s="38">
        <v>44144</v>
      </c>
      <c r="D1257" s="38">
        <v>44133</v>
      </c>
      <c r="E1257" s="37">
        <v>44153</v>
      </c>
      <c r="F1257" s="5">
        <v>4877</v>
      </c>
      <c r="G1257" s="5" t="s">
        <v>91</v>
      </c>
      <c r="H1257" s="5" t="s">
        <v>41</v>
      </c>
      <c r="I1257" s="5" t="s">
        <v>92</v>
      </c>
      <c r="J1257" s="21" t="s">
        <v>109</v>
      </c>
      <c r="K1257" s="21" t="s">
        <v>2729</v>
      </c>
      <c r="L1257" s="6" t="s">
        <v>1894</v>
      </c>
      <c r="M1257" s="5">
        <v>0</v>
      </c>
      <c r="N1257" s="5" t="s">
        <v>91</v>
      </c>
      <c r="O1257" s="5" t="s">
        <v>91</v>
      </c>
      <c r="P1257" s="5" t="s">
        <v>91</v>
      </c>
      <c r="Q1257" s="6"/>
      <c r="R1257" s="6" t="s">
        <v>112</v>
      </c>
      <c r="S1257" s="6"/>
      <c r="T1257" s="6"/>
      <c r="U1257" s="5"/>
      <c r="V1257" s="6"/>
      <c r="W1257" s="6" t="s">
        <v>2730</v>
      </c>
      <c r="X1257" s="6"/>
      <c r="Y1257" s="22"/>
      <c r="Z1257" s="6"/>
      <c r="AA1257" s="21">
        <v>15577</v>
      </c>
      <c r="AB1257" s="23">
        <v>44123</v>
      </c>
      <c r="AC1257" s="21" t="s">
        <v>33</v>
      </c>
      <c r="AD1257" s="24" t="s">
        <v>2731</v>
      </c>
      <c r="AE1257" s="6" t="s">
        <v>31</v>
      </c>
      <c r="AF1257" s="6"/>
      <c r="AG1257" s="6" t="s">
        <v>3042</v>
      </c>
    </row>
    <row r="1258" spans="1:33" ht="15" customHeight="1" x14ac:dyDescent="0.25">
      <c r="A1258" s="5">
        <v>47</v>
      </c>
      <c r="B1258" s="38">
        <v>44153</v>
      </c>
      <c r="C1258" s="38">
        <v>44144</v>
      </c>
      <c r="D1258" s="38">
        <v>44126</v>
      </c>
      <c r="E1258" s="37">
        <v>44153</v>
      </c>
      <c r="F1258" s="5">
        <v>4861</v>
      </c>
      <c r="G1258" s="5" t="s">
        <v>91</v>
      </c>
      <c r="H1258" s="5" t="s">
        <v>43</v>
      </c>
      <c r="I1258" s="5" t="s">
        <v>92</v>
      </c>
      <c r="J1258" s="21" t="s">
        <v>109</v>
      </c>
      <c r="K1258" s="21" t="s">
        <v>2732</v>
      </c>
      <c r="L1258" s="6" t="s">
        <v>2726</v>
      </c>
      <c r="M1258" s="5">
        <v>3</v>
      </c>
      <c r="N1258" s="5" t="s">
        <v>91</v>
      </c>
      <c r="O1258" s="5" t="s">
        <v>91</v>
      </c>
      <c r="P1258" s="5" t="s">
        <v>1215</v>
      </c>
      <c r="Q1258" s="6" t="s">
        <v>2557</v>
      </c>
      <c r="R1258" s="6" t="s">
        <v>112</v>
      </c>
      <c r="S1258" s="6"/>
      <c r="T1258" s="6"/>
      <c r="U1258" s="5"/>
      <c r="V1258" s="6" t="s">
        <v>2727</v>
      </c>
      <c r="W1258" s="6" t="s">
        <v>2733</v>
      </c>
      <c r="X1258" s="6"/>
      <c r="Y1258" s="22"/>
      <c r="Z1258" s="6">
        <v>0.9</v>
      </c>
      <c r="AA1258" s="21">
        <v>258218</v>
      </c>
      <c r="AB1258" s="23">
        <v>44152</v>
      </c>
      <c r="AC1258" s="21" t="s">
        <v>33</v>
      </c>
      <c r="AD1258" s="24">
        <v>743.59</v>
      </c>
      <c r="AE1258" s="6" t="s">
        <v>36</v>
      </c>
      <c r="AF1258" s="6"/>
      <c r="AG1258" s="6" t="s">
        <v>3040</v>
      </c>
    </row>
    <row r="1259" spans="1:33" ht="15" customHeight="1" x14ac:dyDescent="0.25">
      <c r="A1259" s="5">
        <v>47</v>
      </c>
      <c r="B1259" s="38">
        <v>44153</v>
      </c>
      <c r="C1259" s="38">
        <v>44144</v>
      </c>
      <c r="D1259" s="38">
        <v>44133</v>
      </c>
      <c r="E1259" s="37">
        <v>44153</v>
      </c>
      <c r="F1259" s="5">
        <v>5741</v>
      </c>
      <c r="G1259" s="5" t="s">
        <v>91</v>
      </c>
      <c r="H1259" s="5" t="s">
        <v>41</v>
      </c>
      <c r="I1259" s="5" t="s">
        <v>92</v>
      </c>
      <c r="J1259" s="21" t="s">
        <v>131</v>
      </c>
      <c r="K1259" s="21" t="s">
        <v>2740</v>
      </c>
      <c r="L1259" s="6" t="s">
        <v>2741</v>
      </c>
      <c r="M1259" s="5">
        <v>1</v>
      </c>
      <c r="N1259" s="5" t="s">
        <v>91</v>
      </c>
      <c r="O1259" s="5" t="s">
        <v>91</v>
      </c>
      <c r="P1259" s="5" t="s">
        <v>91</v>
      </c>
      <c r="Q1259" s="6"/>
      <c r="R1259" s="6" t="s">
        <v>2368</v>
      </c>
      <c r="S1259" s="6"/>
      <c r="T1259" s="6"/>
      <c r="U1259" s="5"/>
      <c r="V1259" s="6"/>
      <c r="W1259" s="6" t="s">
        <v>502</v>
      </c>
      <c r="X1259" s="6"/>
      <c r="Y1259" s="22"/>
      <c r="Z1259" s="6"/>
      <c r="AA1259" s="21"/>
      <c r="AB1259" s="23">
        <v>44127</v>
      </c>
      <c r="AC1259" s="21" t="s">
        <v>30</v>
      </c>
      <c r="AD1259" s="24" t="s">
        <v>2742</v>
      </c>
      <c r="AE1259" s="6" t="s">
        <v>37</v>
      </c>
      <c r="AF1259" s="6"/>
      <c r="AG1259" s="6" t="s">
        <v>3039</v>
      </c>
    </row>
    <row r="1260" spans="1:33" ht="7.5" customHeight="1" x14ac:dyDescent="0.25">
      <c r="A1260" s="27"/>
      <c r="B1260" s="39"/>
      <c r="C1260" s="39"/>
      <c r="D1260" s="39"/>
      <c r="E1260" s="28"/>
      <c r="F1260" s="27"/>
      <c r="G1260" s="27"/>
      <c r="H1260" s="27"/>
      <c r="I1260" s="27"/>
      <c r="J1260" s="30"/>
      <c r="K1260" s="30"/>
      <c r="L1260" s="29"/>
      <c r="M1260" s="27"/>
      <c r="N1260" s="27"/>
      <c r="O1260" s="27"/>
      <c r="P1260" s="27"/>
      <c r="Q1260" s="29"/>
      <c r="R1260" s="29"/>
      <c r="S1260" s="29"/>
      <c r="T1260" s="29"/>
      <c r="U1260" s="27"/>
      <c r="V1260" s="29"/>
      <c r="W1260" s="29"/>
      <c r="X1260" s="29"/>
      <c r="Y1260" s="31"/>
      <c r="Z1260" s="29"/>
      <c r="AA1260" s="30"/>
      <c r="AB1260" s="32"/>
      <c r="AC1260" s="30"/>
      <c r="AD1260" s="33"/>
      <c r="AE1260" s="29"/>
      <c r="AF1260" s="29"/>
      <c r="AG1260" s="29"/>
    </row>
    <row r="1261" spans="1:33" ht="15" customHeight="1" x14ac:dyDescent="0.25">
      <c r="A1261" s="5">
        <v>48</v>
      </c>
      <c r="B1261" s="38">
        <v>44158</v>
      </c>
      <c r="C1261" s="38">
        <v>44144</v>
      </c>
      <c r="D1261" s="38">
        <v>44137</v>
      </c>
      <c r="E1261" s="34">
        <v>44158</v>
      </c>
      <c r="F1261" s="5">
        <v>6734</v>
      </c>
      <c r="G1261" s="5" t="s">
        <v>91</v>
      </c>
      <c r="H1261" s="5" t="s">
        <v>43</v>
      </c>
      <c r="I1261" s="5" t="s">
        <v>92</v>
      </c>
      <c r="J1261" s="21" t="s">
        <v>191</v>
      </c>
      <c r="K1261" s="21" t="s">
        <v>2833</v>
      </c>
      <c r="L1261" s="6" t="s">
        <v>2834</v>
      </c>
      <c r="M1261" s="5">
        <v>13</v>
      </c>
      <c r="N1261" s="5" t="s">
        <v>91</v>
      </c>
      <c r="O1261" s="5" t="s">
        <v>91</v>
      </c>
      <c r="P1261" s="5" t="s">
        <v>1215</v>
      </c>
      <c r="Q1261" s="6" t="s">
        <v>2557</v>
      </c>
      <c r="R1261" s="6" t="s">
        <v>194</v>
      </c>
      <c r="S1261" s="6"/>
      <c r="T1261" s="6"/>
      <c r="U1261" s="5"/>
      <c r="V1261" s="6"/>
      <c r="W1261" s="6" t="s">
        <v>347</v>
      </c>
      <c r="X1261" s="6"/>
      <c r="Y1261" s="22"/>
      <c r="Z1261" s="6">
        <v>4</v>
      </c>
      <c r="AA1261" s="21"/>
      <c r="AB1261" s="23">
        <v>44119</v>
      </c>
      <c r="AC1261" s="21" t="s">
        <v>32</v>
      </c>
      <c r="AD1261" s="24" t="s">
        <v>2835</v>
      </c>
      <c r="AE1261" s="6" t="s">
        <v>31</v>
      </c>
      <c r="AF1261" s="6"/>
      <c r="AG1261" s="6" t="s">
        <v>3040</v>
      </c>
    </row>
    <row r="1262" spans="1:33" ht="15" customHeight="1" x14ac:dyDescent="0.25">
      <c r="A1262" s="5">
        <v>48</v>
      </c>
      <c r="B1262" s="38">
        <v>44158</v>
      </c>
      <c r="C1262" s="38">
        <v>44144</v>
      </c>
      <c r="D1262" s="38">
        <v>44137</v>
      </c>
      <c r="E1262" s="34">
        <v>44158</v>
      </c>
      <c r="F1262" s="5">
        <v>6738</v>
      </c>
      <c r="G1262" s="5" t="s">
        <v>91</v>
      </c>
      <c r="H1262" s="5" t="s">
        <v>43</v>
      </c>
      <c r="I1262" s="5" t="s">
        <v>92</v>
      </c>
      <c r="J1262" s="21" t="s">
        <v>191</v>
      </c>
      <c r="K1262" s="21" t="s">
        <v>2836</v>
      </c>
      <c r="L1262" s="6" t="s">
        <v>2837</v>
      </c>
      <c r="M1262" s="5">
        <v>16</v>
      </c>
      <c r="N1262" s="5" t="s">
        <v>91</v>
      </c>
      <c r="O1262" s="5" t="s">
        <v>91</v>
      </c>
      <c r="P1262" s="5" t="s">
        <v>1215</v>
      </c>
      <c r="Q1262" s="6" t="s">
        <v>2557</v>
      </c>
      <c r="R1262" s="6" t="s">
        <v>194</v>
      </c>
      <c r="S1262" s="6"/>
      <c r="T1262" s="6"/>
      <c r="U1262" s="5"/>
      <c r="V1262" s="6"/>
      <c r="W1262" s="6" t="s">
        <v>347</v>
      </c>
      <c r="X1262" s="6"/>
      <c r="Y1262" s="22"/>
      <c r="Z1262" s="6"/>
      <c r="AA1262" s="21"/>
      <c r="AB1262" s="23">
        <v>44097</v>
      </c>
      <c r="AC1262" s="21" t="s">
        <v>32</v>
      </c>
      <c r="AD1262" s="24" t="s">
        <v>2838</v>
      </c>
      <c r="AE1262" s="6" t="s">
        <v>37</v>
      </c>
      <c r="AF1262" s="6"/>
      <c r="AG1262" s="6" t="s">
        <v>3041</v>
      </c>
    </row>
    <row r="1263" spans="1:33" ht="7.5" customHeight="1" x14ac:dyDescent="0.25">
      <c r="A1263" s="27"/>
      <c r="B1263" s="39"/>
      <c r="C1263" s="39"/>
      <c r="D1263" s="39"/>
      <c r="E1263" s="28"/>
      <c r="F1263" s="27"/>
      <c r="G1263" s="27"/>
      <c r="H1263" s="27"/>
      <c r="I1263" s="27"/>
      <c r="J1263" s="30"/>
      <c r="K1263" s="30"/>
      <c r="L1263" s="29"/>
      <c r="M1263" s="27"/>
      <c r="N1263" s="27"/>
      <c r="O1263" s="27"/>
      <c r="P1263" s="27"/>
      <c r="Q1263" s="29"/>
      <c r="R1263" s="29"/>
      <c r="S1263" s="29"/>
      <c r="T1263" s="29"/>
      <c r="U1263" s="27"/>
      <c r="V1263" s="29"/>
      <c r="W1263" s="29"/>
      <c r="X1263" s="29"/>
      <c r="Y1263" s="31"/>
      <c r="Z1263" s="29"/>
      <c r="AA1263" s="30"/>
      <c r="AB1263" s="32"/>
      <c r="AC1263" s="30"/>
      <c r="AD1263" s="33"/>
      <c r="AE1263" s="29"/>
      <c r="AF1263" s="29"/>
      <c r="AG1263" s="29"/>
    </row>
    <row r="1264" spans="1:33" ht="15" customHeight="1" x14ac:dyDescent="0.25">
      <c r="A1264" s="5">
        <v>47</v>
      </c>
      <c r="B1264" s="38">
        <v>44153</v>
      </c>
      <c r="C1264" s="38">
        <v>44144</v>
      </c>
      <c r="D1264" s="38">
        <v>44123</v>
      </c>
      <c r="E1264" s="37">
        <v>44153</v>
      </c>
      <c r="F1264" s="5">
        <v>7803</v>
      </c>
      <c r="G1264" s="5" t="s">
        <v>91</v>
      </c>
      <c r="H1264" s="5" t="s">
        <v>41</v>
      </c>
      <c r="I1264" s="5" t="s">
        <v>92</v>
      </c>
      <c r="J1264" s="21" t="s">
        <v>214</v>
      </c>
      <c r="K1264" s="21" t="s">
        <v>2760</v>
      </c>
      <c r="L1264" s="6" t="s">
        <v>2610</v>
      </c>
      <c r="M1264" s="5">
        <v>11</v>
      </c>
      <c r="N1264" s="5" t="s">
        <v>91</v>
      </c>
      <c r="O1264" s="5" t="s">
        <v>91</v>
      </c>
      <c r="P1264" s="5" t="s">
        <v>91</v>
      </c>
      <c r="Q1264" s="6" t="s">
        <v>2557</v>
      </c>
      <c r="R1264" s="6" t="s">
        <v>223</v>
      </c>
      <c r="S1264" s="6"/>
      <c r="T1264" s="6"/>
      <c r="U1264" s="5"/>
      <c r="V1264" s="6"/>
      <c r="W1264" s="6" t="s">
        <v>624</v>
      </c>
      <c r="X1264" s="6"/>
      <c r="Y1264" s="22"/>
      <c r="Z1264" s="6">
        <v>3.75</v>
      </c>
      <c r="AA1264" s="21"/>
      <c r="AB1264" s="23">
        <v>44106</v>
      </c>
      <c r="AC1264" s="21" t="s">
        <v>30</v>
      </c>
      <c r="AD1264" s="24">
        <v>5806.7</v>
      </c>
      <c r="AE1264" s="6" t="s">
        <v>31</v>
      </c>
      <c r="AF1264" s="6"/>
      <c r="AG1264" s="6" t="s">
        <v>3042</v>
      </c>
    </row>
    <row r="1265" spans="1:33" ht="7.5" customHeight="1" x14ac:dyDescent="0.25">
      <c r="A1265" s="27"/>
      <c r="B1265" s="39"/>
      <c r="C1265" s="39"/>
      <c r="D1265" s="39"/>
      <c r="E1265" s="28"/>
      <c r="F1265" s="27"/>
      <c r="G1265" s="27"/>
      <c r="H1265" s="27"/>
      <c r="I1265" s="27"/>
      <c r="J1265" s="30"/>
      <c r="K1265" s="30"/>
      <c r="L1265" s="29"/>
      <c r="M1265" s="27"/>
      <c r="N1265" s="27"/>
      <c r="O1265" s="27"/>
      <c r="P1265" s="27"/>
      <c r="Q1265" s="29"/>
      <c r="R1265" s="29"/>
      <c r="S1265" s="29"/>
      <c r="T1265" s="29"/>
      <c r="U1265" s="27"/>
      <c r="V1265" s="29"/>
      <c r="W1265" s="29"/>
      <c r="X1265" s="29"/>
      <c r="Y1265" s="31"/>
      <c r="Z1265" s="29"/>
      <c r="AA1265" s="30"/>
      <c r="AB1265" s="32"/>
      <c r="AC1265" s="30"/>
      <c r="AD1265" s="33"/>
      <c r="AE1265" s="29"/>
      <c r="AF1265" s="29"/>
      <c r="AG1265" s="29"/>
    </row>
    <row r="1266" spans="1:33" ht="15" customHeight="1" x14ac:dyDescent="0.25">
      <c r="A1266" s="5">
        <v>48</v>
      </c>
      <c r="B1266" s="38">
        <v>44160</v>
      </c>
      <c r="C1266" s="38">
        <v>44144</v>
      </c>
      <c r="D1266" s="38">
        <v>44125</v>
      </c>
      <c r="E1266" s="34">
        <v>44160</v>
      </c>
      <c r="F1266" s="5">
        <v>8799</v>
      </c>
      <c r="G1266" s="5" t="s">
        <v>91</v>
      </c>
      <c r="H1266" s="5" t="s">
        <v>43</v>
      </c>
      <c r="I1266" s="5" t="s">
        <v>92</v>
      </c>
      <c r="J1266" s="21" t="s">
        <v>147</v>
      </c>
      <c r="K1266" s="21" t="s">
        <v>2930</v>
      </c>
      <c r="L1266" s="6" t="s">
        <v>2931</v>
      </c>
      <c r="M1266" s="5">
        <v>8</v>
      </c>
      <c r="N1266" s="5" t="s">
        <v>91</v>
      </c>
      <c r="O1266" s="5" t="s">
        <v>91</v>
      </c>
      <c r="P1266" s="5" t="s">
        <v>1215</v>
      </c>
      <c r="Q1266" s="6" t="s">
        <v>86</v>
      </c>
      <c r="R1266" s="6" t="s">
        <v>112</v>
      </c>
      <c r="S1266" s="6" t="s">
        <v>155</v>
      </c>
      <c r="T1266" s="6"/>
      <c r="U1266" s="5"/>
      <c r="V1266" s="6" t="s">
        <v>2932</v>
      </c>
      <c r="W1266" s="6" t="s">
        <v>1554</v>
      </c>
      <c r="X1266" s="6" t="s">
        <v>2933</v>
      </c>
      <c r="Y1266" s="22"/>
      <c r="Z1266" s="6"/>
      <c r="AA1266" s="21" t="s">
        <v>2934</v>
      </c>
      <c r="AB1266" s="23">
        <v>44151</v>
      </c>
      <c r="AC1266" s="21" t="s">
        <v>30</v>
      </c>
      <c r="AD1266" s="24" t="s">
        <v>296</v>
      </c>
      <c r="AE1266" s="6" t="s">
        <v>36</v>
      </c>
      <c r="AF1266" s="6"/>
      <c r="AG1266" s="6" t="s">
        <v>3042</v>
      </c>
    </row>
    <row r="1267" spans="1:33" ht="7.5" customHeight="1" x14ac:dyDescent="0.25">
      <c r="A1267" s="27"/>
      <c r="B1267" s="39"/>
      <c r="C1267" s="39"/>
      <c r="D1267" s="39"/>
      <c r="E1267" s="28"/>
      <c r="F1267" s="27"/>
      <c r="G1267" s="27"/>
      <c r="H1267" s="27"/>
      <c r="I1267" s="27"/>
      <c r="J1267" s="30"/>
      <c r="K1267" s="30"/>
      <c r="L1267" s="29"/>
      <c r="M1267" s="27"/>
      <c r="N1267" s="27"/>
      <c r="O1267" s="27"/>
      <c r="P1267" s="27"/>
      <c r="Q1267" s="29"/>
      <c r="R1267" s="29"/>
      <c r="S1267" s="29"/>
      <c r="T1267" s="29"/>
      <c r="U1267" s="27"/>
      <c r="V1267" s="29"/>
      <c r="W1267" s="29"/>
      <c r="X1267" s="29"/>
      <c r="Y1267" s="31"/>
      <c r="Z1267" s="29"/>
      <c r="AA1267" s="30"/>
      <c r="AB1267" s="32"/>
      <c r="AC1267" s="30"/>
      <c r="AD1267" s="33"/>
      <c r="AE1267" s="29"/>
      <c r="AF1267" s="29"/>
      <c r="AG1267" s="29"/>
    </row>
    <row r="1268" spans="1:33" ht="15" customHeight="1" x14ac:dyDescent="0.25">
      <c r="A1268" s="5">
        <v>49</v>
      </c>
      <c r="B1268" s="38">
        <v>44165</v>
      </c>
      <c r="C1268" s="38">
        <v>44144</v>
      </c>
      <c r="D1268" s="38">
        <v>44137</v>
      </c>
      <c r="E1268" s="35">
        <v>44165</v>
      </c>
      <c r="F1268" s="5">
        <v>8808</v>
      </c>
      <c r="G1268" s="5" t="s">
        <v>91</v>
      </c>
      <c r="H1268" s="5" t="s">
        <v>40</v>
      </c>
      <c r="I1268" s="5" t="s">
        <v>92</v>
      </c>
      <c r="J1268" s="21" t="s">
        <v>147</v>
      </c>
      <c r="K1268" s="21" t="s">
        <v>2983</v>
      </c>
      <c r="L1268" s="6" t="s">
        <v>152</v>
      </c>
      <c r="M1268" s="5">
        <v>6</v>
      </c>
      <c r="N1268" s="5" t="s">
        <v>91</v>
      </c>
      <c r="O1268" s="5"/>
      <c r="P1268" s="5"/>
      <c r="Q1268" s="6"/>
      <c r="R1268" s="6" t="s">
        <v>1506</v>
      </c>
      <c r="S1268" s="6" t="s">
        <v>155</v>
      </c>
      <c r="T1268" s="6"/>
      <c r="U1268" s="5"/>
      <c r="V1268" s="6"/>
      <c r="W1268" s="6" t="s">
        <v>2984</v>
      </c>
      <c r="X1268" s="6" t="s">
        <v>2981</v>
      </c>
      <c r="Y1268" s="22"/>
      <c r="Z1268" s="6"/>
      <c r="AA1268" s="21"/>
      <c r="AB1268" s="23">
        <v>44131</v>
      </c>
      <c r="AC1268" s="21" t="s">
        <v>32</v>
      </c>
      <c r="AD1268" s="24">
        <v>14892.88</v>
      </c>
      <c r="AE1268" s="6" t="s">
        <v>37</v>
      </c>
      <c r="AF1268" s="6"/>
      <c r="AG1268" s="6" t="s">
        <v>3040</v>
      </c>
    </row>
    <row r="1269" spans="1:33" ht="15" customHeight="1" x14ac:dyDescent="0.25">
      <c r="A1269" s="5">
        <v>49</v>
      </c>
      <c r="B1269" s="38">
        <v>44165</v>
      </c>
      <c r="C1269" s="38">
        <v>44144</v>
      </c>
      <c r="D1269" s="38">
        <v>44137</v>
      </c>
      <c r="E1269" s="35">
        <v>44165</v>
      </c>
      <c r="F1269" s="5">
        <v>9721</v>
      </c>
      <c r="G1269" s="5" t="s">
        <v>91</v>
      </c>
      <c r="H1269" s="5" t="s">
        <v>40</v>
      </c>
      <c r="I1269" s="5" t="s">
        <v>1066</v>
      </c>
      <c r="J1269" s="21" t="s">
        <v>159</v>
      </c>
      <c r="K1269" s="21" t="s">
        <v>2986</v>
      </c>
      <c r="L1269" s="6" t="s">
        <v>152</v>
      </c>
      <c r="M1269" s="5">
        <v>20</v>
      </c>
      <c r="N1269" s="5"/>
      <c r="O1269" s="5"/>
      <c r="P1269" s="5"/>
      <c r="Q1269" s="6"/>
      <c r="R1269" s="6" t="s">
        <v>106</v>
      </c>
      <c r="S1269" s="6"/>
      <c r="T1269" s="6"/>
      <c r="U1269" s="5"/>
      <c r="V1269" s="6" t="s">
        <v>161</v>
      </c>
      <c r="W1269" s="6" t="s">
        <v>106</v>
      </c>
      <c r="X1269" s="6"/>
      <c r="Y1269" s="22"/>
      <c r="Z1269" s="6"/>
      <c r="AA1269" s="21">
        <v>258463</v>
      </c>
      <c r="AB1269" s="23">
        <v>44131</v>
      </c>
      <c r="AC1269" s="21" t="s">
        <v>30</v>
      </c>
      <c r="AD1269" s="24">
        <v>18625.86</v>
      </c>
      <c r="AE1269" s="6" t="s">
        <v>31</v>
      </c>
      <c r="AF1269" s="6"/>
      <c r="AG1269" s="6" t="s">
        <v>3041</v>
      </c>
    </row>
    <row r="1270" spans="1:33" ht="7.5" customHeight="1" x14ac:dyDescent="0.25">
      <c r="A1270" s="27"/>
      <c r="B1270" s="39"/>
      <c r="C1270" s="39"/>
      <c r="D1270" s="39"/>
      <c r="E1270" s="28"/>
      <c r="F1270" s="27"/>
      <c r="G1270" s="27"/>
      <c r="H1270" s="27"/>
      <c r="I1270" s="27"/>
      <c r="J1270" s="30"/>
      <c r="K1270" s="30"/>
      <c r="L1270" s="29"/>
      <c r="M1270" s="27"/>
      <c r="N1270" s="27"/>
      <c r="O1270" s="27"/>
      <c r="P1270" s="27"/>
      <c r="Q1270" s="29"/>
      <c r="R1270" s="29"/>
      <c r="S1270" s="29"/>
      <c r="T1270" s="29"/>
      <c r="U1270" s="27"/>
      <c r="V1270" s="29"/>
      <c r="W1270" s="29"/>
      <c r="X1270" s="29"/>
      <c r="Y1270" s="31"/>
      <c r="Z1270" s="29"/>
      <c r="AA1270" s="30"/>
      <c r="AB1270" s="32"/>
      <c r="AC1270" s="30"/>
      <c r="AD1270" s="33"/>
      <c r="AE1270" s="29"/>
      <c r="AF1270" s="29"/>
      <c r="AG1270" s="29"/>
    </row>
    <row r="1271" spans="1:33" ht="15" customHeight="1" x14ac:dyDescent="0.25">
      <c r="A1271" s="5">
        <v>47</v>
      </c>
      <c r="B1271" s="38">
        <v>44154</v>
      </c>
      <c r="C1271" s="38">
        <v>44145</v>
      </c>
      <c r="D1271" s="38">
        <v>44124</v>
      </c>
      <c r="E1271" s="37">
        <v>44154</v>
      </c>
      <c r="F1271" s="5">
        <v>3121</v>
      </c>
      <c r="G1271" s="5" t="s">
        <v>91</v>
      </c>
      <c r="H1271" s="5" t="s">
        <v>41</v>
      </c>
      <c r="I1271" s="5" t="s">
        <v>92</v>
      </c>
      <c r="J1271" s="21" t="s">
        <v>93</v>
      </c>
      <c r="K1271" s="21" t="s">
        <v>2555</v>
      </c>
      <c r="L1271" s="6" t="s">
        <v>2789</v>
      </c>
      <c r="M1271" s="5">
        <v>1</v>
      </c>
      <c r="N1271" s="5" t="s">
        <v>91</v>
      </c>
      <c r="O1271" s="5" t="s">
        <v>91</v>
      </c>
      <c r="P1271" s="5" t="s">
        <v>91</v>
      </c>
      <c r="Q1271" s="6"/>
      <c r="R1271" s="6" t="s">
        <v>106</v>
      </c>
      <c r="S1271" s="6"/>
      <c r="T1271" s="6"/>
      <c r="U1271" s="5"/>
      <c r="V1271" s="6"/>
      <c r="W1271" s="6" t="s">
        <v>106</v>
      </c>
      <c r="X1271" s="6" t="s">
        <v>2561</v>
      </c>
      <c r="Y1271" s="22"/>
      <c r="Z1271" s="6"/>
      <c r="AA1271" s="21">
        <v>1012700</v>
      </c>
      <c r="AB1271" s="23">
        <v>44147</v>
      </c>
      <c r="AC1271" s="21" t="s">
        <v>32</v>
      </c>
      <c r="AD1271" s="24" t="s">
        <v>2790</v>
      </c>
      <c r="AE1271" s="6" t="s">
        <v>35</v>
      </c>
      <c r="AF1271" s="6"/>
      <c r="AG1271" s="6" t="s">
        <v>3042</v>
      </c>
    </row>
    <row r="1272" spans="1:33" ht="7.5" customHeight="1" x14ac:dyDescent="0.25">
      <c r="A1272" s="27"/>
      <c r="B1272" s="39"/>
      <c r="C1272" s="39"/>
      <c r="D1272" s="39"/>
      <c r="E1272" s="28"/>
      <c r="F1272" s="27"/>
      <c r="G1272" s="27"/>
      <c r="H1272" s="27"/>
      <c r="I1272" s="27"/>
      <c r="J1272" s="30"/>
      <c r="K1272" s="30"/>
      <c r="L1272" s="29"/>
      <c r="M1272" s="27"/>
      <c r="N1272" s="27"/>
      <c r="O1272" s="27"/>
      <c r="P1272" s="27"/>
      <c r="Q1272" s="29"/>
      <c r="R1272" s="29"/>
      <c r="S1272" s="29"/>
      <c r="T1272" s="29"/>
      <c r="U1272" s="27"/>
      <c r="V1272" s="29"/>
      <c r="W1272" s="29"/>
      <c r="X1272" s="29"/>
      <c r="Y1272" s="31"/>
      <c r="Z1272" s="29"/>
      <c r="AA1272" s="30"/>
      <c r="AB1272" s="32"/>
      <c r="AC1272" s="30"/>
      <c r="AD1272" s="33"/>
      <c r="AE1272" s="29"/>
      <c r="AF1272" s="29"/>
      <c r="AG1272" s="29"/>
    </row>
    <row r="1273" spans="1:33" ht="15" customHeight="1" x14ac:dyDescent="0.25">
      <c r="A1273" s="5">
        <v>47</v>
      </c>
      <c r="B1273" s="38">
        <v>44155</v>
      </c>
      <c r="C1273" s="38">
        <v>44146</v>
      </c>
      <c r="D1273" s="38">
        <v>44137</v>
      </c>
      <c r="E1273" s="37">
        <v>44155</v>
      </c>
      <c r="F1273" s="5">
        <v>3140</v>
      </c>
      <c r="G1273" s="5" t="s">
        <v>91</v>
      </c>
      <c r="H1273" s="5" t="s">
        <v>41</v>
      </c>
      <c r="I1273" s="5" t="s">
        <v>92</v>
      </c>
      <c r="J1273" s="21" t="s">
        <v>93</v>
      </c>
      <c r="K1273" s="21" t="s">
        <v>2801</v>
      </c>
      <c r="L1273" s="6" t="s">
        <v>2802</v>
      </c>
      <c r="M1273" s="5">
        <v>15</v>
      </c>
      <c r="N1273" s="5" t="s">
        <v>91</v>
      </c>
      <c r="O1273" s="5" t="s">
        <v>91</v>
      </c>
      <c r="P1273" s="5" t="s">
        <v>1215</v>
      </c>
      <c r="Q1273" s="6" t="s">
        <v>2582</v>
      </c>
      <c r="R1273" s="6" t="s">
        <v>2138</v>
      </c>
      <c r="S1273" s="6"/>
      <c r="T1273" s="6"/>
      <c r="U1273" s="5"/>
      <c r="V1273" s="6"/>
      <c r="W1273" s="6" t="s">
        <v>2803</v>
      </c>
      <c r="X1273" s="6" t="s">
        <v>2804</v>
      </c>
      <c r="Y1273" s="22"/>
      <c r="Z1273" s="6"/>
      <c r="AA1273" s="21"/>
      <c r="AB1273" s="23"/>
      <c r="AC1273" s="21" t="s">
        <v>30</v>
      </c>
      <c r="AD1273" s="24"/>
      <c r="AE1273" s="6" t="s">
        <v>31</v>
      </c>
      <c r="AF1273" s="6"/>
      <c r="AG1273" s="6" t="s">
        <v>3039</v>
      </c>
    </row>
    <row r="1274" spans="1:33" ht="7.5" customHeight="1" x14ac:dyDescent="0.25">
      <c r="A1274" s="27"/>
      <c r="B1274" s="39"/>
      <c r="C1274" s="39"/>
      <c r="D1274" s="39"/>
      <c r="E1274" s="28"/>
      <c r="F1274" s="27"/>
      <c r="G1274" s="27"/>
      <c r="H1274" s="27"/>
      <c r="I1274" s="27"/>
      <c r="J1274" s="30"/>
      <c r="K1274" s="30"/>
      <c r="L1274" s="29"/>
      <c r="M1274" s="27"/>
      <c r="N1274" s="27"/>
      <c r="O1274" s="27"/>
      <c r="P1274" s="27"/>
      <c r="Q1274" s="29"/>
      <c r="R1274" s="29"/>
      <c r="S1274" s="29"/>
      <c r="T1274" s="29"/>
      <c r="U1274" s="27"/>
      <c r="V1274" s="29"/>
      <c r="W1274" s="29"/>
      <c r="X1274" s="29"/>
      <c r="Y1274" s="31"/>
      <c r="Z1274" s="29"/>
      <c r="AA1274" s="30"/>
      <c r="AB1274" s="32"/>
      <c r="AC1274" s="30"/>
      <c r="AD1274" s="33"/>
      <c r="AE1274" s="29"/>
      <c r="AF1274" s="29"/>
      <c r="AG1274" s="29"/>
    </row>
    <row r="1275" spans="1:33" ht="15" customHeight="1" x14ac:dyDescent="0.25">
      <c r="A1275" s="5">
        <v>48</v>
      </c>
      <c r="B1275" s="38">
        <v>44160</v>
      </c>
      <c r="C1275" s="38">
        <v>44146</v>
      </c>
      <c r="D1275" s="38">
        <v>44139</v>
      </c>
      <c r="E1275" s="34">
        <v>44160</v>
      </c>
      <c r="F1275" s="5">
        <v>3136</v>
      </c>
      <c r="G1275" s="5" t="s">
        <v>91</v>
      </c>
      <c r="H1275" s="5" t="s">
        <v>43</v>
      </c>
      <c r="I1275" s="5" t="s">
        <v>92</v>
      </c>
      <c r="J1275" s="21" t="s">
        <v>93</v>
      </c>
      <c r="K1275" s="21" t="s">
        <v>2880</v>
      </c>
      <c r="L1275" s="6" t="s">
        <v>2881</v>
      </c>
      <c r="M1275" s="5">
        <v>13</v>
      </c>
      <c r="N1275" s="5" t="s">
        <v>91</v>
      </c>
      <c r="O1275" s="5" t="s">
        <v>91</v>
      </c>
      <c r="P1275" s="5" t="s">
        <v>91</v>
      </c>
      <c r="Q1275" s="6"/>
      <c r="R1275" s="6" t="s">
        <v>1506</v>
      </c>
      <c r="S1275" s="6" t="s">
        <v>2139</v>
      </c>
      <c r="T1275" s="6"/>
      <c r="U1275" s="5"/>
      <c r="V1275" s="6" t="s">
        <v>2882</v>
      </c>
      <c r="W1275" s="6" t="s">
        <v>2883</v>
      </c>
      <c r="X1275" s="6" t="s">
        <v>2884</v>
      </c>
      <c r="Y1275" s="22"/>
      <c r="Z1275" s="6"/>
      <c r="AA1275" s="21"/>
      <c r="AB1275" s="23">
        <v>44124</v>
      </c>
      <c r="AC1275" s="21" t="s">
        <v>32</v>
      </c>
      <c r="AD1275" s="24" t="s">
        <v>2885</v>
      </c>
      <c r="AE1275" s="6" t="s">
        <v>37</v>
      </c>
      <c r="AF1275" s="6"/>
      <c r="AG1275" s="6" t="s">
        <v>3040</v>
      </c>
    </row>
    <row r="1276" spans="1:33" ht="15" customHeight="1" x14ac:dyDescent="0.25">
      <c r="A1276" s="5">
        <v>48</v>
      </c>
      <c r="B1276" s="38">
        <v>44160</v>
      </c>
      <c r="C1276" s="38">
        <v>44146</v>
      </c>
      <c r="D1276" s="38">
        <v>44139</v>
      </c>
      <c r="E1276" s="34">
        <v>44160</v>
      </c>
      <c r="F1276" s="5">
        <v>4865</v>
      </c>
      <c r="G1276" s="5" t="s">
        <v>91</v>
      </c>
      <c r="H1276" s="5" t="s">
        <v>43</v>
      </c>
      <c r="I1276" s="5" t="s">
        <v>92</v>
      </c>
      <c r="J1276" s="21" t="s">
        <v>109</v>
      </c>
      <c r="K1276" s="21" t="s">
        <v>2894</v>
      </c>
      <c r="L1276" s="6" t="s">
        <v>95</v>
      </c>
      <c r="M1276" s="5">
        <v>4</v>
      </c>
      <c r="N1276" s="5" t="s">
        <v>91</v>
      </c>
      <c r="O1276" s="5" t="s">
        <v>91</v>
      </c>
      <c r="P1276" s="5" t="s">
        <v>91</v>
      </c>
      <c r="Q1276" s="6" t="s">
        <v>2582</v>
      </c>
      <c r="R1276" s="6" t="s">
        <v>112</v>
      </c>
      <c r="S1276" s="6"/>
      <c r="T1276" s="6"/>
      <c r="U1276" s="5"/>
      <c r="V1276" s="6"/>
      <c r="W1276" s="6" t="s">
        <v>2895</v>
      </c>
      <c r="X1276" s="6"/>
      <c r="Y1276" s="22"/>
      <c r="Z1276" s="6">
        <v>1.6</v>
      </c>
      <c r="AA1276" s="21"/>
      <c r="AB1276" s="23">
        <v>44127</v>
      </c>
      <c r="AC1276" s="21" t="s">
        <v>33</v>
      </c>
      <c r="AD1276" s="24">
        <v>7115.64</v>
      </c>
      <c r="AE1276" s="6" t="s">
        <v>31</v>
      </c>
      <c r="AF1276" s="6"/>
      <c r="AG1276" s="6" t="s">
        <v>3039</v>
      </c>
    </row>
    <row r="1277" spans="1:33" ht="15" customHeight="1" x14ac:dyDescent="0.25">
      <c r="A1277" s="5">
        <v>48</v>
      </c>
      <c r="B1277" s="38">
        <v>44160</v>
      </c>
      <c r="C1277" s="38">
        <v>44146</v>
      </c>
      <c r="D1277" s="38">
        <v>44139</v>
      </c>
      <c r="E1277" s="34">
        <v>44160</v>
      </c>
      <c r="F1277" s="5">
        <v>5748</v>
      </c>
      <c r="G1277" s="5" t="s">
        <v>91</v>
      </c>
      <c r="H1277" s="5" t="s">
        <v>41</v>
      </c>
      <c r="I1277" s="5" t="s">
        <v>92</v>
      </c>
      <c r="J1277" s="21" t="s">
        <v>131</v>
      </c>
      <c r="K1277" s="21" t="s">
        <v>2906</v>
      </c>
      <c r="L1277" s="6" t="s">
        <v>2907</v>
      </c>
      <c r="M1277" s="5">
        <v>0</v>
      </c>
      <c r="N1277" s="5" t="s">
        <v>91</v>
      </c>
      <c r="O1277" s="5" t="s">
        <v>91</v>
      </c>
      <c r="P1277" s="5" t="s">
        <v>91</v>
      </c>
      <c r="Q1277" s="6" t="s">
        <v>105</v>
      </c>
      <c r="R1277" s="6" t="s">
        <v>2368</v>
      </c>
      <c r="S1277" s="6"/>
      <c r="T1277" s="6"/>
      <c r="U1277" s="5"/>
      <c r="V1277" s="6"/>
      <c r="W1277" s="6" t="s">
        <v>502</v>
      </c>
      <c r="X1277" s="6"/>
      <c r="Y1277" s="22"/>
      <c r="Z1277" s="6"/>
      <c r="AA1277" s="21"/>
      <c r="AB1277" s="23">
        <v>44139</v>
      </c>
      <c r="AC1277" s="21" t="s">
        <v>30</v>
      </c>
      <c r="AD1277" s="24">
        <v>6636.5</v>
      </c>
      <c r="AE1277" s="6" t="s">
        <v>31</v>
      </c>
      <c r="AF1277" s="6"/>
      <c r="AG1277" s="6" t="s">
        <v>3039</v>
      </c>
    </row>
    <row r="1278" spans="1:33" ht="15" customHeight="1" x14ac:dyDescent="0.25">
      <c r="A1278" s="5">
        <v>48</v>
      </c>
      <c r="B1278" s="38">
        <v>44160</v>
      </c>
      <c r="C1278" s="38">
        <v>44146</v>
      </c>
      <c r="D1278" s="38">
        <v>44139</v>
      </c>
      <c r="E1278" s="34">
        <v>44160</v>
      </c>
      <c r="F1278" s="5">
        <v>7822</v>
      </c>
      <c r="G1278" s="5" t="s">
        <v>91</v>
      </c>
      <c r="H1278" s="5" t="s">
        <v>41</v>
      </c>
      <c r="I1278" s="5" t="s">
        <v>92</v>
      </c>
      <c r="J1278" s="21" t="s">
        <v>214</v>
      </c>
      <c r="K1278" s="21" t="s">
        <v>2926</v>
      </c>
      <c r="L1278" s="6" t="s">
        <v>2927</v>
      </c>
      <c r="M1278" s="5">
        <v>0</v>
      </c>
      <c r="N1278" s="5" t="s">
        <v>91</v>
      </c>
      <c r="O1278" s="5" t="s">
        <v>91</v>
      </c>
      <c r="P1278" s="5" t="s">
        <v>91</v>
      </c>
      <c r="Q1278" s="6" t="s">
        <v>96</v>
      </c>
      <c r="R1278" s="6" t="s">
        <v>2700</v>
      </c>
      <c r="S1278" s="6"/>
      <c r="T1278" s="6"/>
      <c r="U1278" s="5"/>
      <c r="V1278" s="6" t="s">
        <v>301</v>
      </c>
      <c r="W1278" s="6" t="s">
        <v>2928</v>
      </c>
      <c r="X1278" s="6"/>
      <c r="Y1278" s="22"/>
      <c r="Z1278" s="6"/>
      <c r="AA1278" s="21" t="s">
        <v>2929</v>
      </c>
      <c r="AB1278" s="23">
        <v>44132</v>
      </c>
      <c r="AC1278" s="21" t="s">
        <v>30</v>
      </c>
      <c r="AD1278" s="24">
        <v>2848.5</v>
      </c>
      <c r="AE1278" s="6" t="s">
        <v>31</v>
      </c>
      <c r="AF1278" s="6"/>
      <c r="AG1278" s="6" t="s">
        <v>3041</v>
      </c>
    </row>
    <row r="1279" spans="1:33" ht="7.5" customHeight="1" x14ac:dyDescent="0.25">
      <c r="A1279" s="27"/>
      <c r="B1279" s="39"/>
      <c r="C1279" s="39"/>
      <c r="D1279" s="39"/>
      <c r="E1279" s="28"/>
      <c r="F1279" s="27"/>
      <c r="G1279" s="27"/>
      <c r="H1279" s="27"/>
      <c r="I1279" s="27"/>
      <c r="J1279" s="30"/>
      <c r="K1279" s="30"/>
      <c r="L1279" s="29"/>
      <c r="M1279" s="27"/>
      <c r="N1279" s="27"/>
      <c r="O1279" s="27"/>
      <c r="P1279" s="27"/>
      <c r="Q1279" s="29"/>
      <c r="R1279" s="29"/>
      <c r="S1279" s="29"/>
      <c r="T1279" s="29"/>
      <c r="U1279" s="27"/>
      <c r="V1279" s="29"/>
      <c r="W1279" s="29"/>
      <c r="X1279" s="29"/>
      <c r="Y1279" s="31"/>
      <c r="Z1279" s="29"/>
      <c r="AA1279" s="30"/>
      <c r="AB1279" s="32"/>
      <c r="AC1279" s="30"/>
      <c r="AD1279" s="33"/>
      <c r="AE1279" s="29"/>
      <c r="AF1279" s="29"/>
      <c r="AG1279" s="29"/>
    </row>
    <row r="1280" spans="1:33" ht="15" customHeight="1" x14ac:dyDescent="0.25">
      <c r="A1280" s="5">
        <v>47</v>
      </c>
      <c r="B1280" s="38">
        <v>44155</v>
      </c>
      <c r="C1280" s="38">
        <v>44146</v>
      </c>
      <c r="D1280" s="38">
        <v>44120</v>
      </c>
      <c r="E1280" s="37">
        <v>44155</v>
      </c>
      <c r="F1280" s="5">
        <v>9718</v>
      </c>
      <c r="G1280" s="5" t="s">
        <v>91</v>
      </c>
      <c r="H1280" s="5" t="s">
        <v>40</v>
      </c>
      <c r="I1280" s="5" t="s">
        <v>92</v>
      </c>
      <c r="J1280" s="21" t="s">
        <v>159</v>
      </c>
      <c r="K1280" s="21">
        <v>258386</v>
      </c>
      <c r="L1280" s="6" t="s">
        <v>1261</v>
      </c>
      <c r="M1280" s="5">
        <v>21</v>
      </c>
      <c r="N1280" s="5" t="s">
        <v>91</v>
      </c>
      <c r="O1280" s="5" t="s">
        <v>91</v>
      </c>
      <c r="P1280" s="5" t="s">
        <v>91</v>
      </c>
      <c r="Q1280" s="6"/>
      <c r="R1280" s="6" t="s">
        <v>979</v>
      </c>
      <c r="S1280" s="6"/>
      <c r="T1280" s="6"/>
      <c r="U1280" s="5"/>
      <c r="V1280" s="6"/>
      <c r="W1280" s="6" t="s">
        <v>2807</v>
      </c>
      <c r="X1280" s="6"/>
      <c r="Y1280" s="22"/>
      <c r="Z1280" s="6"/>
      <c r="AA1280" s="21">
        <v>258311</v>
      </c>
      <c r="AB1280" s="23">
        <v>44118</v>
      </c>
      <c r="AC1280" s="21" t="s">
        <v>32</v>
      </c>
      <c r="AD1280" s="24">
        <v>2377.44</v>
      </c>
      <c r="AE1280" s="6" t="s">
        <v>31</v>
      </c>
      <c r="AF1280" s="6"/>
      <c r="AG1280" s="6" t="s">
        <v>3041</v>
      </c>
    </row>
    <row r="1281" spans="1:33" ht="7.5" customHeight="1" x14ac:dyDescent="0.25">
      <c r="A1281" s="27"/>
      <c r="B1281" s="39"/>
      <c r="C1281" s="39"/>
      <c r="D1281" s="39"/>
      <c r="E1281" s="28"/>
      <c r="F1281" s="27"/>
      <c r="G1281" s="27"/>
      <c r="H1281" s="27"/>
      <c r="I1281" s="27"/>
      <c r="J1281" s="30"/>
      <c r="K1281" s="30"/>
      <c r="L1281" s="29"/>
      <c r="M1281" s="27"/>
      <c r="N1281" s="27"/>
      <c r="O1281" s="27"/>
      <c r="P1281" s="27"/>
      <c r="Q1281" s="29"/>
      <c r="R1281" s="29"/>
      <c r="S1281" s="29"/>
      <c r="T1281" s="29"/>
      <c r="U1281" s="27"/>
      <c r="V1281" s="29"/>
      <c r="W1281" s="29"/>
      <c r="X1281" s="29"/>
      <c r="Y1281" s="31"/>
      <c r="Z1281" s="29"/>
      <c r="AA1281" s="30"/>
      <c r="AB1281" s="32"/>
      <c r="AC1281" s="30"/>
      <c r="AD1281" s="33"/>
      <c r="AE1281" s="29"/>
      <c r="AF1281" s="29"/>
      <c r="AG1281" s="29"/>
    </row>
    <row r="1282" spans="1:33" ht="15" customHeight="1" x14ac:dyDescent="0.25">
      <c r="A1282" s="5">
        <v>48</v>
      </c>
      <c r="B1282" s="38">
        <v>44158</v>
      </c>
      <c r="C1282" s="38">
        <v>44147</v>
      </c>
      <c r="D1282" s="38">
        <v>44117</v>
      </c>
      <c r="E1282" s="34">
        <v>44158</v>
      </c>
      <c r="F1282" s="5">
        <v>3114</v>
      </c>
      <c r="G1282" s="5" t="s">
        <v>91</v>
      </c>
      <c r="H1282" s="5" t="s">
        <v>41</v>
      </c>
      <c r="I1282" s="5" t="s">
        <v>92</v>
      </c>
      <c r="J1282" s="21" t="s">
        <v>93</v>
      </c>
      <c r="K1282" s="21" t="s">
        <v>2812</v>
      </c>
      <c r="L1282" s="6" t="s">
        <v>2395</v>
      </c>
      <c r="M1282" s="5">
        <v>0</v>
      </c>
      <c r="N1282" s="5" t="s">
        <v>91</v>
      </c>
      <c r="O1282" s="5" t="s">
        <v>91</v>
      </c>
      <c r="P1282" s="5" t="s">
        <v>91</v>
      </c>
      <c r="Q1282" s="6" t="s">
        <v>2582</v>
      </c>
      <c r="R1282" s="6"/>
      <c r="S1282" s="6" t="s">
        <v>516</v>
      </c>
      <c r="T1282" s="6"/>
      <c r="U1282" s="5"/>
      <c r="V1282" s="6"/>
      <c r="W1282" s="6" t="s">
        <v>2397</v>
      </c>
      <c r="X1282" s="6" t="s">
        <v>2398</v>
      </c>
      <c r="Y1282" s="22"/>
      <c r="Z1282" s="6"/>
      <c r="AA1282" s="21"/>
      <c r="AB1282" s="23">
        <v>44131</v>
      </c>
      <c r="AC1282" s="21" t="s">
        <v>32</v>
      </c>
      <c r="AD1282" s="24">
        <v>4759.82</v>
      </c>
      <c r="AE1282" s="6" t="s">
        <v>37</v>
      </c>
      <c r="AF1282" s="6"/>
      <c r="AG1282" s="6" t="s">
        <v>3040</v>
      </c>
    </row>
    <row r="1283" spans="1:33" ht="7.5" customHeight="1" x14ac:dyDescent="0.25">
      <c r="A1283" s="27"/>
      <c r="B1283" s="39"/>
      <c r="C1283" s="39"/>
      <c r="D1283" s="39"/>
      <c r="E1283" s="28"/>
      <c r="F1283" s="27"/>
      <c r="G1283" s="27"/>
      <c r="H1283" s="27"/>
      <c r="I1283" s="27"/>
      <c r="J1283" s="30"/>
      <c r="K1283" s="30"/>
      <c r="L1283" s="29"/>
      <c r="M1283" s="27"/>
      <c r="N1283" s="27"/>
      <c r="O1283" s="27"/>
      <c r="P1283" s="27"/>
      <c r="Q1283" s="29"/>
      <c r="R1283" s="29"/>
      <c r="S1283" s="29"/>
      <c r="T1283" s="29"/>
      <c r="U1283" s="27"/>
      <c r="V1283" s="29"/>
      <c r="W1283" s="29"/>
      <c r="X1283" s="29"/>
      <c r="Y1283" s="31"/>
      <c r="Z1283" s="29"/>
      <c r="AA1283" s="30"/>
      <c r="AB1283" s="32"/>
      <c r="AC1283" s="30"/>
      <c r="AD1283" s="33"/>
      <c r="AE1283" s="29"/>
      <c r="AF1283" s="29"/>
      <c r="AG1283" s="29"/>
    </row>
    <row r="1284" spans="1:33" ht="15" customHeight="1" x14ac:dyDescent="0.25">
      <c r="A1284" s="5">
        <v>48</v>
      </c>
      <c r="B1284" s="38">
        <v>44161</v>
      </c>
      <c r="C1284" s="38">
        <v>44147</v>
      </c>
      <c r="D1284" s="38">
        <v>44140</v>
      </c>
      <c r="E1284" s="34">
        <v>44161</v>
      </c>
      <c r="F1284" s="5">
        <v>3138</v>
      </c>
      <c r="G1284" s="5" t="s">
        <v>91</v>
      </c>
      <c r="H1284" s="5" t="s">
        <v>43</v>
      </c>
      <c r="I1284" s="5" t="s">
        <v>92</v>
      </c>
      <c r="J1284" s="21" t="s">
        <v>93</v>
      </c>
      <c r="K1284" s="21" t="s">
        <v>2935</v>
      </c>
      <c r="L1284" s="6" t="s">
        <v>2680</v>
      </c>
      <c r="M1284" s="5">
        <v>12</v>
      </c>
      <c r="N1284" s="5" t="s">
        <v>91</v>
      </c>
      <c r="O1284" s="5" t="s">
        <v>91</v>
      </c>
      <c r="P1284" s="5" t="s">
        <v>1215</v>
      </c>
      <c r="Q1284" s="6" t="s">
        <v>2557</v>
      </c>
      <c r="R1284" s="6" t="s">
        <v>264</v>
      </c>
      <c r="S1284" s="6" t="s">
        <v>155</v>
      </c>
      <c r="T1284" s="6"/>
      <c r="U1284" s="5"/>
      <c r="V1284" s="6"/>
      <c r="W1284" s="6" t="s">
        <v>2936</v>
      </c>
      <c r="X1284" s="6" t="s">
        <v>2937</v>
      </c>
      <c r="Y1284" s="22"/>
      <c r="Z1284" s="6"/>
      <c r="AA1284" s="21"/>
      <c r="AB1284" s="23"/>
      <c r="AC1284" s="21" t="s">
        <v>30</v>
      </c>
      <c r="AD1284" s="24"/>
      <c r="AE1284" s="6" t="s">
        <v>31</v>
      </c>
      <c r="AF1284" s="6"/>
      <c r="AG1284" s="6" t="s">
        <v>3039</v>
      </c>
    </row>
    <row r="1285" spans="1:33" ht="7.5" customHeight="1" x14ac:dyDescent="0.25">
      <c r="A1285" s="27"/>
      <c r="B1285" s="39"/>
      <c r="C1285" s="39"/>
      <c r="D1285" s="39"/>
      <c r="E1285" s="28"/>
      <c r="F1285" s="27"/>
      <c r="G1285" s="27"/>
      <c r="H1285" s="27"/>
      <c r="I1285" s="27"/>
      <c r="J1285" s="30"/>
      <c r="K1285" s="30"/>
      <c r="L1285" s="29"/>
      <c r="M1285" s="27"/>
      <c r="N1285" s="27"/>
      <c r="O1285" s="27"/>
      <c r="P1285" s="27"/>
      <c r="Q1285" s="29"/>
      <c r="R1285" s="29"/>
      <c r="S1285" s="29"/>
      <c r="T1285" s="29"/>
      <c r="U1285" s="27"/>
      <c r="V1285" s="29"/>
      <c r="W1285" s="29"/>
      <c r="X1285" s="29"/>
      <c r="Y1285" s="31"/>
      <c r="Z1285" s="29"/>
      <c r="AA1285" s="30"/>
      <c r="AB1285" s="32"/>
      <c r="AC1285" s="30"/>
      <c r="AD1285" s="33"/>
      <c r="AE1285" s="29"/>
      <c r="AF1285" s="29"/>
      <c r="AG1285" s="29"/>
    </row>
    <row r="1286" spans="1:33" ht="15" customHeight="1" x14ac:dyDescent="0.25">
      <c r="A1286" s="5">
        <v>48</v>
      </c>
      <c r="B1286" s="38">
        <v>44158</v>
      </c>
      <c r="C1286" s="38">
        <v>44147</v>
      </c>
      <c r="D1286" s="38">
        <v>44123</v>
      </c>
      <c r="E1286" s="34">
        <v>44158</v>
      </c>
      <c r="F1286" s="5">
        <v>6750</v>
      </c>
      <c r="G1286" s="5" t="s">
        <v>91</v>
      </c>
      <c r="H1286" s="5" t="s">
        <v>43</v>
      </c>
      <c r="I1286" s="5" t="s">
        <v>92</v>
      </c>
      <c r="J1286" s="21" t="s">
        <v>191</v>
      </c>
      <c r="K1286" s="21" t="s">
        <v>2829</v>
      </c>
      <c r="L1286" s="6" t="s">
        <v>2830</v>
      </c>
      <c r="M1286" s="5">
        <v>25</v>
      </c>
      <c r="N1286" s="5" t="s">
        <v>91</v>
      </c>
      <c r="O1286" s="5" t="s">
        <v>91</v>
      </c>
      <c r="P1286" s="5" t="s">
        <v>1215</v>
      </c>
      <c r="Q1286" s="6" t="s">
        <v>2546</v>
      </c>
      <c r="R1286" s="6" t="s">
        <v>194</v>
      </c>
      <c r="S1286" s="6"/>
      <c r="T1286" s="6"/>
      <c r="U1286" s="5"/>
      <c r="V1286" s="6"/>
      <c r="W1286" s="6" t="s">
        <v>2831</v>
      </c>
      <c r="X1286" s="6"/>
      <c r="Y1286" s="22"/>
      <c r="Z1286" s="6">
        <v>6</v>
      </c>
      <c r="AA1286" s="21"/>
      <c r="AB1286" s="23">
        <v>44134</v>
      </c>
      <c r="AC1286" s="21" t="s">
        <v>30</v>
      </c>
      <c r="AD1286" s="24" t="s">
        <v>2832</v>
      </c>
      <c r="AE1286" s="6" t="s">
        <v>38</v>
      </c>
      <c r="AF1286" s="6"/>
      <c r="AG1286" s="6" t="s">
        <v>3039</v>
      </c>
    </row>
    <row r="1287" spans="1:33" ht="7.5" customHeight="1" x14ac:dyDescent="0.25">
      <c r="A1287" s="27"/>
      <c r="B1287" s="39"/>
      <c r="C1287" s="39"/>
      <c r="D1287" s="39"/>
      <c r="E1287" s="28"/>
      <c r="F1287" s="27"/>
      <c r="G1287" s="27"/>
      <c r="H1287" s="27"/>
      <c r="I1287" s="27"/>
      <c r="J1287" s="30"/>
      <c r="K1287" s="30"/>
      <c r="L1287" s="29"/>
      <c r="M1287" s="27"/>
      <c r="N1287" s="27"/>
      <c r="O1287" s="27"/>
      <c r="P1287" s="27"/>
      <c r="Q1287" s="29"/>
      <c r="R1287" s="29"/>
      <c r="S1287" s="29"/>
      <c r="T1287" s="29"/>
      <c r="U1287" s="27"/>
      <c r="V1287" s="29"/>
      <c r="W1287" s="29"/>
      <c r="X1287" s="29"/>
      <c r="Y1287" s="31"/>
      <c r="Z1287" s="29"/>
      <c r="AA1287" s="30"/>
      <c r="AB1287" s="32"/>
      <c r="AC1287" s="30"/>
      <c r="AD1287" s="33"/>
      <c r="AE1287" s="29"/>
      <c r="AF1287" s="29"/>
      <c r="AG1287" s="29"/>
    </row>
    <row r="1288" spans="1:33" ht="15" customHeight="1" x14ac:dyDescent="0.25">
      <c r="A1288" s="5">
        <v>49</v>
      </c>
      <c r="B1288" s="38">
        <v>44165</v>
      </c>
      <c r="C1288" s="38">
        <v>44147</v>
      </c>
      <c r="D1288" s="38">
        <v>44130</v>
      </c>
      <c r="E1288" s="35">
        <v>44165</v>
      </c>
      <c r="F1288" s="5">
        <v>9722</v>
      </c>
      <c r="G1288" s="5" t="s">
        <v>91</v>
      </c>
      <c r="H1288" s="5" t="s">
        <v>40</v>
      </c>
      <c r="I1288" s="5" t="s">
        <v>92</v>
      </c>
      <c r="J1288" s="21" t="s">
        <v>159</v>
      </c>
      <c r="K1288" s="21">
        <v>258546</v>
      </c>
      <c r="L1288" s="6" t="s">
        <v>152</v>
      </c>
      <c r="M1288" s="5">
        <v>4</v>
      </c>
      <c r="N1288" s="5" t="s">
        <v>91</v>
      </c>
      <c r="O1288" s="5"/>
      <c r="P1288" s="5"/>
      <c r="Q1288" s="6"/>
      <c r="R1288" s="6" t="s">
        <v>163</v>
      </c>
      <c r="S1288" s="6"/>
      <c r="T1288" s="6"/>
      <c r="U1288" s="5"/>
      <c r="V1288" s="6" t="s">
        <v>167</v>
      </c>
      <c r="W1288" s="6" t="s">
        <v>511</v>
      </c>
      <c r="X1288" s="6"/>
      <c r="Y1288" s="22"/>
      <c r="Z1288" s="6"/>
      <c r="AA1288" s="21">
        <v>258488</v>
      </c>
      <c r="AB1288" s="23">
        <v>44133</v>
      </c>
      <c r="AC1288" s="21" t="s">
        <v>30</v>
      </c>
      <c r="AD1288" s="24">
        <v>748.88</v>
      </c>
      <c r="AE1288" s="6" t="s">
        <v>31</v>
      </c>
      <c r="AF1288" s="6"/>
      <c r="AG1288" s="6" t="s">
        <v>3042</v>
      </c>
    </row>
    <row r="1289" spans="1:33" ht="7.5" customHeight="1" x14ac:dyDescent="0.25">
      <c r="A1289" s="27"/>
      <c r="B1289" s="39"/>
      <c r="C1289" s="39"/>
      <c r="D1289" s="39"/>
      <c r="E1289" s="28"/>
      <c r="F1289" s="27"/>
      <c r="G1289" s="27"/>
      <c r="H1289" s="27"/>
      <c r="I1289" s="27"/>
      <c r="J1289" s="30"/>
      <c r="K1289" s="30"/>
      <c r="L1289" s="29"/>
      <c r="M1289" s="27"/>
      <c r="N1289" s="27"/>
      <c r="O1289" s="27"/>
      <c r="P1289" s="27"/>
      <c r="Q1289" s="29"/>
      <c r="R1289" s="29"/>
      <c r="S1289" s="29"/>
      <c r="T1289" s="29"/>
      <c r="U1289" s="27"/>
      <c r="V1289" s="29"/>
      <c r="W1289" s="29"/>
      <c r="X1289" s="29"/>
      <c r="Y1289" s="31"/>
      <c r="Z1289" s="29"/>
      <c r="AA1289" s="30"/>
      <c r="AB1289" s="32"/>
      <c r="AC1289" s="30"/>
      <c r="AD1289" s="33"/>
      <c r="AE1289" s="29"/>
      <c r="AF1289" s="29"/>
      <c r="AG1289" s="29"/>
    </row>
    <row r="1290" spans="1:33" ht="15" customHeight="1" x14ac:dyDescent="0.25">
      <c r="A1290" s="5">
        <v>48</v>
      </c>
      <c r="B1290" s="38">
        <v>44162</v>
      </c>
      <c r="C1290" s="38">
        <v>44148</v>
      </c>
      <c r="D1290" s="38">
        <v>44141</v>
      </c>
      <c r="E1290" s="34">
        <v>44162</v>
      </c>
      <c r="F1290" s="5">
        <v>3150</v>
      </c>
      <c r="G1290" s="5" t="s">
        <v>91</v>
      </c>
      <c r="H1290" s="5" t="s">
        <v>41</v>
      </c>
      <c r="I1290" s="5" t="s">
        <v>1066</v>
      </c>
      <c r="J1290" s="21" t="s">
        <v>93</v>
      </c>
      <c r="K1290" s="21" t="s">
        <v>2938</v>
      </c>
      <c r="L1290" s="6" t="s">
        <v>321</v>
      </c>
      <c r="M1290" s="5">
        <v>2</v>
      </c>
      <c r="N1290" s="5"/>
      <c r="O1290" s="5"/>
      <c r="P1290" s="5"/>
      <c r="Q1290" s="6" t="s">
        <v>107</v>
      </c>
      <c r="R1290" s="6" t="s">
        <v>2939</v>
      </c>
      <c r="S1290" s="6"/>
      <c r="T1290" s="6"/>
      <c r="U1290" s="5"/>
      <c r="V1290" s="6"/>
      <c r="W1290" s="6" t="s">
        <v>2940</v>
      </c>
      <c r="X1290" s="6">
        <v>276325711</v>
      </c>
      <c r="Y1290" s="22"/>
      <c r="Z1290" s="6"/>
      <c r="AA1290" s="21"/>
      <c r="AB1290" s="23">
        <v>44146</v>
      </c>
      <c r="AC1290" s="21" t="s">
        <v>30</v>
      </c>
      <c r="AD1290" s="24" t="s">
        <v>296</v>
      </c>
      <c r="AE1290" s="6" t="s">
        <v>31</v>
      </c>
      <c r="AF1290" s="6"/>
      <c r="AG1290" s="6" t="s">
        <v>3040</v>
      </c>
    </row>
    <row r="1291" spans="1:33" ht="15" customHeight="1" x14ac:dyDescent="0.25">
      <c r="A1291" s="5">
        <v>48</v>
      </c>
      <c r="B1291" s="38">
        <v>44162</v>
      </c>
      <c r="C1291" s="38">
        <v>44148</v>
      </c>
      <c r="D1291" s="38">
        <v>44141</v>
      </c>
      <c r="E1291" s="34">
        <v>44162</v>
      </c>
      <c r="F1291" s="5">
        <v>5716</v>
      </c>
      <c r="G1291" s="5" t="s">
        <v>91</v>
      </c>
      <c r="H1291" s="5" t="s">
        <v>40</v>
      </c>
      <c r="I1291" s="5" t="s">
        <v>92</v>
      </c>
      <c r="J1291" s="21" t="s">
        <v>131</v>
      </c>
      <c r="K1291" s="21" t="s">
        <v>2944</v>
      </c>
      <c r="L1291" s="6" t="s">
        <v>2945</v>
      </c>
      <c r="M1291" s="5">
        <v>10</v>
      </c>
      <c r="N1291" s="5" t="s">
        <v>91</v>
      </c>
      <c r="O1291" s="5" t="s">
        <v>91</v>
      </c>
      <c r="P1291" s="5"/>
      <c r="Q1291" s="6"/>
      <c r="R1291" s="6" t="s">
        <v>2106</v>
      </c>
      <c r="S1291" s="6"/>
      <c r="T1291" s="6"/>
      <c r="U1291" s="5"/>
      <c r="V1291" s="6"/>
      <c r="W1291" s="6" t="s">
        <v>2946</v>
      </c>
      <c r="X1291" s="6"/>
      <c r="Y1291" s="22"/>
      <c r="Z1291" s="6"/>
      <c r="AA1291" s="21"/>
      <c r="AB1291" s="23">
        <v>44131</v>
      </c>
      <c r="AC1291" s="21" t="s">
        <v>30</v>
      </c>
      <c r="AD1291" s="24" t="s">
        <v>296</v>
      </c>
      <c r="AE1291" s="6" t="s">
        <v>38</v>
      </c>
      <c r="AF1291" s="6"/>
      <c r="AG1291" s="6" t="s">
        <v>3042</v>
      </c>
    </row>
    <row r="1292" spans="1:33" ht="15" customHeight="1" x14ac:dyDescent="0.25">
      <c r="A1292" s="5">
        <v>48</v>
      </c>
      <c r="B1292" s="38">
        <v>44162</v>
      </c>
      <c r="C1292" s="38">
        <v>44148</v>
      </c>
      <c r="D1292" s="38">
        <v>44141</v>
      </c>
      <c r="E1292" s="34">
        <v>44162</v>
      </c>
      <c r="F1292" s="5">
        <v>5717</v>
      </c>
      <c r="G1292" s="5" t="s">
        <v>91</v>
      </c>
      <c r="H1292" s="5" t="s">
        <v>40</v>
      </c>
      <c r="I1292" s="5" t="s">
        <v>92</v>
      </c>
      <c r="J1292" s="21" t="s">
        <v>131</v>
      </c>
      <c r="K1292" s="21" t="s">
        <v>2947</v>
      </c>
      <c r="L1292" s="6" t="s">
        <v>2948</v>
      </c>
      <c r="M1292" s="5">
        <v>11</v>
      </c>
      <c r="N1292" s="5" t="s">
        <v>91</v>
      </c>
      <c r="O1292" s="5" t="s">
        <v>91</v>
      </c>
      <c r="P1292" s="5"/>
      <c r="Q1292" s="6"/>
      <c r="R1292" s="6" t="s">
        <v>2949</v>
      </c>
      <c r="S1292" s="6"/>
      <c r="T1292" s="6"/>
      <c r="U1292" s="5"/>
      <c r="V1292" s="6"/>
      <c r="W1292" s="6" t="s">
        <v>2950</v>
      </c>
      <c r="X1292" s="6"/>
      <c r="Y1292" s="22"/>
      <c r="Z1292" s="6"/>
      <c r="AA1292" s="21"/>
      <c r="AB1292" s="23">
        <v>44124</v>
      </c>
      <c r="AC1292" s="21" t="s">
        <v>33</v>
      </c>
      <c r="AD1292" s="24"/>
      <c r="AE1292" s="6" t="s">
        <v>31</v>
      </c>
      <c r="AF1292" s="6"/>
      <c r="AG1292" s="6" t="s">
        <v>3039</v>
      </c>
    </row>
    <row r="1293" spans="1:33" ht="15" customHeight="1" x14ac:dyDescent="0.25">
      <c r="A1293" s="5">
        <v>48</v>
      </c>
      <c r="B1293" s="38">
        <v>44162</v>
      </c>
      <c r="C1293" s="38">
        <v>44148</v>
      </c>
      <c r="D1293" s="38">
        <v>44141</v>
      </c>
      <c r="E1293" s="34">
        <v>44162</v>
      </c>
      <c r="F1293" s="5">
        <v>5718</v>
      </c>
      <c r="G1293" s="5" t="s">
        <v>91</v>
      </c>
      <c r="H1293" s="5" t="s">
        <v>40</v>
      </c>
      <c r="I1293" s="5" t="s">
        <v>92</v>
      </c>
      <c r="J1293" s="21" t="s">
        <v>131</v>
      </c>
      <c r="K1293" s="21" t="s">
        <v>2951</v>
      </c>
      <c r="L1293" s="6" t="s">
        <v>2945</v>
      </c>
      <c r="M1293" s="5">
        <v>11</v>
      </c>
      <c r="N1293" s="5" t="s">
        <v>91</v>
      </c>
      <c r="O1293" s="5" t="s">
        <v>91</v>
      </c>
      <c r="P1293" s="5"/>
      <c r="Q1293" s="6"/>
      <c r="R1293" s="6" t="s">
        <v>2106</v>
      </c>
      <c r="S1293" s="6"/>
      <c r="T1293" s="6"/>
      <c r="U1293" s="5"/>
      <c r="V1293" s="6"/>
      <c r="W1293" s="6" t="s">
        <v>2952</v>
      </c>
      <c r="X1293" s="6"/>
      <c r="Y1293" s="22"/>
      <c r="Z1293" s="6"/>
      <c r="AA1293" s="21"/>
      <c r="AB1293" s="23">
        <v>44124</v>
      </c>
      <c r="AC1293" s="21" t="s">
        <v>30</v>
      </c>
      <c r="AD1293" s="24"/>
      <c r="AE1293" s="6" t="s">
        <v>34</v>
      </c>
      <c r="AF1293" s="6"/>
      <c r="AG1293" s="6" t="s">
        <v>3040</v>
      </c>
    </row>
    <row r="1294" spans="1:33" ht="15" customHeight="1" x14ac:dyDescent="0.25">
      <c r="A1294" s="5">
        <v>48</v>
      </c>
      <c r="B1294" s="38">
        <v>44162</v>
      </c>
      <c r="C1294" s="38">
        <v>44148</v>
      </c>
      <c r="D1294" s="38">
        <v>44141</v>
      </c>
      <c r="E1294" s="34">
        <v>44162</v>
      </c>
      <c r="F1294" s="5">
        <v>5719</v>
      </c>
      <c r="G1294" s="5" t="s">
        <v>91</v>
      </c>
      <c r="H1294" s="5" t="s">
        <v>40</v>
      </c>
      <c r="I1294" s="5" t="s">
        <v>92</v>
      </c>
      <c r="J1294" s="21" t="s">
        <v>131</v>
      </c>
      <c r="K1294" s="21" t="s">
        <v>2953</v>
      </c>
      <c r="L1294" s="6" t="s">
        <v>2954</v>
      </c>
      <c r="M1294" s="5">
        <v>10</v>
      </c>
      <c r="N1294" s="5" t="s">
        <v>91</v>
      </c>
      <c r="O1294" s="5" t="s">
        <v>91</v>
      </c>
      <c r="P1294" s="5"/>
      <c r="Q1294" s="6"/>
      <c r="R1294" s="6" t="s">
        <v>2949</v>
      </c>
      <c r="S1294" s="6"/>
      <c r="T1294" s="6"/>
      <c r="U1294" s="5"/>
      <c r="V1294" s="6"/>
      <c r="W1294" s="6" t="s">
        <v>2952</v>
      </c>
      <c r="X1294" s="6"/>
      <c r="Y1294" s="22"/>
      <c r="Z1294" s="6"/>
      <c r="AA1294" s="21"/>
      <c r="AB1294" s="23">
        <v>44124</v>
      </c>
      <c r="AC1294" s="21" t="s">
        <v>30</v>
      </c>
      <c r="AD1294" s="24" t="s">
        <v>2382</v>
      </c>
      <c r="AE1294" s="6" t="s">
        <v>31</v>
      </c>
      <c r="AF1294" s="6"/>
      <c r="AG1294" s="6" t="s">
        <v>3041</v>
      </c>
    </row>
    <row r="1295" spans="1:33" ht="7.5" customHeight="1" x14ac:dyDescent="0.25">
      <c r="A1295" s="27"/>
      <c r="B1295" s="39"/>
      <c r="C1295" s="39"/>
      <c r="D1295" s="39"/>
      <c r="E1295" s="28"/>
      <c r="F1295" s="27"/>
      <c r="G1295" s="27"/>
      <c r="H1295" s="27"/>
      <c r="I1295" s="27"/>
      <c r="J1295" s="30"/>
      <c r="K1295" s="30"/>
      <c r="L1295" s="29"/>
      <c r="M1295" s="27"/>
      <c r="N1295" s="27"/>
      <c r="O1295" s="27"/>
      <c r="P1295" s="27"/>
      <c r="Q1295" s="29"/>
      <c r="R1295" s="29"/>
      <c r="S1295" s="29"/>
      <c r="T1295" s="29"/>
      <c r="U1295" s="27"/>
      <c r="V1295" s="29"/>
      <c r="W1295" s="29"/>
      <c r="X1295" s="29"/>
      <c r="Y1295" s="31"/>
      <c r="Z1295" s="29"/>
      <c r="AA1295" s="30"/>
      <c r="AB1295" s="32"/>
      <c r="AC1295" s="30"/>
      <c r="AD1295" s="33"/>
      <c r="AE1295" s="29"/>
      <c r="AF1295" s="29"/>
      <c r="AG1295" s="29"/>
    </row>
    <row r="1296" spans="1:33" ht="15" customHeight="1" x14ac:dyDescent="0.25">
      <c r="A1296" s="5">
        <v>48</v>
      </c>
      <c r="B1296" s="38">
        <v>44160</v>
      </c>
      <c r="C1296" s="38">
        <v>44151</v>
      </c>
      <c r="D1296" s="38">
        <v>44126</v>
      </c>
      <c r="E1296" s="34">
        <v>44160</v>
      </c>
      <c r="F1296" s="5">
        <v>3124</v>
      </c>
      <c r="G1296" s="5" t="s">
        <v>91</v>
      </c>
      <c r="H1296" s="5" t="s">
        <v>43</v>
      </c>
      <c r="I1296" s="5" t="s">
        <v>92</v>
      </c>
      <c r="J1296" s="21" t="s">
        <v>93</v>
      </c>
      <c r="K1296" s="21" t="s">
        <v>2874</v>
      </c>
      <c r="L1296" s="6" t="s">
        <v>2875</v>
      </c>
      <c r="M1296" s="5">
        <v>18</v>
      </c>
      <c r="N1296" s="5" t="s">
        <v>91</v>
      </c>
      <c r="O1296" s="5" t="s">
        <v>91</v>
      </c>
      <c r="P1296" s="5" t="s">
        <v>91</v>
      </c>
      <c r="Q1296" s="6" t="s">
        <v>2582</v>
      </c>
      <c r="R1296" s="6" t="s">
        <v>529</v>
      </c>
      <c r="S1296" s="6" t="s">
        <v>2139</v>
      </c>
      <c r="T1296" s="6"/>
      <c r="U1296" s="5"/>
      <c r="V1296" s="6" t="s">
        <v>2876</v>
      </c>
      <c r="W1296" s="6" t="s">
        <v>2877</v>
      </c>
      <c r="X1296" s="6" t="s">
        <v>2878</v>
      </c>
      <c r="Y1296" s="22"/>
      <c r="Z1296" s="6"/>
      <c r="AA1296" s="21" t="s">
        <v>2879</v>
      </c>
      <c r="AB1296" s="23">
        <v>44137</v>
      </c>
      <c r="AC1296" s="21" t="s">
        <v>32</v>
      </c>
      <c r="AD1296" s="24">
        <v>492.55</v>
      </c>
      <c r="AE1296" s="6" t="s">
        <v>31</v>
      </c>
      <c r="AF1296" s="6"/>
      <c r="AG1296" s="6" t="s">
        <v>3042</v>
      </c>
    </row>
    <row r="1297" spans="1:33" ht="15" customHeight="1" x14ac:dyDescent="0.25">
      <c r="A1297" s="5">
        <v>48</v>
      </c>
      <c r="B1297" s="38">
        <v>44160</v>
      </c>
      <c r="C1297" s="38">
        <v>44151</v>
      </c>
      <c r="D1297" s="38">
        <v>44137</v>
      </c>
      <c r="E1297" s="34">
        <v>44160</v>
      </c>
      <c r="F1297" s="5">
        <v>12108</v>
      </c>
      <c r="G1297" s="5" t="s">
        <v>91</v>
      </c>
      <c r="H1297" s="5" t="s">
        <v>40</v>
      </c>
      <c r="I1297" s="5" t="s">
        <v>92</v>
      </c>
      <c r="J1297" s="21" t="s">
        <v>275</v>
      </c>
      <c r="K1297" s="21" t="s">
        <v>2886</v>
      </c>
      <c r="L1297" s="6" t="s">
        <v>2887</v>
      </c>
      <c r="M1297" s="5">
        <v>11</v>
      </c>
      <c r="N1297" s="5" t="s">
        <v>91</v>
      </c>
      <c r="O1297" s="5" t="s">
        <v>91</v>
      </c>
      <c r="P1297" s="5" t="s">
        <v>1215</v>
      </c>
      <c r="Q1297" s="6"/>
      <c r="R1297" s="6" t="s">
        <v>2106</v>
      </c>
      <c r="S1297" s="6"/>
      <c r="T1297" s="6"/>
      <c r="U1297" s="5"/>
      <c r="V1297" s="6" t="s">
        <v>2888</v>
      </c>
      <c r="W1297" s="6" t="s">
        <v>2889</v>
      </c>
      <c r="X1297" s="6"/>
      <c r="Y1297" s="22"/>
      <c r="Z1297" s="6">
        <v>4.4000000000000004</v>
      </c>
      <c r="AA1297" s="21">
        <v>10201</v>
      </c>
      <c r="AB1297" s="23">
        <v>44134</v>
      </c>
      <c r="AC1297" s="21" t="s">
        <v>32</v>
      </c>
      <c r="AD1297" s="24">
        <v>5719.76</v>
      </c>
      <c r="AE1297" s="6" t="s">
        <v>36</v>
      </c>
      <c r="AF1297" s="6"/>
      <c r="AG1297" s="6" t="s">
        <v>3041</v>
      </c>
    </row>
    <row r="1298" spans="1:33" ht="15" customHeight="1" x14ac:dyDescent="0.25">
      <c r="A1298" s="5">
        <v>48</v>
      </c>
      <c r="B1298" s="38">
        <v>44160</v>
      </c>
      <c r="C1298" s="38">
        <v>44151</v>
      </c>
      <c r="D1298" s="38">
        <v>44130</v>
      </c>
      <c r="E1298" s="34">
        <v>44160</v>
      </c>
      <c r="F1298" s="5">
        <v>12106</v>
      </c>
      <c r="G1298" s="5" t="s">
        <v>91</v>
      </c>
      <c r="H1298" s="5" t="s">
        <v>43</v>
      </c>
      <c r="I1298" s="5" t="s">
        <v>92</v>
      </c>
      <c r="J1298" s="21" t="s">
        <v>275</v>
      </c>
      <c r="K1298" s="21" t="s">
        <v>2890</v>
      </c>
      <c r="L1298" s="6" t="s">
        <v>2891</v>
      </c>
      <c r="M1298" s="5">
        <v>16</v>
      </c>
      <c r="N1298" s="5" t="s">
        <v>91</v>
      </c>
      <c r="O1298" s="5" t="s">
        <v>91</v>
      </c>
      <c r="P1298" s="5" t="s">
        <v>1215</v>
      </c>
      <c r="Q1298" s="6"/>
      <c r="R1298" s="6" t="s">
        <v>296</v>
      </c>
      <c r="S1298" s="6"/>
      <c r="T1298" s="6"/>
      <c r="U1298" s="5"/>
      <c r="V1298" s="6" t="s">
        <v>2892</v>
      </c>
      <c r="W1298" s="6" t="s">
        <v>2893</v>
      </c>
      <c r="X1298" s="6"/>
      <c r="Y1298" s="22"/>
      <c r="Z1298" s="6">
        <v>6.5</v>
      </c>
      <c r="AA1298" s="21"/>
      <c r="AB1298" s="23">
        <v>44132</v>
      </c>
      <c r="AC1298" s="21" t="s">
        <v>30</v>
      </c>
      <c r="AD1298" s="24">
        <v>4530.18</v>
      </c>
      <c r="AE1298" s="6" t="s">
        <v>38</v>
      </c>
      <c r="AF1298" s="6"/>
      <c r="AG1298" s="6" t="s">
        <v>3042</v>
      </c>
    </row>
    <row r="1299" spans="1:33" ht="15" customHeight="1" x14ac:dyDescent="0.25">
      <c r="A1299" s="5">
        <v>48</v>
      </c>
      <c r="B1299" s="38">
        <v>44160</v>
      </c>
      <c r="C1299" s="38">
        <v>44151</v>
      </c>
      <c r="D1299" s="38">
        <v>44137</v>
      </c>
      <c r="E1299" s="34">
        <v>44160</v>
      </c>
      <c r="F1299" s="5">
        <v>5756</v>
      </c>
      <c r="G1299" s="5" t="s">
        <v>91</v>
      </c>
      <c r="H1299" s="5" t="s">
        <v>41</v>
      </c>
      <c r="I1299" s="5" t="s">
        <v>92</v>
      </c>
      <c r="J1299" s="21" t="s">
        <v>131</v>
      </c>
      <c r="K1299" s="21" t="s">
        <v>2896</v>
      </c>
      <c r="L1299" s="6" t="s">
        <v>216</v>
      </c>
      <c r="M1299" s="5">
        <v>0</v>
      </c>
      <c r="N1299" s="5" t="s">
        <v>91</v>
      </c>
      <c r="O1299" s="5" t="s">
        <v>91</v>
      </c>
      <c r="P1299" s="5" t="s">
        <v>91</v>
      </c>
      <c r="Q1299" s="6"/>
      <c r="R1299" s="6" t="s">
        <v>2368</v>
      </c>
      <c r="S1299" s="6"/>
      <c r="T1299" s="6"/>
      <c r="U1299" s="5"/>
      <c r="V1299" s="6" t="s">
        <v>2897</v>
      </c>
      <c r="W1299" s="6" t="s">
        <v>2898</v>
      </c>
      <c r="X1299" s="6"/>
      <c r="Y1299" s="22"/>
      <c r="Z1299" s="6"/>
      <c r="AA1299" s="21">
        <v>15692</v>
      </c>
      <c r="AB1299" s="23">
        <v>44126</v>
      </c>
      <c r="AC1299" s="21" t="s">
        <v>30</v>
      </c>
      <c r="AD1299" s="24">
        <v>1520.85</v>
      </c>
      <c r="AE1299" s="6" t="s">
        <v>35</v>
      </c>
      <c r="AF1299" s="6"/>
      <c r="AG1299" s="6" t="s">
        <v>3040</v>
      </c>
    </row>
    <row r="1300" spans="1:33" ht="15" customHeight="1" x14ac:dyDescent="0.25">
      <c r="A1300" s="5">
        <v>48</v>
      </c>
      <c r="B1300" s="38">
        <v>44160</v>
      </c>
      <c r="C1300" s="38">
        <v>44151</v>
      </c>
      <c r="D1300" s="38">
        <v>44134</v>
      </c>
      <c r="E1300" s="34">
        <v>44160</v>
      </c>
      <c r="F1300" s="5">
        <v>7816</v>
      </c>
      <c r="G1300" s="5" t="s">
        <v>91</v>
      </c>
      <c r="H1300" s="5" t="s">
        <v>41</v>
      </c>
      <c r="I1300" s="5" t="s">
        <v>92</v>
      </c>
      <c r="J1300" s="21" t="s">
        <v>214</v>
      </c>
      <c r="K1300" s="21" t="s">
        <v>2913</v>
      </c>
      <c r="L1300" s="6" t="s">
        <v>578</v>
      </c>
      <c r="M1300" s="5">
        <v>1</v>
      </c>
      <c r="N1300" s="5" t="s">
        <v>91</v>
      </c>
      <c r="O1300" s="5" t="s">
        <v>91</v>
      </c>
      <c r="P1300" s="5" t="s">
        <v>91</v>
      </c>
      <c r="Q1300" s="6" t="s">
        <v>2546</v>
      </c>
      <c r="R1300" s="6" t="s">
        <v>217</v>
      </c>
      <c r="S1300" s="6"/>
      <c r="T1300" s="6"/>
      <c r="U1300" s="5"/>
      <c r="V1300" s="6" t="s">
        <v>2750</v>
      </c>
      <c r="W1300" s="6" t="s">
        <v>624</v>
      </c>
      <c r="X1300" s="6"/>
      <c r="Y1300" s="22"/>
      <c r="Z1300" s="6"/>
      <c r="AA1300" s="21"/>
      <c r="AB1300" s="23">
        <v>44155</v>
      </c>
      <c r="AC1300" s="21" t="s">
        <v>33</v>
      </c>
      <c r="AD1300" s="24" t="s">
        <v>296</v>
      </c>
      <c r="AE1300" s="6" t="s">
        <v>34</v>
      </c>
      <c r="AF1300" s="6"/>
      <c r="AG1300" s="6" t="s">
        <v>3040</v>
      </c>
    </row>
    <row r="1301" spans="1:33" ht="15" customHeight="1" x14ac:dyDescent="0.25">
      <c r="A1301" s="5">
        <v>48</v>
      </c>
      <c r="B1301" s="38">
        <v>44160</v>
      </c>
      <c r="C1301" s="38">
        <v>44151</v>
      </c>
      <c r="D1301" s="38">
        <v>44125</v>
      </c>
      <c r="E1301" s="34">
        <v>44160</v>
      </c>
      <c r="F1301" s="5">
        <v>7804</v>
      </c>
      <c r="G1301" s="5" t="s">
        <v>91</v>
      </c>
      <c r="H1301" s="5" t="s">
        <v>43</v>
      </c>
      <c r="I1301" s="5" t="s">
        <v>92</v>
      </c>
      <c r="J1301" s="21" t="s">
        <v>214</v>
      </c>
      <c r="K1301" s="21" t="s">
        <v>2914</v>
      </c>
      <c r="L1301" s="6" t="s">
        <v>2915</v>
      </c>
      <c r="M1301" s="5">
        <v>10</v>
      </c>
      <c r="N1301" s="5" t="s">
        <v>91</v>
      </c>
      <c r="O1301" s="5" t="s">
        <v>91</v>
      </c>
      <c r="P1301" s="5" t="s">
        <v>1215</v>
      </c>
      <c r="Q1301" s="6" t="s">
        <v>2557</v>
      </c>
      <c r="R1301" s="6" t="s">
        <v>229</v>
      </c>
      <c r="S1301" s="6"/>
      <c r="T1301" s="6"/>
      <c r="U1301" s="5"/>
      <c r="V1301" s="6"/>
      <c r="W1301" s="6" t="s">
        <v>2916</v>
      </c>
      <c r="X1301" s="6" t="s">
        <v>2917</v>
      </c>
      <c r="Y1301" s="22"/>
      <c r="Z1301" s="6">
        <v>3.39</v>
      </c>
      <c r="AA1301" s="21"/>
      <c r="AB1301" s="23">
        <v>44134</v>
      </c>
      <c r="AC1301" s="21" t="s">
        <v>33</v>
      </c>
      <c r="AD1301" s="24" t="s">
        <v>2918</v>
      </c>
      <c r="AE1301" s="6" t="s">
        <v>31</v>
      </c>
      <c r="AF1301" s="6"/>
      <c r="AG1301" s="6" t="s">
        <v>3041</v>
      </c>
    </row>
    <row r="1302" spans="1:33" ht="15" customHeight="1" x14ac:dyDescent="0.25">
      <c r="A1302" s="5">
        <v>48</v>
      </c>
      <c r="B1302" s="38">
        <v>44160</v>
      </c>
      <c r="C1302" s="38">
        <v>44151</v>
      </c>
      <c r="D1302" s="38">
        <v>44132</v>
      </c>
      <c r="E1302" s="34">
        <v>44160</v>
      </c>
      <c r="F1302" s="5">
        <v>7808</v>
      </c>
      <c r="G1302" s="5" t="s">
        <v>91</v>
      </c>
      <c r="H1302" s="5" t="s">
        <v>41</v>
      </c>
      <c r="I1302" s="5" t="s">
        <v>92</v>
      </c>
      <c r="J1302" s="21" t="s">
        <v>214</v>
      </c>
      <c r="K1302" s="21" t="s">
        <v>276</v>
      </c>
      <c r="L1302" s="6" t="s">
        <v>2919</v>
      </c>
      <c r="M1302" s="5">
        <v>8</v>
      </c>
      <c r="N1302" s="5" t="s">
        <v>91</v>
      </c>
      <c r="O1302" s="5" t="s">
        <v>91</v>
      </c>
      <c r="P1302" s="5" t="s">
        <v>1215</v>
      </c>
      <c r="Q1302" s="6" t="s">
        <v>2557</v>
      </c>
      <c r="R1302" s="6" t="s">
        <v>223</v>
      </c>
      <c r="S1302" s="6"/>
      <c r="T1302" s="6"/>
      <c r="U1302" s="5"/>
      <c r="V1302" s="6"/>
      <c r="W1302" s="6" t="s">
        <v>2920</v>
      </c>
      <c r="X1302" s="6">
        <v>272374936</v>
      </c>
      <c r="Y1302" s="22"/>
      <c r="Z1302" s="6">
        <v>2.21</v>
      </c>
      <c r="AA1302" s="21" t="s">
        <v>2921</v>
      </c>
      <c r="AB1302" s="23">
        <v>44123</v>
      </c>
      <c r="AC1302" s="21" t="s">
        <v>30</v>
      </c>
      <c r="AD1302" s="24">
        <v>3481.95</v>
      </c>
      <c r="AE1302" s="6" t="s">
        <v>35</v>
      </c>
      <c r="AF1302" s="6"/>
      <c r="AG1302" s="6" t="s">
        <v>3042</v>
      </c>
    </row>
    <row r="1303" spans="1:33" ht="15" customHeight="1" x14ac:dyDescent="0.25">
      <c r="A1303" s="5">
        <v>48</v>
      </c>
      <c r="B1303" s="38">
        <v>44160</v>
      </c>
      <c r="C1303" s="38">
        <v>44151</v>
      </c>
      <c r="D1303" s="38">
        <v>44132</v>
      </c>
      <c r="E1303" s="34">
        <v>44160</v>
      </c>
      <c r="F1303" s="5">
        <v>7813</v>
      </c>
      <c r="G1303" s="5" t="s">
        <v>91</v>
      </c>
      <c r="H1303" s="5" t="s">
        <v>43</v>
      </c>
      <c r="I1303" s="5" t="s">
        <v>92</v>
      </c>
      <c r="J1303" s="21" t="s">
        <v>214</v>
      </c>
      <c r="K1303" s="21" t="s">
        <v>2922</v>
      </c>
      <c r="L1303" s="6" t="s">
        <v>2923</v>
      </c>
      <c r="M1303" s="5">
        <v>6</v>
      </c>
      <c r="N1303" s="5" t="s">
        <v>91</v>
      </c>
      <c r="O1303" s="5" t="s">
        <v>91</v>
      </c>
      <c r="P1303" s="5" t="s">
        <v>91</v>
      </c>
      <c r="Q1303" s="6" t="s">
        <v>86</v>
      </c>
      <c r="R1303" s="6" t="s">
        <v>229</v>
      </c>
      <c r="S1303" s="6"/>
      <c r="T1303" s="6"/>
      <c r="U1303" s="5"/>
      <c r="V1303" s="6"/>
      <c r="W1303" s="6" t="s">
        <v>2924</v>
      </c>
      <c r="X1303" s="6"/>
      <c r="Y1303" s="22"/>
      <c r="Z1303" s="6"/>
      <c r="AA1303" s="21" t="s">
        <v>2925</v>
      </c>
      <c r="AB1303" s="23">
        <v>44131</v>
      </c>
      <c r="AC1303" s="21" t="s">
        <v>30</v>
      </c>
      <c r="AD1303" s="24">
        <v>3622.13</v>
      </c>
      <c r="AE1303" s="6" t="s">
        <v>31</v>
      </c>
      <c r="AF1303" s="6"/>
      <c r="AG1303" s="6" t="s">
        <v>3040</v>
      </c>
    </row>
    <row r="1304" spans="1:33" ht="7.5" customHeight="1" x14ac:dyDescent="0.25">
      <c r="A1304" s="27"/>
      <c r="B1304" s="39"/>
      <c r="C1304" s="39"/>
      <c r="D1304" s="39"/>
      <c r="E1304" s="28"/>
      <c r="F1304" s="27"/>
      <c r="G1304" s="27"/>
      <c r="H1304" s="27"/>
      <c r="I1304" s="27"/>
      <c r="J1304" s="30"/>
      <c r="K1304" s="30"/>
      <c r="L1304" s="29"/>
      <c r="M1304" s="27"/>
      <c r="N1304" s="27"/>
      <c r="O1304" s="27"/>
      <c r="P1304" s="27"/>
      <c r="Q1304" s="29"/>
      <c r="R1304" s="29"/>
      <c r="S1304" s="29"/>
      <c r="T1304" s="29"/>
      <c r="U1304" s="27"/>
      <c r="V1304" s="29"/>
      <c r="W1304" s="29"/>
      <c r="X1304" s="29"/>
      <c r="Y1304" s="31"/>
      <c r="Z1304" s="29"/>
      <c r="AA1304" s="30"/>
      <c r="AB1304" s="32"/>
      <c r="AC1304" s="30"/>
      <c r="AD1304" s="33"/>
      <c r="AE1304" s="29"/>
      <c r="AF1304" s="29"/>
      <c r="AG1304" s="29"/>
    </row>
    <row r="1305" spans="1:33" ht="15" customHeight="1" x14ac:dyDescent="0.25">
      <c r="A1305" s="5">
        <v>48</v>
      </c>
      <c r="B1305" s="38">
        <v>44162</v>
      </c>
      <c r="C1305" s="38">
        <v>44153</v>
      </c>
      <c r="D1305" s="38">
        <v>44125</v>
      </c>
      <c r="E1305" s="34">
        <v>44162</v>
      </c>
      <c r="F1305" s="5">
        <v>5731</v>
      </c>
      <c r="G1305" s="5" t="s">
        <v>91</v>
      </c>
      <c r="H1305" s="5" t="s">
        <v>40</v>
      </c>
      <c r="I1305" s="5" t="s">
        <v>92</v>
      </c>
      <c r="J1305" s="21" t="s">
        <v>131</v>
      </c>
      <c r="K1305" s="21" t="s">
        <v>2941</v>
      </c>
      <c r="L1305" s="6" t="s">
        <v>2942</v>
      </c>
      <c r="M1305" s="5">
        <v>0</v>
      </c>
      <c r="N1305" s="5"/>
      <c r="O1305" s="5"/>
      <c r="P1305" s="5"/>
      <c r="Q1305" s="6"/>
      <c r="R1305" s="6" t="s">
        <v>2368</v>
      </c>
      <c r="S1305" s="6"/>
      <c r="T1305" s="6"/>
      <c r="U1305" s="5"/>
      <c r="V1305" s="6"/>
      <c r="W1305" s="6" t="s">
        <v>2943</v>
      </c>
      <c r="X1305" s="6"/>
      <c r="Y1305" s="22"/>
      <c r="Z1305" s="6"/>
      <c r="AA1305" s="21">
        <v>10243</v>
      </c>
      <c r="AB1305" s="23">
        <v>44147</v>
      </c>
      <c r="AC1305" s="21" t="s">
        <v>30</v>
      </c>
      <c r="AD1305" s="24">
        <v>416.9</v>
      </c>
      <c r="AE1305" s="6" t="s">
        <v>37</v>
      </c>
      <c r="AF1305" s="6"/>
      <c r="AG1305" s="6" t="s">
        <v>3041</v>
      </c>
    </row>
    <row r="1306" spans="1:33" ht="7.5" customHeight="1" x14ac:dyDescent="0.25">
      <c r="A1306" s="27"/>
      <c r="B1306" s="39"/>
      <c r="C1306" s="39"/>
      <c r="D1306" s="39"/>
      <c r="E1306" s="28"/>
      <c r="F1306" s="27"/>
      <c r="G1306" s="27"/>
      <c r="H1306" s="27"/>
      <c r="I1306" s="27"/>
      <c r="J1306" s="30"/>
      <c r="K1306" s="30"/>
      <c r="L1306" s="29"/>
      <c r="M1306" s="27"/>
      <c r="N1306" s="27"/>
      <c r="O1306" s="27"/>
      <c r="P1306" s="27"/>
      <c r="Q1306" s="29"/>
      <c r="R1306" s="29"/>
      <c r="S1306" s="29"/>
      <c r="T1306" s="29"/>
      <c r="U1306" s="27"/>
      <c r="V1306" s="29"/>
      <c r="W1306" s="29"/>
      <c r="X1306" s="29"/>
      <c r="Y1306" s="31"/>
      <c r="Z1306" s="29"/>
      <c r="AA1306" s="30"/>
      <c r="AB1306" s="32"/>
      <c r="AC1306" s="30"/>
      <c r="AD1306" s="33"/>
      <c r="AE1306" s="29"/>
      <c r="AF1306" s="29"/>
      <c r="AG1306" s="29"/>
    </row>
    <row r="1307" spans="1:33" ht="15" customHeight="1" x14ac:dyDescent="0.25">
      <c r="A1307" s="5">
        <v>49</v>
      </c>
      <c r="B1307" s="38">
        <v>44165</v>
      </c>
      <c r="C1307" s="38">
        <v>44154</v>
      </c>
      <c r="D1307" s="38">
        <v>44140</v>
      </c>
      <c r="E1307" s="35">
        <v>44165</v>
      </c>
      <c r="F1307" s="5">
        <v>5754</v>
      </c>
      <c r="G1307" s="5" t="s">
        <v>91</v>
      </c>
      <c r="H1307" s="5" t="s">
        <v>43</v>
      </c>
      <c r="I1307" s="5" t="s">
        <v>92</v>
      </c>
      <c r="J1307" s="21" t="s">
        <v>131</v>
      </c>
      <c r="K1307" s="21" t="s">
        <v>2968</v>
      </c>
      <c r="L1307" s="6" t="s">
        <v>95</v>
      </c>
      <c r="M1307" s="5">
        <v>0</v>
      </c>
      <c r="N1307" s="5" t="s">
        <v>91</v>
      </c>
      <c r="O1307" s="5" t="s">
        <v>91</v>
      </c>
      <c r="P1307" s="5"/>
      <c r="Q1307" s="6" t="s">
        <v>105</v>
      </c>
      <c r="R1307" s="6" t="s">
        <v>2368</v>
      </c>
      <c r="S1307" s="6"/>
      <c r="T1307" s="6"/>
      <c r="U1307" s="5"/>
      <c r="V1307" s="6" t="s">
        <v>190</v>
      </c>
      <c r="W1307" s="6" t="s">
        <v>1919</v>
      </c>
      <c r="X1307" s="6"/>
      <c r="Y1307" s="22"/>
      <c r="Z1307" s="6"/>
      <c r="AA1307" s="21"/>
      <c r="AB1307" s="23"/>
      <c r="AC1307" s="21" t="s">
        <v>30</v>
      </c>
      <c r="AD1307" s="24"/>
      <c r="AE1307" s="6" t="s">
        <v>31</v>
      </c>
      <c r="AF1307" s="6"/>
      <c r="AG1307" s="6" t="s">
        <v>3039</v>
      </c>
    </row>
    <row r="1308" spans="1:33" ht="7.5" customHeight="1" x14ac:dyDescent="0.25">
      <c r="A1308" s="27"/>
      <c r="B1308" s="39"/>
      <c r="C1308" s="39"/>
      <c r="D1308" s="39"/>
      <c r="E1308" s="28"/>
      <c r="F1308" s="27"/>
      <c r="G1308" s="27"/>
      <c r="H1308" s="27"/>
      <c r="I1308" s="27"/>
      <c r="J1308" s="30"/>
      <c r="K1308" s="30"/>
      <c r="L1308" s="29"/>
      <c r="M1308" s="27"/>
      <c r="N1308" s="27"/>
      <c r="O1308" s="27"/>
      <c r="P1308" s="27"/>
      <c r="Q1308" s="29"/>
      <c r="R1308" s="29"/>
      <c r="S1308" s="29"/>
      <c r="T1308" s="29"/>
      <c r="U1308" s="27"/>
      <c r="V1308" s="29"/>
      <c r="W1308" s="29"/>
      <c r="X1308" s="29"/>
      <c r="Y1308" s="31"/>
      <c r="Z1308" s="29"/>
      <c r="AA1308" s="30"/>
      <c r="AB1308" s="32"/>
      <c r="AC1308" s="30"/>
      <c r="AD1308" s="33"/>
      <c r="AE1308" s="29"/>
      <c r="AF1308" s="29"/>
      <c r="AG1308" s="29"/>
    </row>
    <row r="1309" spans="1:33" ht="15" customHeight="1" x14ac:dyDescent="0.25">
      <c r="A1309" s="5">
        <v>44</v>
      </c>
      <c r="B1309" s="38">
        <v>44140</v>
      </c>
      <c r="C1309" s="38">
        <v>44158</v>
      </c>
      <c r="D1309" s="38">
        <v>44161</v>
      </c>
      <c r="E1309" s="35" t="s">
        <v>442</v>
      </c>
      <c r="F1309" s="5">
        <v>4836</v>
      </c>
      <c r="G1309" s="5" t="s">
        <v>91</v>
      </c>
      <c r="H1309" s="5" t="s">
        <v>40</v>
      </c>
      <c r="I1309" s="5" t="s">
        <v>92</v>
      </c>
      <c r="J1309" s="21" t="s">
        <v>109</v>
      </c>
      <c r="K1309" s="21" t="s">
        <v>2329</v>
      </c>
      <c r="L1309" s="6" t="s">
        <v>2406</v>
      </c>
      <c r="M1309" s="5">
        <v>0</v>
      </c>
      <c r="N1309" s="5" t="s">
        <v>91</v>
      </c>
      <c r="O1309" s="5" t="s">
        <v>91</v>
      </c>
      <c r="P1309" s="5" t="s">
        <v>91</v>
      </c>
      <c r="Q1309" s="6" t="s">
        <v>105</v>
      </c>
      <c r="R1309" s="6" t="s">
        <v>112</v>
      </c>
      <c r="S1309" s="6"/>
      <c r="T1309" s="6"/>
      <c r="U1309" s="5"/>
      <c r="V1309" s="6" t="s">
        <v>2407</v>
      </c>
      <c r="W1309" s="6" t="s">
        <v>2330</v>
      </c>
      <c r="X1309" s="6"/>
      <c r="Y1309" s="22"/>
      <c r="Z1309" s="6">
        <v>0</v>
      </c>
      <c r="AA1309" s="21" t="s">
        <v>2408</v>
      </c>
      <c r="AB1309" s="23">
        <v>44091</v>
      </c>
      <c r="AC1309" s="21" t="s">
        <v>30</v>
      </c>
      <c r="AD1309" s="24" t="s">
        <v>296</v>
      </c>
      <c r="AE1309" s="6" t="s">
        <v>31</v>
      </c>
      <c r="AF1309" s="6"/>
      <c r="AG1309" s="6" t="s">
        <v>3040</v>
      </c>
    </row>
    <row r="1310" spans="1:33" ht="7.5" customHeight="1" x14ac:dyDescent="0.25">
      <c r="A1310" s="27"/>
      <c r="B1310" s="39"/>
      <c r="C1310" s="39"/>
      <c r="D1310" s="39"/>
      <c r="E1310" s="28"/>
      <c r="F1310" s="27"/>
      <c r="G1310" s="27"/>
      <c r="H1310" s="27"/>
      <c r="I1310" s="27"/>
      <c r="J1310" s="30"/>
      <c r="K1310" s="30"/>
      <c r="L1310" s="29"/>
      <c r="M1310" s="27"/>
      <c r="N1310" s="27"/>
      <c r="O1310" s="27"/>
      <c r="P1310" s="27"/>
      <c r="Q1310" s="29"/>
      <c r="R1310" s="29"/>
      <c r="S1310" s="29"/>
      <c r="T1310" s="29"/>
      <c r="U1310" s="27"/>
      <c r="V1310" s="29"/>
      <c r="W1310" s="29"/>
      <c r="X1310" s="29"/>
      <c r="Y1310" s="31"/>
      <c r="Z1310" s="29"/>
      <c r="AA1310" s="30"/>
      <c r="AB1310" s="32"/>
      <c r="AC1310" s="30"/>
      <c r="AD1310" s="33"/>
      <c r="AE1310" s="29"/>
      <c r="AF1310" s="29"/>
      <c r="AG1310" s="29"/>
    </row>
    <row r="1311" spans="1:33" ht="15" customHeight="1" x14ac:dyDescent="0.25">
      <c r="A1311" s="5">
        <v>47</v>
      </c>
      <c r="B1311" s="38">
        <v>44155</v>
      </c>
      <c r="C1311" s="38">
        <v>44166</v>
      </c>
      <c r="D1311" s="38">
        <v>44180</v>
      </c>
      <c r="E1311" s="37" t="s">
        <v>2987</v>
      </c>
      <c r="F1311" s="5">
        <v>10008</v>
      </c>
      <c r="G1311" s="5"/>
      <c r="H1311" s="5"/>
      <c r="I1311" s="5"/>
      <c r="J1311" s="21" t="s">
        <v>147</v>
      </c>
      <c r="K1311" s="21" t="s">
        <v>3047</v>
      </c>
      <c r="L1311" s="6"/>
      <c r="M1311" s="5"/>
      <c r="N1311" s="5"/>
      <c r="O1311" s="5"/>
      <c r="P1311" s="5"/>
      <c r="Q1311" s="6" t="s">
        <v>3024</v>
      </c>
      <c r="R1311" s="6" t="s">
        <v>3005</v>
      </c>
      <c r="S1311" s="6" t="s">
        <v>3005</v>
      </c>
      <c r="T1311" s="6"/>
      <c r="U1311" s="5" t="s">
        <v>3035</v>
      </c>
      <c r="V1311" s="6"/>
      <c r="W1311" s="6"/>
      <c r="X1311" s="6"/>
      <c r="Y1311" s="22"/>
      <c r="Z1311" s="6"/>
      <c r="AA1311" s="21"/>
      <c r="AB1311" s="23">
        <v>44172</v>
      </c>
      <c r="AC1311" s="21" t="s">
        <v>32</v>
      </c>
      <c r="AD1311" s="24"/>
      <c r="AE1311" s="6" t="s">
        <v>35</v>
      </c>
      <c r="AF1311" s="6"/>
      <c r="AG1311" s="6"/>
    </row>
    <row r="1312" spans="1:33" ht="7.5" customHeight="1" x14ac:dyDescent="0.25">
      <c r="A1312" s="27"/>
      <c r="B1312" s="39"/>
      <c r="C1312" s="39"/>
      <c r="D1312" s="39"/>
      <c r="E1312" s="28"/>
      <c r="F1312" s="27"/>
      <c r="G1312" s="27"/>
      <c r="H1312" s="27"/>
      <c r="I1312" s="27"/>
      <c r="J1312" s="30"/>
      <c r="K1312" s="30"/>
      <c r="L1312" s="29"/>
      <c r="M1312" s="27"/>
      <c r="N1312" s="27"/>
      <c r="O1312" s="27"/>
      <c r="P1312" s="27"/>
      <c r="Q1312" s="29"/>
      <c r="R1312" s="29"/>
      <c r="S1312" s="29"/>
      <c r="T1312" s="29"/>
      <c r="U1312" s="27"/>
      <c r="V1312" s="29"/>
      <c r="W1312" s="29"/>
      <c r="X1312" s="29"/>
      <c r="Y1312" s="31"/>
      <c r="Z1312" s="29"/>
      <c r="AA1312" s="30"/>
      <c r="AB1312" s="32"/>
      <c r="AC1312" s="30"/>
      <c r="AD1312" s="33"/>
      <c r="AE1312" s="29"/>
      <c r="AF1312" s="29"/>
      <c r="AG1312" s="29"/>
    </row>
    <row r="1313" spans="1:33" ht="15" customHeight="1" x14ac:dyDescent="0.25">
      <c r="A1313" s="5">
        <v>48</v>
      </c>
      <c r="B1313" s="38">
        <v>44160</v>
      </c>
      <c r="C1313" s="38">
        <v>44176</v>
      </c>
      <c r="D1313" s="38">
        <v>44181</v>
      </c>
      <c r="E1313" s="34" t="s">
        <v>2987</v>
      </c>
      <c r="F1313" s="5">
        <v>5755</v>
      </c>
      <c r="G1313" s="5" t="s">
        <v>91</v>
      </c>
      <c r="H1313" s="5" t="s">
        <v>41</v>
      </c>
      <c r="I1313" s="5" t="s">
        <v>92</v>
      </c>
      <c r="J1313" s="21" t="s">
        <v>131</v>
      </c>
      <c r="K1313" s="21" t="s">
        <v>2908</v>
      </c>
      <c r="L1313" s="6" t="s">
        <v>95</v>
      </c>
      <c r="M1313" s="5">
        <v>11</v>
      </c>
      <c r="N1313" s="5" t="s">
        <v>91</v>
      </c>
      <c r="O1313" s="5" t="s">
        <v>91</v>
      </c>
      <c r="P1313" s="5" t="s">
        <v>91</v>
      </c>
      <c r="Q1313" s="6" t="s">
        <v>2582</v>
      </c>
      <c r="R1313" s="6" t="s">
        <v>2368</v>
      </c>
      <c r="S1313" s="6"/>
      <c r="T1313" s="6"/>
      <c r="U1313" s="5"/>
      <c r="V1313" s="6"/>
      <c r="W1313" s="6" t="s">
        <v>183</v>
      </c>
      <c r="X1313" s="6"/>
      <c r="Y1313" s="22"/>
      <c r="Z1313" s="6"/>
      <c r="AA1313" s="21"/>
      <c r="AB1313" s="23">
        <v>44145</v>
      </c>
      <c r="AC1313" s="21" t="s">
        <v>30</v>
      </c>
      <c r="AD1313" s="24" t="s">
        <v>296</v>
      </c>
      <c r="AE1313" s="6" t="s">
        <v>36</v>
      </c>
      <c r="AF1313" s="6"/>
      <c r="AG1313" s="6" t="s">
        <v>3040</v>
      </c>
    </row>
    <row r="1314" spans="1:33" ht="7.5" customHeight="1" x14ac:dyDescent="0.25">
      <c r="A1314" s="27"/>
      <c r="B1314" s="39"/>
      <c r="C1314" s="39"/>
      <c r="D1314" s="39"/>
      <c r="E1314" s="28"/>
      <c r="F1314" s="27"/>
      <c r="G1314" s="27"/>
      <c r="H1314" s="27"/>
      <c r="I1314" s="27"/>
      <c r="J1314" s="30"/>
      <c r="K1314" s="30"/>
      <c r="L1314" s="29"/>
      <c r="M1314" s="27"/>
      <c r="N1314" s="27"/>
      <c r="O1314" s="27"/>
      <c r="P1314" s="27"/>
      <c r="Q1314" s="29"/>
      <c r="R1314" s="29"/>
      <c r="S1314" s="29"/>
      <c r="T1314" s="29"/>
      <c r="U1314" s="27"/>
      <c r="V1314" s="29"/>
      <c r="W1314" s="29"/>
      <c r="X1314" s="29"/>
      <c r="Y1314" s="31"/>
      <c r="Z1314" s="29"/>
      <c r="AA1314" s="30"/>
      <c r="AB1314" s="32"/>
      <c r="AC1314" s="30"/>
      <c r="AD1314" s="33"/>
      <c r="AE1314" s="29"/>
      <c r="AF1314" s="29"/>
      <c r="AG1314" s="29"/>
    </row>
    <row r="1315" spans="1:33" ht="15" customHeight="1" x14ac:dyDescent="0.25">
      <c r="A1315" s="5">
        <v>50</v>
      </c>
      <c r="B1315" s="38">
        <v>44175</v>
      </c>
      <c r="C1315" s="38">
        <v>44193</v>
      </c>
      <c r="D1315" s="38">
        <v>44196</v>
      </c>
      <c r="E1315" s="36" t="s">
        <v>2987</v>
      </c>
      <c r="F1315" s="5">
        <v>9719</v>
      </c>
      <c r="G1315" s="5" t="s">
        <v>91</v>
      </c>
      <c r="H1315" s="5" t="s">
        <v>40</v>
      </c>
      <c r="I1315" s="5" t="s">
        <v>1066</v>
      </c>
      <c r="J1315" s="21" t="s">
        <v>159</v>
      </c>
      <c r="K1315" s="21">
        <v>258463</v>
      </c>
      <c r="L1315" s="6" t="s">
        <v>152</v>
      </c>
      <c r="M1315" s="5">
        <v>70</v>
      </c>
      <c r="N1315" s="5"/>
      <c r="O1315" s="5"/>
      <c r="P1315" s="5"/>
      <c r="Q1315" s="6"/>
      <c r="R1315" s="6" t="s">
        <v>163</v>
      </c>
      <c r="S1315" s="6"/>
      <c r="T1315" s="6"/>
      <c r="U1315" s="5"/>
      <c r="V1315" s="6" t="s">
        <v>164</v>
      </c>
      <c r="W1315" s="6" t="s">
        <v>1897</v>
      </c>
      <c r="X1315" s="6"/>
      <c r="Y1315" s="22"/>
      <c r="Z1315" s="6"/>
      <c r="AA1315" s="21">
        <v>258114</v>
      </c>
      <c r="AB1315" s="23">
        <v>44109</v>
      </c>
      <c r="AC1315" s="21" t="s">
        <v>30</v>
      </c>
      <c r="AD1315" s="24">
        <v>9231.2800000000007</v>
      </c>
      <c r="AE1315" s="6" t="s">
        <v>34</v>
      </c>
      <c r="AF1315" s="6"/>
      <c r="AG1315" s="6" t="s">
        <v>3040</v>
      </c>
    </row>
    <row r="1316" spans="1:33" ht="7.5" customHeight="1" x14ac:dyDescent="0.25">
      <c r="A1316" s="27"/>
      <c r="B1316" s="39"/>
      <c r="C1316" s="39"/>
      <c r="D1316" s="39"/>
      <c r="E1316" s="28"/>
      <c r="F1316" s="27"/>
      <c r="G1316" s="27"/>
      <c r="H1316" s="27"/>
      <c r="I1316" s="27"/>
      <c r="J1316" s="30"/>
      <c r="K1316" s="30"/>
      <c r="L1316" s="29"/>
      <c r="M1316" s="27"/>
      <c r="N1316" s="27"/>
      <c r="O1316" s="27"/>
      <c r="P1316" s="27"/>
      <c r="Q1316" s="29"/>
      <c r="R1316" s="29"/>
      <c r="S1316" s="29"/>
      <c r="T1316" s="29"/>
      <c r="U1316" s="27"/>
      <c r="V1316" s="29"/>
      <c r="W1316" s="29"/>
      <c r="X1316" s="29"/>
      <c r="Y1316" s="31"/>
      <c r="Z1316" s="29"/>
      <c r="AA1316" s="30"/>
      <c r="AB1316" s="32"/>
      <c r="AC1316" s="30"/>
      <c r="AD1316" s="33"/>
      <c r="AE1316" s="29"/>
      <c r="AF1316" s="29"/>
      <c r="AG1316" s="29"/>
    </row>
    <row r="1317" spans="1:33" ht="15" customHeight="1" x14ac:dyDescent="0.25">
      <c r="A1317" s="5">
        <v>52</v>
      </c>
      <c r="B1317" s="38">
        <v>44186</v>
      </c>
      <c r="C1317" s="38">
        <v>44195</v>
      </c>
      <c r="D1317" s="38">
        <v>44209</v>
      </c>
      <c r="E1317" s="37" t="s">
        <v>2987</v>
      </c>
      <c r="F1317" s="5">
        <v>10708</v>
      </c>
      <c r="G1317" s="5" t="s">
        <v>91</v>
      </c>
      <c r="H1317" s="5" t="s">
        <v>43</v>
      </c>
      <c r="I1317" s="5" t="s">
        <v>92</v>
      </c>
      <c r="J1317" s="21" t="s">
        <v>170</v>
      </c>
      <c r="K1317" s="21" t="s">
        <v>2966</v>
      </c>
      <c r="L1317" s="6" t="s">
        <v>2967</v>
      </c>
      <c r="M1317" s="5">
        <v>16</v>
      </c>
      <c r="N1317" s="5" t="s">
        <v>91</v>
      </c>
      <c r="O1317" s="5" t="s">
        <v>91</v>
      </c>
      <c r="P1317" s="5" t="s">
        <v>91</v>
      </c>
      <c r="Q1317" s="6" t="s">
        <v>2557</v>
      </c>
      <c r="R1317" s="6" t="s">
        <v>112</v>
      </c>
      <c r="S1317" s="6"/>
      <c r="T1317" s="6"/>
      <c r="U1317" s="5"/>
      <c r="V1317" s="6"/>
      <c r="W1317" s="6" t="s">
        <v>985</v>
      </c>
      <c r="X1317" s="6" t="s">
        <v>251</v>
      </c>
      <c r="Y1317" s="22"/>
      <c r="Z1317" s="6">
        <v>6.7</v>
      </c>
      <c r="AA1317" s="21"/>
      <c r="AB1317" s="23">
        <v>44125</v>
      </c>
      <c r="AC1317" s="21" t="s">
        <v>32</v>
      </c>
      <c r="AD1317" s="24">
        <v>46410.83</v>
      </c>
      <c r="AE1317" s="6" t="s">
        <v>31</v>
      </c>
      <c r="AF1317" s="6"/>
      <c r="AG1317" s="6" t="s">
        <v>3042</v>
      </c>
    </row>
    <row r="1318" spans="1:33" ht="15" customHeight="1" x14ac:dyDescent="0.25">
      <c r="A1318" s="5">
        <v>52</v>
      </c>
      <c r="B1318" s="38">
        <v>44186</v>
      </c>
      <c r="C1318" s="38">
        <v>44195</v>
      </c>
      <c r="D1318" s="38">
        <v>44209</v>
      </c>
      <c r="E1318" s="37" t="s">
        <v>2987</v>
      </c>
      <c r="F1318" s="5">
        <v>6758</v>
      </c>
      <c r="G1318" s="5" t="s">
        <v>91</v>
      </c>
      <c r="H1318" s="5" t="s">
        <v>43</v>
      </c>
      <c r="I1318" s="5" t="s">
        <v>92</v>
      </c>
      <c r="J1318" s="21" t="s">
        <v>191</v>
      </c>
      <c r="K1318" s="21" t="s">
        <v>2957</v>
      </c>
      <c r="L1318" s="6" t="s">
        <v>95</v>
      </c>
      <c r="M1318" s="5">
        <v>14</v>
      </c>
      <c r="N1318" s="5" t="s">
        <v>91</v>
      </c>
      <c r="O1318" s="5" t="s">
        <v>91</v>
      </c>
      <c r="P1318" s="5"/>
      <c r="Q1318" s="6"/>
      <c r="R1318" s="6" t="s">
        <v>194</v>
      </c>
      <c r="S1318" s="6"/>
      <c r="T1318" s="6"/>
      <c r="U1318" s="5"/>
      <c r="V1318" s="6"/>
      <c r="W1318" s="6" t="s">
        <v>2958</v>
      </c>
      <c r="X1318" s="6"/>
      <c r="Y1318" s="22"/>
      <c r="Z1318" s="6">
        <v>3</v>
      </c>
      <c r="AA1318" s="21"/>
      <c r="AB1318" s="23">
        <v>44127</v>
      </c>
      <c r="AC1318" s="21" t="s">
        <v>32</v>
      </c>
      <c r="AD1318" s="24">
        <v>6202.01</v>
      </c>
      <c r="AE1318" s="6" t="s">
        <v>31</v>
      </c>
      <c r="AF1318" s="6"/>
      <c r="AG1318" s="6" t="s">
        <v>3039</v>
      </c>
    </row>
    <row r="1319" spans="1:33" ht="15" customHeight="1" x14ac:dyDescent="0.25">
      <c r="A1319" s="5">
        <v>52</v>
      </c>
      <c r="B1319" s="38">
        <v>44186</v>
      </c>
      <c r="C1319" s="38">
        <v>44195</v>
      </c>
      <c r="D1319" s="38">
        <v>44209</v>
      </c>
      <c r="E1319" s="37" t="s">
        <v>2987</v>
      </c>
      <c r="F1319" s="5">
        <v>8807</v>
      </c>
      <c r="G1319" s="5" t="s">
        <v>91</v>
      </c>
      <c r="H1319" s="5" t="s">
        <v>40</v>
      </c>
      <c r="I1319" s="5" t="s">
        <v>92</v>
      </c>
      <c r="J1319" s="21" t="s">
        <v>147</v>
      </c>
      <c r="K1319" s="21" t="s">
        <v>2977</v>
      </c>
      <c r="L1319" s="6" t="s">
        <v>2978</v>
      </c>
      <c r="M1319" s="5">
        <v>19</v>
      </c>
      <c r="N1319" s="5"/>
      <c r="O1319" s="5"/>
      <c r="P1319" s="5"/>
      <c r="Q1319" s="6"/>
      <c r="R1319" s="6" t="s">
        <v>1506</v>
      </c>
      <c r="S1319" s="6" t="s">
        <v>2979</v>
      </c>
      <c r="T1319" s="6"/>
      <c r="U1319" s="5"/>
      <c r="V1319" s="6"/>
      <c r="W1319" s="6" t="s">
        <v>2980</v>
      </c>
      <c r="X1319" s="6" t="s">
        <v>2981</v>
      </c>
      <c r="Y1319" s="22"/>
      <c r="Z1319" s="6"/>
      <c r="AA1319" s="21" t="s">
        <v>2982</v>
      </c>
      <c r="AB1319" s="23">
        <v>44119</v>
      </c>
      <c r="AC1319" s="21" t="s">
        <v>32</v>
      </c>
      <c r="AD1319" s="24">
        <v>3351.51</v>
      </c>
      <c r="AE1319" s="6" t="s">
        <v>31</v>
      </c>
      <c r="AF1319" s="6"/>
      <c r="AG1319" s="6" t="s">
        <v>3039</v>
      </c>
    </row>
    <row r="1320" spans="1:33" ht="15" customHeight="1" x14ac:dyDescent="0.25">
      <c r="A1320" s="5">
        <v>52</v>
      </c>
      <c r="B1320" s="38">
        <v>44186</v>
      </c>
      <c r="C1320" s="38">
        <v>44195</v>
      </c>
      <c r="D1320" s="38">
        <v>44209</v>
      </c>
      <c r="E1320" s="37" t="s">
        <v>2987</v>
      </c>
      <c r="F1320" s="5">
        <v>10005</v>
      </c>
      <c r="G1320" s="5"/>
      <c r="H1320" s="5"/>
      <c r="I1320" s="5"/>
      <c r="J1320" s="21" t="s">
        <v>147</v>
      </c>
      <c r="K1320" s="21" t="s">
        <v>3043</v>
      </c>
      <c r="L1320" s="6"/>
      <c r="M1320" s="5"/>
      <c r="N1320" s="5"/>
      <c r="O1320" s="5"/>
      <c r="P1320" s="5"/>
      <c r="Q1320" s="6" t="s">
        <v>3024</v>
      </c>
      <c r="R1320" s="6" t="s">
        <v>3005</v>
      </c>
      <c r="S1320" s="6" t="s">
        <v>3005</v>
      </c>
      <c r="T1320" s="6"/>
      <c r="U1320" s="5" t="s">
        <v>3035</v>
      </c>
      <c r="V1320" s="6"/>
      <c r="W1320" s="6"/>
      <c r="X1320" s="6"/>
      <c r="Y1320" s="22"/>
      <c r="Z1320" s="6"/>
      <c r="AA1320" s="21"/>
      <c r="AB1320" s="23">
        <v>44172</v>
      </c>
      <c r="AC1320" s="21" t="s">
        <v>32</v>
      </c>
      <c r="AD1320" s="24"/>
      <c r="AE1320" s="6" t="s">
        <v>35</v>
      </c>
      <c r="AF1320" s="6"/>
      <c r="AG1320" s="6"/>
    </row>
    <row r="1321" spans="1:33" ht="15" customHeight="1" x14ac:dyDescent="0.25">
      <c r="A1321" s="5">
        <v>52</v>
      </c>
      <c r="B1321" s="38">
        <v>44186</v>
      </c>
      <c r="C1321" s="38">
        <v>44195</v>
      </c>
      <c r="D1321" s="38">
        <v>44209</v>
      </c>
      <c r="E1321" s="37" t="s">
        <v>2987</v>
      </c>
      <c r="F1321" s="5">
        <v>10006</v>
      </c>
      <c r="G1321" s="5"/>
      <c r="H1321" s="5"/>
      <c r="I1321" s="5"/>
      <c r="J1321" s="21" t="s">
        <v>147</v>
      </c>
      <c r="K1321" s="21" t="s">
        <v>3044</v>
      </c>
      <c r="L1321" s="6"/>
      <c r="M1321" s="5">
        <v>10</v>
      </c>
      <c r="N1321" s="5"/>
      <c r="O1321" s="5"/>
      <c r="P1321" s="5"/>
      <c r="Q1321" s="6" t="s">
        <v>3024</v>
      </c>
      <c r="R1321" s="6" t="s">
        <v>3005</v>
      </c>
      <c r="S1321" s="6" t="s">
        <v>3005</v>
      </c>
      <c r="T1321" s="6"/>
      <c r="U1321" s="5" t="s">
        <v>3035</v>
      </c>
      <c r="V1321" s="6"/>
      <c r="W1321" s="6"/>
      <c r="X1321" s="6"/>
      <c r="Y1321" s="22"/>
      <c r="Z1321" s="6"/>
      <c r="AA1321" s="21"/>
      <c r="AB1321" s="23">
        <v>44172</v>
      </c>
      <c r="AC1321" s="21" t="s">
        <v>32</v>
      </c>
      <c r="AD1321" s="24"/>
      <c r="AE1321" s="6" t="s">
        <v>35</v>
      </c>
      <c r="AF1321" s="6"/>
      <c r="AG1321" s="6"/>
    </row>
    <row r="1322" spans="1:33" ht="15" customHeight="1" x14ac:dyDescent="0.25">
      <c r="A1322" s="5">
        <v>52</v>
      </c>
      <c r="B1322" s="38">
        <v>44186</v>
      </c>
      <c r="C1322" s="38">
        <v>44195</v>
      </c>
      <c r="D1322" s="38">
        <v>44209</v>
      </c>
      <c r="E1322" s="37" t="s">
        <v>2987</v>
      </c>
      <c r="F1322" s="5">
        <v>10007</v>
      </c>
      <c r="G1322" s="5"/>
      <c r="H1322" s="5"/>
      <c r="I1322" s="5"/>
      <c r="J1322" s="21" t="s">
        <v>147</v>
      </c>
      <c r="K1322" s="21" t="s">
        <v>3045</v>
      </c>
      <c r="L1322" s="6" t="s">
        <v>3046</v>
      </c>
      <c r="M1322" s="5">
        <v>15</v>
      </c>
      <c r="N1322" s="5"/>
      <c r="O1322" s="5"/>
      <c r="P1322" s="5"/>
      <c r="Q1322" s="6" t="s">
        <v>3024</v>
      </c>
      <c r="R1322" s="6" t="s">
        <v>3005</v>
      </c>
      <c r="S1322" s="6" t="s">
        <v>3005</v>
      </c>
      <c r="T1322" s="6"/>
      <c r="U1322" s="5" t="s">
        <v>3035</v>
      </c>
      <c r="V1322" s="6"/>
      <c r="W1322" s="6"/>
      <c r="X1322" s="6"/>
      <c r="Y1322" s="22"/>
      <c r="Z1322" s="6"/>
      <c r="AA1322" s="21"/>
      <c r="AB1322" s="23">
        <v>44172</v>
      </c>
      <c r="AC1322" s="21" t="s">
        <v>32</v>
      </c>
      <c r="AD1322" s="24"/>
      <c r="AE1322" s="6" t="s">
        <v>35</v>
      </c>
      <c r="AF1322" s="6"/>
      <c r="AG1322" s="6"/>
    </row>
    <row r="1323" spans="1:33" ht="15" customHeight="1" x14ac:dyDescent="0.25">
      <c r="A1323" s="5">
        <v>52</v>
      </c>
      <c r="B1323" s="38">
        <v>44186</v>
      </c>
      <c r="C1323" s="38">
        <v>44195</v>
      </c>
      <c r="D1323" s="38">
        <v>44209</v>
      </c>
      <c r="E1323" s="37" t="s">
        <v>2987</v>
      </c>
      <c r="F1323" s="5">
        <v>9720</v>
      </c>
      <c r="G1323" s="5" t="s">
        <v>91</v>
      </c>
      <c r="H1323" s="5" t="s">
        <v>40</v>
      </c>
      <c r="I1323" s="5" t="s">
        <v>92</v>
      </c>
      <c r="J1323" s="21" t="s">
        <v>159</v>
      </c>
      <c r="K1323" s="21">
        <v>258488</v>
      </c>
      <c r="L1323" s="6" t="s">
        <v>152</v>
      </c>
      <c r="M1323" s="5">
        <v>1</v>
      </c>
      <c r="N1323" s="5" t="s">
        <v>91</v>
      </c>
      <c r="O1323" s="5"/>
      <c r="P1323" s="5"/>
      <c r="Q1323" s="6"/>
      <c r="R1323" s="6" t="s">
        <v>163</v>
      </c>
      <c r="S1323" s="6"/>
      <c r="T1323" s="6"/>
      <c r="U1323" s="5"/>
      <c r="V1323" s="6" t="s">
        <v>164</v>
      </c>
      <c r="W1323" s="6" t="s">
        <v>2985</v>
      </c>
      <c r="X1323" s="6"/>
      <c r="Y1323" s="22"/>
      <c r="Z1323" s="6"/>
      <c r="AA1323" s="21"/>
      <c r="AB1323" s="23">
        <v>44131</v>
      </c>
      <c r="AC1323" s="21" t="s">
        <v>32</v>
      </c>
      <c r="AD1323" s="24">
        <v>2460.59</v>
      </c>
      <c r="AE1323" s="6" t="s">
        <v>38</v>
      </c>
      <c r="AF1323" s="6"/>
      <c r="AG1323" s="6" t="s">
        <v>3041</v>
      </c>
    </row>
    <row r="1324" spans="1:33" ht="7.5" customHeight="1" x14ac:dyDescent="0.25">
      <c r="A1324" s="27"/>
      <c r="B1324" s="39"/>
      <c r="C1324" s="39"/>
      <c r="D1324" s="39"/>
      <c r="E1324" s="28"/>
      <c r="F1324" s="27"/>
      <c r="G1324" s="27"/>
      <c r="H1324" s="27"/>
      <c r="I1324" s="27"/>
      <c r="J1324" s="30"/>
      <c r="K1324" s="30"/>
      <c r="L1324" s="29"/>
      <c r="M1324" s="27"/>
      <c r="N1324" s="27"/>
      <c r="O1324" s="27"/>
      <c r="P1324" s="27"/>
      <c r="Q1324" s="29"/>
      <c r="R1324" s="29"/>
      <c r="S1324" s="29"/>
      <c r="T1324" s="29"/>
      <c r="U1324" s="27"/>
      <c r="V1324" s="29"/>
      <c r="W1324" s="29"/>
      <c r="X1324" s="29"/>
      <c r="Y1324" s="31"/>
      <c r="Z1324" s="29"/>
      <c r="AA1324" s="30"/>
      <c r="AB1324" s="32"/>
      <c r="AC1324" s="30"/>
      <c r="AD1324" s="33"/>
      <c r="AE1324" s="29"/>
      <c r="AF1324" s="29"/>
      <c r="AG1324" s="29"/>
    </row>
    <row r="1325" spans="1:33" ht="15" customHeight="1" x14ac:dyDescent="0.25">
      <c r="A1325" s="5">
        <v>52</v>
      </c>
      <c r="B1325" s="38">
        <v>44187</v>
      </c>
      <c r="C1325" s="38">
        <v>44196</v>
      </c>
      <c r="D1325" s="38">
        <v>44210</v>
      </c>
      <c r="E1325" s="37" t="s">
        <v>443</v>
      </c>
      <c r="F1325" s="5">
        <v>10009</v>
      </c>
      <c r="G1325" s="5"/>
      <c r="H1325" s="5"/>
      <c r="I1325" s="5"/>
      <c r="J1325" s="21" t="s">
        <v>147</v>
      </c>
      <c r="K1325" s="21" t="s">
        <v>3048</v>
      </c>
      <c r="L1325" s="6"/>
      <c r="M1325" s="5"/>
      <c r="N1325" s="5"/>
      <c r="O1325" s="5"/>
      <c r="P1325" s="5"/>
      <c r="Q1325" s="6" t="s">
        <v>3024</v>
      </c>
      <c r="R1325" s="6" t="s">
        <v>3005</v>
      </c>
      <c r="S1325" s="6" t="s">
        <v>3005</v>
      </c>
      <c r="T1325" s="6"/>
      <c r="U1325" s="5" t="s">
        <v>3035</v>
      </c>
      <c r="V1325" s="6"/>
      <c r="W1325" s="6"/>
      <c r="X1325" s="6"/>
      <c r="Y1325" s="22"/>
      <c r="Z1325" s="6"/>
      <c r="AA1325" s="21"/>
      <c r="AB1325" s="23">
        <v>44173</v>
      </c>
      <c r="AC1325" s="21" t="s">
        <v>32</v>
      </c>
      <c r="AD1325" s="24"/>
      <c r="AE1325" s="6" t="s">
        <v>35</v>
      </c>
      <c r="AF1325" s="6"/>
      <c r="AG1325" s="6"/>
    </row>
    <row r="1326" spans="1:33" ht="15" customHeight="1" x14ac:dyDescent="0.25">
      <c r="A1326" s="5">
        <v>52</v>
      </c>
      <c r="B1326" s="38">
        <v>44187</v>
      </c>
      <c r="C1326" s="38">
        <v>44196</v>
      </c>
      <c r="D1326" s="38">
        <v>44210</v>
      </c>
      <c r="E1326" s="37" t="s">
        <v>443</v>
      </c>
      <c r="F1326" s="5">
        <v>10010</v>
      </c>
      <c r="G1326" s="5"/>
      <c r="H1326" s="5"/>
      <c r="I1326" s="5"/>
      <c r="J1326" s="21" t="s">
        <v>147</v>
      </c>
      <c r="K1326" s="21" t="s">
        <v>3049</v>
      </c>
      <c r="L1326" s="6"/>
      <c r="M1326" s="5"/>
      <c r="N1326" s="5"/>
      <c r="O1326" s="5"/>
      <c r="P1326" s="5"/>
      <c r="Q1326" s="6" t="s">
        <v>3024</v>
      </c>
      <c r="R1326" s="6" t="s">
        <v>3005</v>
      </c>
      <c r="S1326" s="6" t="s">
        <v>3005</v>
      </c>
      <c r="T1326" s="6"/>
      <c r="U1326" s="5" t="s">
        <v>3035</v>
      </c>
      <c r="V1326" s="6"/>
      <c r="W1326" s="6"/>
      <c r="X1326" s="6"/>
      <c r="Y1326" s="22"/>
      <c r="Z1326" s="6"/>
      <c r="AA1326" s="21"/>
      <c r="AB1326" s="23">
        <v>44173</v>
      </c>
      <c r="AC1326" s="21" t="s">
        <v>32</v>
      </c>
      <c r="AD1326" s="24"/>
      <c r="AE1326" s="6" t="s">
        <v>35</v>
      </c>
      <c r="AF1326" s="6"/>
      <c r="AG1326" s="6"/>
    </row>
    <row r="1327" spans="1:33" ht="15" customHeight="1" x14ac:dyDescent="0.25">
      <c r="A1327" s="5">
        <v>52</v>
      </c>
      <c r="B1327" s="38">
        <v>44187</v>
      </c>
      <c r="C1327" s="38">
        <v>44196</v>
      </c>
      <c r="D1327" s="38">
        <v>44210</v>
      </c>
      <c r="E1327" s="37" t="s">
        <v>443</v>
      </c>
      <c r="F1327" s="5">
        <v>10011</v>
      </c>
      <c r="G1327" s="5"/>
      <c r="H1327" s="5"/>
      <c r="I1327" s="5"/>
      <c r="J1327" s="21" t="s">
        <v>147</v>
      </c>
      <c r="K1327" s="21" t="s">
        <v>3050</v>
      </c>
      <c r="L1327" s="6"/>
      <c r="M1327" s="5"/>
      <c r="N1327" s="5"/>
      <c r="O1327" s="5"/>
      <c r="P1327" s="5"/>
      <c r="Q1327" s="6" t="s">
        <v>3024</v>
      </c>
      <c r="R1327" s="6" t="s">
        <v>3005</v>
      </c>
      <c r="S1327" s="6" t="s">
        <v>3005</v>
      </c>
      <c r="T1327" s="6"/>
      <c r="U1327" s="5" t="s">
        <v>3035</v>
      </c>
      <c r="V1327" s="6"/>
      <c r="W1327" s="6"/>
      <c r="X1327" s="6"/>
      <c r="Y1327" s="22"/>
      <c r="Z1327" s="6"/>
      <c r="AA1327" s="21"/>
      <c r="AB1327" s="23">
        <v>44173</v>
      </c>
      <c r="AC1327" s="21" t="s">
        <v>32</v>
      </c>
      <c r="AD1327" s="24"/>
      <c r="AE1327" s="6" t="s">
        <v>35</v>
      </c>
      <c r="AF1327" s="6"/>
      <c r="AG1327" s="6"/>
    </row>
    <row r="1328" spans="1:33" ht="15" customHeight="1" x14ac:dyDescent="0.25">
      <c r="A1328" s="5">
        <v>52</v>
      </c>
      <c r="B1328" s="38">
        <v>44187</v>
      </c>
      <c r="C1328" s="38">
        <v>44196</v>
      </c>
      <c r="D1328" s="38">
        <v>44210</v>
      </c>
      <c r="E1328" s="37" t="s">
        <v>443</v>
      </c>
      <c r="F1328" s="5">
        <v>10012</v>
      </c>
      <c r="G1328" s="5"/>
      <c r="H1328" s="5"/>
      <c r="I1328" s="5"/>
      <c r="J1328" s="21" t="s">
        <v>147</v>
      </c>
      <c r="K1328" s="21" t="s">
        <v>3051</v>
      </c>
      <c r="L1328" s="6"/>
      <c r="M1328" s="5"/>
      <c r="N1328" s="5"/>
      <c r="O1328" s="5"/>
      <c r="P1328" s="5"/>
      <c r="Q1328" s="6" t="s">
        <v>3024</v>
      </c>
      <c r="R1328" s="6" t="s">
        <v>3005</v>
      </c>
      <c r="S1328" s="6" t="s">
        <v>3005</v>
      </c>
      <c r="T1328" s="6"/>
      <c r="U1328" s="5" t="s">
        <v>3035</v>
      </c>
      <c r="V1328" s="6"/>
      <c r="W1328" s="6"/>
      <c r="X1328" s="6"/>
      <c r="Y1328" s="22"/>
      <c r="Z1328" s="6"/>
      <c r="AA1328" s="21"/>
      <c r="AB1328" s="23">
        <v>44173</v>
      </c>
      <c r="AC1328" s="21" t="s">
        <v>32</v>
      </c>
      <c r="AD1328" s="24"/>
      <c r="AE1328" s="6" t="s">
        <v>35</v>
      </c>
      <c r="AF1328" s="6"/>
      <c r="AG1328" s="6"/>
    </row>
    <row r="1329" spans="1:33" ht="15" customHeight="1" x14ac:dyDescent="0.25">
      <c r="A1329" s="5">
        <v>52</v>
      </c>
      <c r="B1329" s="38">
        <v>44187</v>
      </c>
      <c r="C1329" s="38">
        <v>44196</v>
      </c>
      <c r="D1329" s="38">
        <v>44210</v>
      </c>
      <c r="E1329" s="37" t="s">
        <v>443</v>
      </c>
      <c r="F1329" s="5">
        <v>10015</v>
      </c>
      <c r="G1329" s="5"/>
      <c r="H1329" s="5"/>
      <c r="I1329" s="5"/>
      <c r="J1329" s="21" t="s">
        <v>147</v>
      </c>
      <c r="K1329" s="21" t="s">
        <v>3052</v>
      </c>
      <c r="L1329" s="6"/>
      <c r="M1329" s="5"/>
      <c r="N1329" s="5"/>
      <c r="O1329" s="5"/>
      <c r="P1329" s="5"/>
      <c r="Q1329" s="6" t="s">
        <v>3024</v>
      </c>
      <c r="R1329" s="6" t="s">
        <v>3005</v>
      </c>
      <c r="S1329" s="6" t="s">
        <v>3005</v>
      </c>
      <c r="T1329" s="6"/>
      <c r="U1329" s="5" t="s">
        <v>3035</v>
      </c>
      <c r="V1329" s="6"/>
      <c r="W1329" s="6"/>
      <c r="X1329" s="6"/>
      <c r="Y1329" s="22"/>
      <c r="Z1329" s="6"/>
      <c r="AA1329" s="21"/>
      <c r="AB1329" s="23">
        <v>44173</v>
      </c>
      <c r="AC1329" s="21" t="s">
        <v>32</v>
      </c>
      <c r="AD1329" s="24"/>
      <c r="AE1329" s="6" t="s">
        <v>35</v>
      </c>
      <c r="AF1329" s="6"/>
      <c r="AG1329" s="6"/>
    </row>
    <row r="1330" spans="1:33" ht="15" customHeight="1" x14ac:dyDescent="0.25">
      <c r="A1330" s="5">
        <v>52</v>
      </c>
      <c r="B1330" s="38">
        <v>44187</v>
      </c>
      <c r="C1330" s="38">
        <v>44196</v>
      </c>
      <c r="D1330" s="38">
        <v>44210</v>
      </c>
      <c r="E1330" s="37" t="s">
        <v>443</v>
      </c>
      <c r="F1330" s="5">
        <v>10017</v>
      </c>
      <c r="G1330" s="5"/>
      <c r="H1330" s="5"/>
      <c r="I1330" s="5"/>
      <c r="J1330" s="21" t="s">
        <v>147</v>
      </c>
      <c r="K1330" s="21" t="s">
        <v>3053</v>
      </c>
      <c r="L1330" s="6"/>
      <c r="M1330" s="5"/>
      <c r="N1330" s="5"/>
      <c r="O1330" s="5"/>
      <c r="P1330" s="5"/>
      <c r="Q1330" s="6" t="s">
        <v>3024</v>
      </c>
      <c r="R1330" s="6" t="s">
        <v>3005</v>
      </c>
      <c r="S1330" s="6" t="s">
        <v>3005</v>
      </c>
      <c r="T1330" s="6"/>
      <c r="U1330" s="5" t="s">
        <v>3035</v>
      </c>
      <c r="V1330" s="6"/>
      <c r="W1330" s="6"/>
      <c r="X1330" s="6"/>
      <c r="Y1330" s="22"/>
      <c r="Z1330" s="6"/>
      <c r="AA1330" s="21"/>
      <c r="AB1330" s="23">
        <v>44173</v>
      </c>
      <c r="AC1330" s="21" t="s">
        <v>32</v>
      </c>
      <c r="AD1330" s="24"/>
      <c r="AE1330" s="6" t="s">
        <v>35</v>
      </c>
      <c r="AF1330" s="6"/>
      <c r="AG1330" s="6"/>
    </row>
    <row r="1331" spans="1:33" ht="7.5" customHeight="1" x14ac:dyDescent="0.25">
      <c r="A1331" s="27"/>
      <c r="B1331" s="39"/>
      <c r="C1331" s="39"/>
      <c r="D1331" s="39"/>
      <c r="E1331" s="28"/>
      <c r="F1331" s="27"/>
      <c r="G1331" s="27"/>
      <c r="H1331" s="27"/>
      <c r="I1331" s="27"/>
      <c r="J1331" s="30"/>
      <c r="K1331" s="30"/>
      <c r="L1331" s="29"/>
      <c r="M1331" s="27"/>
      <c r="N1331" s="27"/>
      <c r="O1331" s="27"/>
      <c r="P1331" s="27"/>
      <c r="Q1331" s="29"/>
      <c r="R1331" s="29"/>
      <c r="S1331" s="29"/>
      <c r="T1331" s="29"/>
      <c r="U1331" s="27"/>
      <c r="V1331" s="29"/>
      <c r="W1331" s="29"/>
      <c r="X1331" s="29"/>
      <c r="Y1331" s="31"/>
      <c r="Z1331" s="29"/>
      <c r="AA1331" s="30"/>
      <c r="AB1331" s="32"/>
      <c r="AC1331" s="30"/>
      <c r="AD1331" s="33"/>
      <c r="AE1331" s="29"/>
      <c r="AF1331" s="29"/>
      <c r="AG1331" s="29"/>
    </row>
    <row r="1332" spans="1:33" ht="15" customHeight="1" x14ac:dyDescent="0.25">
      <c r="A1332" s="5">
        <v>53</v>
      </c>
      <c r="B1332" s="38">
        <v>44193</v>
      </c>
      <c r="C1332" s="38">
        <v>44209</v>
      </c>
      <c r="D1332" s="38">
        <v>44214</v>
      </c>
      <c r="E1332" s="34" t="s">
        <v>2987</v>
      </c>
      <c r="F1332" s="5">
        <v>5519</v>
      </c>
      <c r="G1332" s="5"/>
      <c r="H1332" s="5"/>
      <c r="I1332" s="5"/>
      <c r="J1332" s="21" t="s">
        <v>2998</v>
      </c>
      <c r="K1332" s="21" t="s">
        <v>574</v>
      </c>
      <c r="L1332" s="6" t="s">
        <v>575</v>
      </c>
      <c r="M1332" s="5">
        <v>30</v>
      </c>
      <c r="N1332" s="5"/>
      <c r="O1332" s="5"/>
      <c r="P1332" s="5"/>
      <c r="Q1332" s="6"/>
      <c r="R1332" s="6" t="s">
        <v>545</v>
      </c>
      <c r="S1332" s="6" t="s">
        <v>3003</v>
      </c>
      <c r="T1332" s="6"/>
      <c r="U1332" s="5"/>
      <c r="V1332" s="6"/>
      <c r="W1332" s="6" t="s">
        <v>183</v>
      </c>
      <c r="X1332" s="6"/>
      <c r="Y1332" s="22"/>
      <c r="Z1332" s="6"/>
      <c r="AA1332" s="21"/>
      <c r="AB1332" s="23">
        <v>43964</v>
      </c>
      <c r="AC1332" s="21" t="s">
        <v>30</v>
      </c>
      <c r="AD1332" s="24">
        <v>561.73</v>
      </c>
      <c r="AE1332" s="6" t="s">
        <v>38</v>
      </c>
      <c r="AF1332" s="6"/>
      <c r="AG1332" s="6" t="s">
        <v>3041</v>
      </c>
    </row>
    <row r="1333" spans="1:33" ht="15" customHeight="1" x14ac:dyDescent="0.25">
      <c r="A1333" s="5">
        <v>53</v>
      </c>
      <c r="B1333" s="38">
        <v>44193</v>
      </c>
      <c r="C1333" s="38">
        <v>44209</v>
      </c>
      <c r="D1333" s="38">
        <v>44214</v>
      </c>
      <c r="E1333" s="34" t="s">
        <v>2987</v>
      </c>
      <c r="F1333" s="5">
        <v>6756</v>
      </c>
      <c r="G1333" s="5" t="s">
        <v>91</v>
      </c>
      <c r="H1333" s="5" t="s">
        <v>40</v>
      </c>
      <c r="I1333" s="5" t="s">
        <v>92</v>
      </c>
      <c r="J1333" s="21" t="s">
        <v>191</v>
      </c>
      <c r="K1333" s="21" t="s">
        <v>2955</v>
      </c>
      <c r="L1333" s="6" t="s">
        <v>2956</v>
      </c>
      <c r="M1333" s="5">
        <v>15</v>
      </c>
      <c r="N1333" s="5" t="s">
        <v>91</v>
      </c>
      <c r="O1333" s="5" t="s">
        <v>91</v>
      </c>
      <c r="P1333" s="5"/>
      <c r="Q1333" s="6"/>
      <c r="R1333" s="6" t="s">
        <v>194</v>
      </c>
      <c r="S1333" s="6" t="s">
        <v>3005</v>
      </c>
      <c r="T1333" s="6"/>
      <c r="U1333" s="5"/>
      <c r="V1333" s="6"/>
      <c r="W1333" s="6" t="s">
        <v>672</v>
      </c>
      <c r="X1333" s="6"/>
      <c r="Y1333" s="22"/>
      <c r="Z1333" s="6">
        <v>3</v>
      </c>
      <c r="AA1333" s="21"/>
      <c r="AB1333" s="23">
        <v>44124</v>
      </c>
      <c r="AC1333" s="21" t="s">
        <v>30</v>
      </c>
      <c r="AD1333" s="24" t="s">
        <v>2585</v>
      </c>
      <c r="AE1333" s="6" t="s">
        <v>35</v>
      </c>
      <c r="AF1333" s="6"/>
      <c r="AG1333" s="6" t="s">
        <v>3042</v>
      </c>
    </row>
    <row r="1334" spans="1:33" ht="7.5" customHeight="1" x14ac:dyDescent="0.25">
      <c r="A1334" s="27"/>
      <c r="B1334" s="39"/>
      <c r="C1334" s="39"/>
      <c r="D1334" s="39"/>
      <c r="E1334" s="28"/>
      <c r="F1334" s="27"/>
      <c r="G1334" s="27"/>
      <c r="H1334" s="27"/>
      <c r="I1334" s="27"/>
      <c r="J1334" s="30"/>
      <c r="K1334" s="30"/>
      <c r="L1334" s="29"/>
      <c r="M1334" s="27"/>
      <c r="N1334" s="27"/>
      <c r="O1334" s="27"/>
      <c r="P1334" s="27"/>
      <c r="Q1334" s="29"/>
      <c r="R1334" s="29"/>
      <c r="S1334" s="29"/>
      <c r="T1334" s="29"/>
      <c r="U1334" s="27"/>
      <c r="V1334" s="29"/>
      <c r="W1334" s="29"/>
      <c r="X1334" s="29"/>
      <c r="Y1334" s="31"/>
      <c r="Z1334" s="29"/>
      <c r="AA1334" s="30"/>
      <c r="AB1334" s="32"/>
      <c r="AC1334" s="30"/>
      <c r="AD1334" s="33"/>
      <c r="AE1334" s="29"/>
      <c r="AF1334" s="29"/>
      <c r="AG1334" s="29"/>
    </row>
    <row r="1335" spans="1:33" ht="15" customHeight="1" x14ac:dyDescent="0.25">
      <c r="A1335" s="5">
        <v>53</v>
      </c>
      <c r="B1335" s="38">
        <v>44194</v>
      </c>
      <c r="C1335" s="38">
        <v>44210</v>
      </c>
      <c r="D1335" s="38">
        <v>44215</v>
      </c>
      <c r="E1335" s="34" t="s">
        <v>443</v>
      </c>
      <c r="F1335" s="5">
        <v>7817</v>
      </c>
      <c r="G1335" s="5" t="s">
        <v>91</v>
      </c>
      <c r="H1335" s="5" t="s">
        <v>41</v>
      </c>
      <c r="I1335" s="5" t="s">
        <v>92</v>
      </c>
      <c r="J1335" s="21" t="s">
        <v>214</v>
      </c>
      <c r="K1335" s="21" t="s">
        <v>2969</v>
      </c>
      <c r="L1335" s="6" t="s">
        <v>2970</v>
      </c>
      <c r="M1335" s="5">
        <v>13</v>
      </c>
      <c r="N1335" s="5" t="s">
        <v>91</v>
      </c>
      <c r="O1335" s="5" t="s">
        <v>91</v>
      </c>
      <c r="P1335" s="5"/>
      <c r="Q1335" s="6" t="s">
        <v>3025</v>
      </c>
      <c r="R1335" s="6" t="s">
        <v>217</v>
      </c>
      <c r="S1335" s="6" t="s">
        <v>3005</v>
      </c>
      <c r="T1335" s="6"/>
      <c r="U1335" s="5" t="s">
        <v>3035</v>
      </c>
      <c r="V1335" s="6"/>
      <c r="W1335" s="6" t="s">
        <v>2971</v>
      </c>
      <c r="X1335" s="6">
        <v>274843399</v>
      </c>
      <c r="Y1335" s="22"/>
      <c r="Z1335" s="6">
        <v>3.98</v>
      </c>
      <c r="AA1335" s="21" t="s">
        <v>2972</v>
      </c>
      <c r="AB1335" s="23">
        <v>44147</v>
      </c>
      <c r="AC1335" s="21" t="s">
        <v>30</v>
      </c>
      <c r="AD1335" s="24">
        <v>398.17</v>
      </c>
      <c r="AE1335" s="6" t="s">
        <v>36</v>
      </c>
      <c r="AF1335" s="6">
        <v>185968</v>
      </c>
      <c r="AG1335" s="6" t="s">
        <v>54</v>
      </c>
    </row>
    <row r="1336" spans="1:33" ht="15" customHeight="1" x14ac:dyDescent="0.25">
      <c r="A1336" s="5">
        <v>53</v>
      </c>
      <c r="B1336" s="38">
        <v>44194</v>
      </c>
      <c r="C1336" s="38">
        <v>44210</v>
      </c>
      <c r="D1336" s="38">
        <v>44215</v>
      </c>
      <c r="E1336" s="34" t="s">
        <v>443</v>
      </c>
      <c r="F1336" s="5">
        <v>7802</v>
      </c>
      <c r="G1336" s="5" t="s">
        <v>91</v>
      </c>
      <c r="H1336" s="5" t="s">
        <v>41</v>
      </c>
      <c r="I1336" s="5" t="s">
        <v>92</v>
      </c>
      <c r="J1336" s="21" t="s">
        <v>214</v>
      </c>
      <c r="K1336" s="21" t="s">
        <v>2973</v>
      </c>
      <c r="L1336" s="6" t="s">
        <v>2974</v>
      </c>
      <c r="M1336" s="5">
        <v>9</v>
      </c>
      <c r="N1336" s="5" t="s">
        <v>2975</v>
      </c>
      <c r="O1336" s="5"/>
      <c r="P1336" s="5"/>
      <c r="Q1336" s="6" t="s">
        <v>3026</v>
      </c>
      <c r="R1336" s="6" t="s">
        <v>223</v>
      </c>
      <c r="S1336" s="6" t="s">
        <v>3005</v>
      </c>
      <c r="T1336" s="6"/>
      <c r="U1336" s="5" t="s">
        <v>3035</v>
      </c>
      <c r="V1336" s="6"/>
      <c r="W1336" s="6" t="s">
        <v>624</v>
      </c>
      <c r="X1336" s="6"/>
      <c r="Y1336" s="22"/>
      <c r="Z1336" s="6">
        <v>2.7</v>
      </c>
      <c r="AA1336" s="21" t="s">
        <v>2976</v>
      </c>
      <c r="AB1336" s="23">
        <v>44134</v>
      </c>
      <c r="AC1336" s="21" t="s">
        <v>30</v>
      </c>
      <c r="AD1336" s="24">
        <v>5720.11</v>
      </c>
      <c r="AE1336" s="6" t="s">
        <v>36</v>
      </c>
      <c r="AF1336" s="6">
        <v>185966</v>
      </c>
      <c r="AG1336" s="6" t="s">
        <v>54</v>
      </c>
    </row>
    <row r="1337" spans="1:33" ht="15" customHeight="1" x14ac:dyDescent="0.25">
      <c r="A1337" s="27"/>
      <c r="B1337" s="39"/>
      <c r="C1337" s="39"/>
      <c r="D1337" s="39"/>
      <c r="E1337" s="28"/>
      <c r="F1337" s="27"/>
      <c r="G1337" s="27"/>
      <c r="H1337" s="27"/>
      <c r="I1337" s="27"/>
      <c r="J1337" s="30"/>
      <c r="K1337" s="30"/>
      <c r="L1337" s="29"/>
      <c r="M1337" s="27"/>
      <c r="N1337" s="27"/>
      <c r="O1337" s="27"/>
      <c r="P1337" s="27"/>
      <c r="Q1337" s="29"/>
      <c r="R1337" s="29"/>
      <c r="S1337" s="29"/>
      <c r="T1337" s="29"/>
      <c r="U1337" s="27"/>
      <c r="V1337" s="29"/>
      <c r="W1337" s="29"/>
      <c r="X1337" s="29"/>
      <c r="Y1337" s="31"/>
      <c r="Z1337" s="29"/>
      <c r="AA1337" s="30"/>
      <c r="AB1337" s="32"/>
      <c r="AC1337" s="30"/>
      <c r="AD1337" s="33"/>
      <c r="AE1337" s="29"/>
      <c r="AF1337" s="29"/>
      <c r="AG1337" s="29"/>
    </row>
    <row r="1338" spans="1:33" x14ac:dyDescent="0.25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</row>
    <row r="1339" spans="1:33" x14ac:dyDescent="0.25">
      <c r="B1339"/>
      <c r="Z1339"/>
    </row>
    <row r="1340" spans="1:33" x14ac:dyDescent="0.25">
      <c r="B1340"/>
      <c r="Z1340"/>
    </row>
    <row r="1341" spans="1:33" x14ac:dyDescent="0.25">
      <c r="B1341"/>
      <c r="Z1341"/>
    </row>
    <row r="1342" spans="1:33" x14ac:dyDescent="0.25">
      <c r="B1342"/>
      <c r="Z1342"/>
    </row>
    <row r="1343" spans="1:33" x14ac:dyDescent="0.25">
      <c r="B1343"/>
      <c r="Z1343"/>
    </row>
    <row r="1344" spans="1:33" x14ac:dyDescent="0.25">
      <c r="B1344"/>
      <c r="Z1344"/>
    </row>
    <row r="1345" spans="2:26" x14ac:dyDescent="0.25">
      <c r="B1345"/>
      <c r="Z1345"/>
    </row>
    <row r="1346" spans="2:26" x14ac:dyDescent="0.25">
      <c r="B1346"/>
      <c r="Z1346"/>
    </row>
    <row r="1347" spans="2:26" x14ac:dyDescent="0.25">
      <c r="B1347"/>
      <c r="Z1347"/>
    </row>
    <row r="1348" spans="2:26" x14ac:dyDescent="0.25">
      <c r="B1348"/>
      <c r="Z1348"/>
    </row>
    <row r="1349" spans="2:26" x14ac:dyDescent="0.25">
      <c r="B1349"/>
      <c r="Z1349"/>
    </row>
    <row r="1350" spans="2:26" x14ac:dyDescent="0.25">
      <c r="B1350"/>
      <c r="Z1350"/>
    </row>
    <row r="1351" spans="2:26" x14ac:dyDescent="0.25">
      <c r="B1351"/>
      <c r="Z1351"/>
    </row>
    <row r="1352" spans="2:26" x14ac:dyDescent="0.25">
      <c r="B1352"/>
      <c r="Z1352"/>
    </row>
    <row r="1353" spans="2:26" x14ac:dyDescent="0.25">
      <c r="B1353"/>
      <c r="Z1353"/>
    </row>
    <row r="1354" spans="2:26" x14ac:dyDescent="0.25">
      <c r="B1354"/>
      <c r="Z1354"/>
    </row>
    <row r="1355" spans="2:26" x14ac:dyDescent="0.25">
      <c r="B1355"/>
      <c r="Z1355"/>
    </row>
    <row r="1356" spans="2:26" x14ac:dyDescent="0.25">
      <c r="B1356"/>
      <c r="Z1356"/>
    </row>
    <row r="1357" spans="2:26" x14ac:dyDescent="0.25">
      <c r="B1357"/>
      <c r="Z1357"/>
    </row>
    <row r="1358" spans="2:26" x14ac:dyDescent="0.25">
      <c r="B1358"/>
      <c r="Z1358"/>
    </row>
    <row r="1359" spans="2:26" x14ac:dyDescent="0.25">
      <c r="B1359"/>
      <c r="Z1359"/>
    </row>
    <row r="1360" spans="2:26" x14ac:dyDescent="0.25">
      <c r="B1360"/>
      <c r="Z1360"/>
    </row>
    <row r="1361" spans="2:26" x14ac:dyDescent="0.25">
      <c r="B1361"/>
      <c r="Z1361"/>
    </row>
    <row r="1362" spans="2:26" x14ac:dyDescent="0.25">
      <c r="B1362"/>
      <c r="Z1362"/>
    </row>
    <row r="1363" spans="2:26" x14ac:dyDescent="0.25">
      <c r="B1363"/>
      <c r="Z1363"/>
    </row>
    <row r="1364" spans="2:26" x14ac:dyDescent="0.25">
      <c r="B1364"/>
      <c r="Z1364"/>
    </row>
    <row r="1365" spans="2:26" x14ac:dyDescent="0.25">
      <c r="B1365"/>
      <c r="Z1365"/>
    </row>
    <row r="1366" spans="2:26" x14ac:dyDescent="0.25">
      <c r="B1366"/>
      <c r="Z1366"/>
    </row>
    <row r="1367" spans="2:26" x14ac:dyDescent="0.25">
      <c r="B1367"/>
      <c r="Z1367"/>
    </row>
    <row r="1368" spans="2:26" x14ac:dyDescent="0.25">
      <c r="B1368"/>
      <c r="Z1368"/>
    </row>
    <row r="1369" spans="2:26" x14ac:dyDescent="0.25">
      <c r="B1369"/>
      <c r="Z1369"/>
    </row>
    <row r="1370" spans="2:26" x14ac:dyDescent="0.25">
      <c r="B1370"/>
      <c r="Z1370"/>
    </row>
    <row r="1371" spans="2:26" x14ac:dyDescent="0.25">
      <c r="B1371"/>
      <c r="Z1371"/>
    </row>
    <row r="1372" spans="2:26" x14ac:dyDescent="0.25">
      <c r="B1372"/>
      <c r="Z1372"/>
    </row>
    <row r="1373" spans="2:26" x14ac:dyDescent="0.25">
      <c r="B1373"/>
      <c r="Z1373"/>
    </row>
    <row r="1374" spans="2:26" x14ac:dyDescent="0.25">
      <c r="B1374"/>
      <c r="Z1374"/>
    </row>
    <row r="1375" spans="2:26" x14ac:dyDescent="0.25">
      <c r="B1375"/>
      <c r="Z1375"/>
    </row>
    <row r="1376" spans="2:26" x14ac:dyDescent="0.25">
      <c r="B1376"/>
      <c r="Z1376"/>
    </row>
    <row r="1377" spans="2:26" x14ac:dyDescent="0.25">
      <c r="B1377"/>
      <c r="Z1377"/>
    </row>
    <row r="1378" spans="2:26" x14ac:dyDescent="0.25">
      <c r="B1378"/>
      <c r="Z1378"/>
    </row>
    <row r="1379" spans="2:26" x14ac:dyDescent="0.25">
      <c r="B1379"/>
      <c r="Z1379"/>
    </row>
    <row r="1380" spans="2:26" x14ac:dyDescent="0.25">
      <c r="B1380"/>
      <c r="Z1380"/>
    </row>
    <row r="1381" spans="2:26" x14ac:dyDescent="0.25">
      <c r="B1381"/>
      <c r="Z1381"/>
    </row>
    <row r="1382" spans="2:26" x14ac:dyDescent="0.25">
      <c r="B1382"/>
      <c r="Z1382"/>
    </row>
    <row r="1383" spans="2:26" x14ac:dyDescent="0.25">
      <c r="B1383"/>
      <c r="Z1383"/>
    </row>
    <row r="1384" spans="2:26" x14ac:dyDescent="0.25">
      <c r="B1384"/>
      <c r="Z1384"/>
    </row>
    <row r="1385" spans="2:26" x14ac:dyDescent="0.25">
      <c r="B1385"/>
      <c r="Z1385"/>
    </row>
    <row r="1386" spans="2:26" x14ac:dyDescent="0.25">
      <c r="B1386"/>
      <c r="Z1386"/>
    </row>
    <row r="1387" spans="2:26" x14ac:dyDescent="0.25">
      <c r="B1387"/>
      <c r="Z1387"/>
    </row>
    <row r="1388" spans="2:26" x14ac:dyDescent="0.25">
      <c r="B1388"/>
      <c r="Z1388"/>
    </row>
    <row r="1389" spans="2:26" x14ac:dyDescent="0.25">
      <c r="B1389"/>
      <c r="Z1389"/>
    </row>
    <row r="1390" spans="2:26" x14ac:dyDescent="0.25">
      <c r="B1390"/>
      <c r="Z1390"/>
    </row>
    <row r="1391" spans="2:26" x14ac:dyDescent="0.25">
      <c r="B1391"/>
      <c r="Z1391"/>
    </row>
    <row r="1392" spans="2:26" x14ac:dyDescent="0.25">
      <c r="B1392"/>
      <c r="Z1392"/>
    </row>
    <row r="1393" spans="2:26" x14ac:dyDescent="0.25">
      <c r="B1393"/>
      <c r="Z1393"/>
    </row>
    <row r="1394" spans="2:26" x14ac:dyDescent="0.25">
      <c r="B1394"/>
      <c r="Z1394"/>
    </row>
    <row r="1395" spans="2:26" x14ac:dyDescent="0.25">
      <c r="B1395"/>
      <c r="Z1395"/>
    </row>
    <row r="1396" spans="2:26" x14ac:dyDescent="0.25">
      <c r="B1396"/>
      <c r="Z1396"/>
    </row>
    <row r="1397" spans="2:26" x14ac:dyDescent="0.25">
      <c r="B1397"/>
      <c r="Z1397"/>
    </row>
    <row r="1398" spans="2:26" x14ac:dyDescent="0.25">
      <c r="B1398"/>
      <c r="Z1398"/>
    </row>
    <row r="1399" spans="2:26" x14ac:dyDescent="0.25">
      <c r="B1399"/>
      <c r="Z1399"/>
    </row>
    <row r="1400" spans="2:26" x14ac:dyDescent="0.25">
      <c r="B1400"/>
      <c r="Z1400"/>
    </row>
    <row r="1401" spans="2:26" x14ac:dyDescent="0.25">
      <c r="B1401"/>
      <c r="Z1401"/>
    </row>
    <row r="1402" spans="2:26" x14ac:dyDescent="0.25">
      <c r="B1402"/>
      <c r="Z1402"/>
    </row>
    <row r="1403" spans="2:26" x14ac:dyDescent="0.25">
      <c r="B1403"/>
      <c r="Z1403"/>
    </row>
    <row r="1404" spans="2:26" x14ac:dyDescent="0.25">
      <c r="B1404"/>
      <c r="Z1404"/>
    </row>
    <row r="1405" spans="2:26" x14ac:dyDescent="0.25">
      <c r="B1405"/>
      <c r="Z1405"/>
    </row>
    <row r="1406" spans="2:26" x14ac:dyDescent="0.25">
      <c r="B1406"/>
      <c r="Z1406"/>
    </row>
    <row r="1407" spans="2:26" x14ac:dyDescent="0.25">
      <c r="B1407"/>
      <c r="Z1407"/>
    </row>
    <row r="1408" spans="2:26" x14ac:dyDescent="0.25">
      <c r="B1408"/>
      <c r="Z1408"/>
    </row>
    <row r="1409" spans="2:26" x14ac:dyDescent="0.25">
      <c r="B1409"/>
      <c r="Z1409"/>
    </row>
    <row r="1410" spans="2:26" x14ac:dyDescent="0.25">
      <c r="B1410"/>
      <c r="Z1410"/>
    </row>
    <row r="1411" spans="2:26" x14ac:dyDescent="0.25">
      <c r="B1411"/>
      <c r="Z1411"/>
    </row>
    <row r="1412" spans="2:26" x14ac:dyDescent="0.25">
      <c r="B1412"/>
      <c r="Z1412"/>
    </row>
    <row r="1413" spans="2:26" x14ac:dyDescent="0.25">
      <c r="B1413"/>
      <c r="Z1413"/>
    </row>
    <row r="1414" spans="2:26" x14ac:dyDescent="0.25">
      <c r="B1414"/>
      <c r="Z1414"/>
    </row>
    <row r="1415" spans="2:26" x14ac:dyDescent="0.25">
      <c r="B1415"/>
      <c r="Z1415"/>
    </row>
    <row r="1416" spans="2:26" x14ac:dyDescent="0.25">
      <c r="B1416"/>
      <c r="Z1416"/>
    </row>
    <row r="1417" spans="2:26" x14ac:dyDescent="0.25">
      <c r="B1417"/>
      <c r="Z1417"/>
    </row>
    <row r="1418" spans="2:26" x14ac:dyDescent="0.25">
      <c r="B1418"/>
      <c r="Z1418"/>
    </row>
    <row r="1419" spans="2:26" x14ac:dyDescent="0.25">
      <c r="B1419"/>
      <c r="Z1419"/>
    </row>
    <row r="1420" spans="2:26" x14ac:dyDescent="0.25">
      <c r="B1420"/>
      <c r="Z1420"/>
    </row>
    <row r="1421" spans="2:26" x14ac:dyDescent="0.25">
      <c r="B1421"/>
      <c r="Z1421"/>
    </row>
    <row r="1422" spans="2:26" x14ac:dyDescent="0.25">
      <c r="B1422"/>
      <c r="Z1422"/>
    </row>
    <row r="1423" spans="2:26" x14ac:dyDescent="0.25">
      <c r="B1423"/>
      <c r="Z1423"/>
    </row>
    <row r="1424" spans="2:26" x14ac:dyDescent="0.25">
      <c r="B1424"/>
      <c r="Z1424"/>
    </row>
    <row r="1425" spans="2:26" x14ac:dyDescent="0.25">
      <c r="B1425"/>
      <c r="Z1425"/>
    </row>
    <row r="1426" spans="2:26" x14ac:dyDescent="0.25">
      <c r="B1426"/>
      <c r="Z1426"/>
    </row>
    <row r="1427" spans="2:26" x14ac:dyDescent="0.25">
      <c r="B1427"/>
      <c r="Z1427"/>
    </row>
    <row r="1428" spans="2:26" x14ac:dyDescent="0.25">
      <c r="B1428"/>
      <c r="Z1428"/>
    </row>
    <row r="1429" spans="2:26" x14ac:dyDescent="0.25">
      <c r="B1429"/>
      <c r="Z1429"/>
    </row>
    <row r="1430" spans="2:26" x14ac:dyDescent="0.25">
      <c r="B1430"/>
      <c r="Z1430"/>
    </row>
    <row r="1431" spans="2:26" x14ac:dyDescent="0.25">
      <c r="B1431"/>
      <c r="Z1431"/>
    </row>
    <row r="1432" spans="2:26" x14ac:dyDescent="0.25">
      <c r="B1432"/>
      <c r="Z1432"/>
    </row>
    <row r="1433" spans="2:26" x14ac:dyDescent="0.25">
      <c r="B1433"/>
      <c r="Z1433"/>
    </row>
    <row r="1434" spans="2:26" x14ac:dyDescent="0.25">
      <c r="B1434"/>
      <c r="Z1434"/>
    </row>
    <row r="1435" spans="2:26" x14ac:dyDescent="0.25">
      <c r="B1435"/>
      <c r="Z1435"/>
    </row>
    <row r="1436" spans="2:26" x14ac:dyDescent="0.25">
      <c r="B1436"/>
      <c r="Z1436"/>
    </row>
    <row r="1437" spans="2:26" x14ac:dyDescent="0.25">
      <c r="B1437"/>
      <c r="Z1437"/>
    </row>
    <row r="1438" spans="2:26" x14ac:dyDescent="0.25">
      <c r="B1438"/>
      <c r="Z1438"/>
    </row>
    <row r="1439" spans="2:26" x14ac:dyDescent="0.25">
      <c r="B1439"/>
      <c r="Z1439"/>
    </row>
    <row r="1440" spans="2:26" x14ac:dyDescent="0.25">
      <c r="B1440"/>
      <c r="Z1440"/>
    </row>
    <row r="1441" spans="2:26" x14ac:dyDescent="0.25">
      <c r="B1441"/>
      <c r="Z1441"/>
    </row>
    <row r="1442" spans="2:26" x14ac:dyDescent="0.25">
      <c r="B1442"/>
      <c r="Z1442"/>
    </row>
    <row r="1443" spans="2:26" x14ac:dyDescent="0.25">
      <c r="B1443"/>
      <c r="Z1443"/>
    </row>
    <row r="1444" spans="2:26" x14ac:dyDescent="0.25">
      <c r="B1444"/>
      <c r="Z1444"/>
    </row>
    <row r="1445" spans="2:26" x14ac:dyDescent="0.25">
      <c r="B1445"/>
      <c r="Z1445"/>
    </row>
    <row r="1446" spans="2:26" x14ac:dyDescent="0.25">
      <c r="B1446"/>
      <c r="Z1446"/>
    </row>
    <row r="1447" spans="2:26" x14ac:dyDescent="0.25">
      <c r="B1447"/>
      <c r="Z1447"/>
    </row>
    <row r="1448" spans="2:26" x14ac:dyDescent="0.25">
      <c r="B1448"/>
      <c r="Z1448"/>
    </row>
    <row r="1449" spans="2:26" x14ac:dyDescent="0.25">
      <c r="B1449"/>
      <c r="Z1449"/>
    </row>
    <row r="1450" spans="2:26" x14ac:dyDescent="0.25">
      <c r="B1450"/>
      <c r="Z1450"/>
    </row>
    <row r="1451" spans="2:26" x14ac:dyDescent="0.25">
      <c r="B1451"/>
      <c r="Z1451"/>
    </row>
    <row r="1452" spans="2:26" x14ac:dyDescent="0.25">
      <c r="B1452"/>
      <c r="Z1452"/>
    </row>
    <row r="1453" spans="2:26" x14ac:dyDescent="0.25">
      <c r="B1453"/>
      <c r="Z1453"/>
    </row>
    <row r="1454" spans="2:26" x14ac:dyDescent="0.25">
      <c r="B1454"/>
      <c r="Z1454"/>
    </row>
    <row r="1455" spans="2:26" x14ac:dyDescent="0.25">
      <c r="B1455"/>
      <c r="Z1455"/>
    </row>
    <row r="1456" spans="2:26" x14ac:dyDescent="0.25">
      <c r="B1456"/>
      <c r="Z1456"/>
    </row>
    <row r="1457" spans="2:26" x14ac:dyDescent="0.25">
      <c r="B1457"/>
      <c r="Z1457"/>
    </row>
    <row r="1458" spans="2:26" x14ac:dyDescent="0.25">
      <c r="B1458"/>
      <c r="Z1458"/>
    </row>
    <row r="1459" spans="2:26" x14ac:dyDescent="0.25">
      <c r="B1459"/>
      <c r="Z1459"/>
    </row>
    <row r="1460" spans="2:26" x14ac:dyDescent="0.25">
      <c r="B1460"/>
      <c r="Z1460"/>
    </row>
    <row r="1461" spans="2:26" x14ac:dyDescent="0.25">
      <c r="B1461"/>
      <c r="Z1461"/>
    </row>
    <row r="1462" spans="2:26" x14ac:dyDescent="0.25">
      <c r="B1462"/>
      <c r="Z1462"/>
    </row>
    <row r="1463" spans="2:26" x14ac:dyDescent="0.25">
      <c r="B1463"/>
      <c r="Z1463"/>
    </row>
    <row r="1464" spans="2:26" x14ac:dyDescent="0.25">
      <c r="B1464"/>
      <c r="Z1464"/>
    </row>
    <row r="1465" spans="2:26" x14ac:dyDescent="0.25">
      <c r="B1465"/>
      <c r="Z1465"/>
    </row>
    <row r="1466" spans="2:26" x14ac:dyDescent="0.25">
      <c r="B1466"/>
      <c r="Z1466"/>
    </row>
    <row r="1467" spans="2:26" x14ac:dyDescent="0.25">
      <c r="B1467"/>
      <c r="Z1467"/>
    </row>
    <row r="1468" spans="2:26" x14ac:dyDescent="0.25">
      <c r="B1468"/>
      <c r="Z1468"/>
    </row>
    <row r="1469" spans="2:26" x14ac:dyDescent="0.25">
      <c r="B1469"/>
      <c r="Z1469"/>
    </row>
    <row r="1470" spans="2:26" x14ac:dyDescent="0.25">
      <c r="B1470"/>
      <c r="Z1470"/>
    </row>
    <row r="1471" spans="2:26" x14ac:dyDescent="0.25">
      <c r="B1471"/>
      <c r="Z1471"/>
    </row>
    <row r="1472" spans="2:26" x14ac:dyDescent="0.25">
      <c r="B1472"/>
      <c r="Z1472"/>
    </row>
    <row r="1473" spans="2:26" x14ac:dyDescent="0.25">
      <c r="B1473"/>
      <c r="Z1473"/>
    </row>
    <row r="1474" spans="2:26" x14ac:dyDescent="0.25">
      <c r="B1474"/>
      <c r="Z1474"/>
    </row>
    <row r="1475" spans="2:26" x14ac:dyDescent="0.25">
      <c r="B1475"/>
      <c r="Z1475"/>
    </row>
    <row r="1476" spans="2:26" x14ac:dyDescent="0.25">
      <c r="B1476"/>
      <c r="Z1476"/>
    </row>
    <row r="1477" spans="2:26" x14ac:dyDescent="0.25">
      <c r="B1477"/>
      <c r="Z1477"/>
    </row>
    <row r="1478" spans="2:26" x14ac:dyDescent="0.25">
      <c r="B1478"/>
      <c r="Z1478"/>
    </row>
    <row r="1479" spans="2:26" x14ac:dyDescent="0.25">
      <c r="B1479"/>
      <c r="Z1479"/>
    </row>
    <row r="1480" spans="2:26" x14ac:dyDescent="0.25">
      <c r="B1480"/>
      <c r="Z1480"/>
    </row>
    <row r="1481" spans="2:26" x14ac:dyDescent="0.25">
      <c r="B1481"/>
      <c r="Z1481"/>
    </row>
    <row r="1482" spans="2:26" x14ac:dyDescent="0.25">
      <c r="B1482"/>
      <c r="Z1482"/>
    </row>
    <row r="1483" spans="2:26" x14ac:dyDescent="0.25">
      <c r="B1483"/>
      <c r="Z1483"/>
    </row>
    <row r="1484" spans="2:26" x14ac:dyDescent="0.25">
      <c r="B1484"/>
      <c r="Z1484"/>
    </row>
    <row r="1485" spans="2:26" x14ac:dyDescent="0.25">
      <c r="B1485"/>
      <c r="Z1485"/>
    </row>
    <row r="1486" spans="2:26" x14ac:dyDescent="0.25">
      <c r="B1486"/>
      <c r="Z1486"/>
    </row>
    <row r="1487" spans="2:26" x14ac:dyDescent="0.25">
      <c r="B1487"/>
      <c r="Z1487"/>
    </row>
    <row r="1488" spans="2:26" x14ac:dyDescent="0.25">
      <c r="B1488"/>
      <c r="Z1488"/>
    </row>
    <row r="1489" spans="2:26" x14ac:dyDescent="0.25">
      <c r="B1489"/>
      <c r="Z1489"/>
    </row>
    <row r="1490" spans="2:26" x14ac:dyDescent="0.25">
      <c r="B1490"/>
      <c r="Z1490"/>
    </row>
    <row r="1491" spans="2:26" x14ac:dyDescent="0.25">
      <c r="B1491"/>
      <c r="Z1491"/>
    </row>
    <row r="1492" spans="2:26" x14ac:dyDescent="0.25">
      <c r="B1492"/>
      <c r="Z1492"/>
    </row>
    <row r="1493" spans="2:26" x14ac:dyDescent="0.25">
      <c r="B1493"/>
      <c r="Z1493"/>
    </row>
    <row r="1494" spans="2:26" x14ac:dyDescent="0.25">
      <c r="B1494"/>
      <c r="Z1494"/>
    </row>
    <row r="1495" spans="2:26" x14ac:dyDescent="0.25">
      <c r="B1495"/>
      <c r="Z1495"/>
    </row>
    <row r="1496" spans="2:26" x14ac:dyDescent="0.25">
      <c r="B1496"/>
      <c r="Z1496"/>
    </row>
    <row r="1497" spans="2:26" x14ac:dyDescent="0.25">
      <c r="B1497"/>
      <c r="Z1497"/>
    </row>
    <row r="1498" spans="2:26" x14ac:dyDescent="0.25">
      <c r="B1498"/>
      <c r="Z1498"/>
    </row>
    <row r="1499" spans="2:26" x14ac:dyDescent="0.25">
      <c r="B1499"/>
      <c r="Z1499"/>
    </row>
    <row r="1500" spans="2:26" x14ac:dyDescent="0.25">
      <c r="B1500"/>
      <c r="Z1500"/>
    </row>
    <row r="1501" spans="2:26" x14ac:dyDescent="0.25">
      <c r="B1501"/>
      <c r="Z1501"/>
    </row>
    <row r="1502" spans="2:26" x14ac:dyDescent="0.25">
      <c r="B1502"/>
      <c r="Z1502"/>
    </row>
    <row r="1503" spans="2:26" x14ac:dyDescent="0.25">
      <c r="B1503"/>
      <c r="Z1503"/>
    </row>
    <row r="1504" spans="2:26" x14ac:dyDescent="0.25">
      <c r="B1504"/>
      <c r="Z1504"/>
    </row>
    <row r="1505" spans="2:26" x14ac:dyDescent="0.25">
      <c r="B1505"/>
      <c r="Z1505"/>
    </row>
    <row r="1506" spans="2:26" x14ac:dyDescent="0.25">
      <c r="B1506"/>
      <c r="Z1506"/>
    </row>
    <row r="1507" spans="2:26" x14ac:dyDescent="0.25">
      <c r="B1507"/>
      <c r="Z1507"/>
    </row>
    <row r="1508" spans="2:26" x14ac:dyDescent="0.25">
      <c r="B1508"/>
      <c r="Z1508"/>
    </row>
    <row r="1509" spans="2:26" x14ac:dyDescent="0.25">
      <c r="B1509"/>
      <c r="Z1509"/>
    </row>
    <row r="1510" spans="2:26" x14ac:dyDescent="0.25">
      <c r="B1510"/>
      <c r="Z1510"/>
    </row>
    <row r="1511" spans="2:26" x14ac:dyDescent="0.25">
      <c r="B1511"/>
      <c r="Z1511"/>
    </row>
    <row r="1512" spans="2:26" x14ac:dyDescent="0.25">
      <c r="B1512"/>
      <c r="Z1512"/>
    </row>
    <row r="1513" spans="2:26" x14ac:dyDescent="0.25">
      <c r="B1513"/>
      <c r="Z1513"/>
    </row>
    <row r="1514" spans="2:26" x14ac:dyDescent="0.25">
      <c r="B1514"/>
      <c r="Z1514"/>
    </row>
    <row r="1515" spans="2:26" x14ac:dyDescent="0.25">
      <c r="B1515"/>
      <c r="Z1515"/>
    </row>
    <row r="1516" spans="2:26" x14ac:dyDescent="0.25">
      <c r="B1516"/>
      <c r="Z1516"/>
    </row>
    <row r="1517" spans="2:26" x14ac:dyDescent="0.25">
      <c r="B1517"/>
      <c r="Z1517"/>
    </row>
    <row r="1518" spans="2:26" x14ac:dyDescent="0.25">
      <c r="B1518"/>
      <c r="Z1518"/>
    </row>
    <row r="1519" spans="2:26" x14ac:dyDescent="0.25">
      <c r="B1519"/>
      <c r="Z1519"/>
    </row>
    <row r="1520" spans="2:26" x14ac:dyDescent="0.25">
      <c r="B1520"/>
      <c r="Z1520"/>
    </row>
    <row r="1521" spans="2:26" x14ac:dyDescent="0.25">
      <c r="B1521"/>
      <c r="Z1521"/>
    </row>
    <row r="1522" spans="2:26" x14ac:dyDescent="0.25">
      <c r="B1522"/>
      <c r="Z1522"/>
    </row>
    <row r="1523" spans="2:26" x14ac:dyDescent="0.25">
      <c r="B1523"/>
      <c r="Z1523"/>
    </row>
    <row r="1524" spans="2:26" x14ac:dyDescent="0.25">
      <c r="B1524"/>
      <c r="Z1524"/>
    </row>
    <row r="1525" spans="2:26" x14ac:dyDescent="0.25">
      <c r="B1525"/>
      <c r="Z1525"/>
    </row>
    <row r="1526" spans="2:26" x14ac:dyDescent="0.25">
      <c r="B1526"/>
      <c r="Z1526"/>
    </row>
    <row r="1527" spans="2:26" x14ac:dyDescent="0.25">
      <c r="B1527"/>
      <c r="Z1527"/>
    </row>
    <row r="1528" spans="2:26" x14ac:dyDescent="0.25">
      <c r="B1528"/>
      <c r="Z1528"/>
    </row>
    <row r="1529" spans="2:26" x14ac:dyDescent="0.25">
      <c r="B1529"/>
      <c r="Z1529"/>
    </row>
    <row r="1530" spans="2:26" x14ac:dyDescent="0.25">
      <c r="B1530"/>
      <c r="Z1530"/>
    </row>
    <row r="1531" spans="2:26" x14ac:dyDescent="0.25">
      <c r="B1531"/>
      <c r="Z1531"/>
    </row>
    <row r="1532" spans="2:26" x14ac:dyDescent="0.25">
      <c r="B1532"/>
      <c r="Z1532"/>
    </row>
    <row r="1533" spans="2:26" x14ac:dyDescent="0.25">
      <c r="B1533"/>
      <c r="Z1533"/>
    </row>
    <row r="1534" spans="2:26" x14ac:dyDescent="0.25">
      <c r="B1534"/>
      <c r="Z1534"/>
    </row>
    <row r="1535" spans="2:26" x14ac:dyDescent="0.25">
      <c r="B1535"/>
      <c r="Z1535"/>
    </row>
    <row r="1536" spans="2:26" x14ac:dyDescent="0.25">
      <c r="B1536"/>
      <c r="Z1536"/>
    </row>
    <row r="1537" spans="2:26" x14ac:dyDescent="0.25">
      <c r="B1537"/>
      <c r="Z1537"/>
    </row>
    <row r="1538" spans="2:26" x14ac:dyDescent="0.25">
      <c r="B1538"/>
      <c r="Z1538"/>
    </row>
    <row r="1539" spans="2:26" x14ac:dyDescent="0.25">
      <c r="B1539"/>
      <c r="Z1539"/>
    </row>
    <row r="1540" spans="2:26" x14ac:dyDescent="0.25">
      <c r="B1540"/>
      <c r="Z1540"/>
    </row>
    <row r="1541" spans="2:26" x14ac:dyDescent="0.25">
      <c r="B1541"/>
      <c r="Z1541"/>
    </row>
    <row r="1542" spans="2:26" x14ac:dyDescent="0.25">
      <c r="B1542"/>
      <c r="Z1542"/>
    </row>
    <row r="1543" spans="2:26" x14ac:dyDescent="0.25">
      <c r="B1543"/>
      <c r="Z1543"/>
    </row>
    <row r="1544" spans="2:26" x14ac:dyDescent="0.25">
      <c r="B1544"/>
      <c r="Z1544"/>
    </row>
    <row r="1545" spans="2:26" x14ac:dyDescent="0.25">
      <c r="B1545"/>
      <c r="Z1545"/>
    </row>
    <row r="1546" spans="2:26" x14ac:dyDescent="0.25">
      <c r="B1546"/>
      <c r="Z1546"/>
    </row>
    <row r="1547" spans="2:26" x14ac:dyDescent="0.25">
      <c r="B1547"/>
      <c r="Z1547"/>
    </row>
    <row r="1548" spans="2:26" x14ac:dyDescent="0.25">
      <c r="B1548"/>
      <c r="Z1548"/>
    </row>
    <row r="1549" spans="2:26" x14ac:dyDescent="0.25">
      <c r="B1549"/>
      <c r="Z1549"/>
    </row>
    <row r="1550" spans="2:26" x14ac:dyDescent="0.25">
      <c r="B1550"/>
      <c r="Z1550"/>
    </row>
    <row r="1551" spans="2:26" x14ac:dyDescent="0.25">
      <c r="B1551"/>
      <c r="Z1551"/>
    </row>
    <row r="1552" spans="2:26" x14ac:dyDescent="0.25">
      <c r="B1552"/>
      <c r="Z1552"/>
    </row>
    <row r="1553" spans="2:26" x14ac:dyDescent="0.25">
      <c r="B1553"/>
      <c r="Z1553"/>
    </row>
    <row r="1554" spans="2:26" x14ac:dyDescent="0.25">
      <c r="B1554"/>
      <c r="Z1554"/>
    </row>
    <row r="1555" spans="2:26" x14ac:dyDescent="0.25">
      <c r="B1555"/>
      <c r="Z1555"/>
    </row>
    <row r="1556" spans="2:26" x14ac:dyDescent="0.25">
      <c r="B1556"/>
      <c r="Z1556"/>
    </row>
    <row r="1557" spans="2:26" x14ac:dyDescent="0.25">
      <c r="B1557"/>
      <c r="Z1557"/>
    </row>
    <row r="1558" spans="2:26" x14ac:dyDescent="0.25">
      <c r="B1558"/>
      <c r="Z1558"/>
    </row>
    <row r="1559" spans="2:26" x14ac:dyDescent="0.25">
      <c r="B1559"/>
      <c r="Z1559"/>
    </row>
    <row r="1560" spans="2:26" x14ac:dyDescent="0.25">
      <c r="B1560"/>
      <c r="Z1560"/>
    </row>
    <row r="1561" spans="2:26" x14ac:dyDescent="0.25">
      <c r="B1561"/>
      <c r="Z1561"/>
    </row>
    <row r="1562" spans="2:26" x14ac:dyDescent="0.25">
      <c r="B1562"/>
      <c r="Z1562"/>
    </row>
    <row r="1563" spans="2:26" x14ac:dyDescent="0.25">
      <c r="B1563"/>
      <c r="Z1563"/>
    </row>
    <row r="1564" spans="2:26" x14ac:dyDescent="0.25">
      <c r="B1564"/>
      <c r="Z1564"/>
    </row>
    <row r="1565" spans="2:26" x14ac:dyDescent="0.25">
      <c r="B1565"/>
      <c r="Z1565"/>
    </row>
    <row r="1566" spans="2:26" x14ac:dyDescent="0.25">
      <c r="B1566"/>
      <c r="Z1566"/>
    </row>
    <row r="1567" spans="2:26" x14ac:dyDescent="0.25">
      <c r="B1567"/>
      <c r="Z1567"/>
    </row>
    <row r="1568" spans="2:26" x14ac:dyDescent="0.25">
      <c r="B1568"/>
      <c r="Z1568"/>
    </row>
    <row r="1569" spans="2:26" x14ac:dyDescent="0.25">
      <c r="B1569"/>
      <c r="Z1569"/>
    </row>
    <row r="1570" spans="2:26" x14ac:dyDescent="0.25">
      <c r="B1570"/>
      <c r="Z1570"/>
    </row>
    <row r="1571" spans="2:26" x14ac:dyDescent="0.25">
      <c r="B1571"/>
      <c r="Z1571"/>
    </row>
    <row r="1572" spans="2:26" x14ac:dyDescent="0.25">
      <c r="B1572"/>
      <c r="Z1572"/>
    </row>
    <row r="1573" spans="2:26" x14ac:dyDescent="0.25">
      <c r="B1573"/>
      <c r="Z1573"/>
    </row>
    <row r="1574" spans="2:26" x14ac:dyDescent="0.25">
      <c r="B1574"/>
      <c r="Z1574"/>
    </row>
    <row r="1575" spans="2:26" x14ac:dyDescent="0.25">
      <c r="B1575"/>
      <c r="Z1575"/>
    </row>
    <row r="1576" spans="2:26" x14ac:dyDescent="0.25">
      <c r="B1576"/>
      <c r="Z1576"/>
    </row>
    <row r="1577" spans="2:26" x14ac:dyDescent="0.25">
      <c r="B1577"/>
      <c r="Z1577"/>
    </row>
    <row r="1578" spans="2:26" x14ac:dyDescent="0.25">
      <c r="B1578"/>
      <c r="Z1578"/>
    </row>
    <row r="1579" spans="2:26" x14ac:dyDescent="0.25">
      <c r="B1579"/>
      <c r="Z1579"/>
    </row>
    <row r="1580" spans="2:26" x14ac:dyDescent="0.25">
      <c r="B1580"/>
      <c r="Z1580"/>
    </row>
    <row r="1581" spans="2:26" x14ac:dyDescent="0.25">
      <c r="B1581"/>
      <c r="Z1581"/>
    </row>
    <row r="1582" spans="2:26" x14ac:dyDescent="0.25">
      <c r="B1582"/>
      <c r="Z1582"/>
    </row>
    <row r="1583" spans="2:26" x14ac:dyDescent="0.25">
      <c r="B1583"/>
      <c r="Z1583"/>
    </row>
    <row r="1584" spans="2:26" x14ac:dyDescent="0.25">
      <c r="B1584"/>
      <c r="Z1584"/>
    </row>
    <row r="1585" spans="2:26" x14ac:dyDescent="0.25">
      <c r="B1585"/>
      <c r="Z1585"/>
    </row>
    <row r="1586" spans="2:26" x14ac:dyDescent="0.25">
      <c r="B1586"/>
      <c r="Z1586"/>
    </row>
    <row r="1587" spans="2:26" x14ac:dyDescent="0.25">
      <c r="B1587"/>
      <c r="Z1587"/>
    </row>
    <row r="1588" spans="2:26" x14ac:dyDescent="0.25">
      <c r="B1588"/>
      <c r="Z1588"/>
    </row>
    <row r="1589" spans="2:26" x14ac:dyDescent="0.25">
      <c r="B1589"/>
      <c r="Z1589"/>
    </row>
    <row r="1590" spans="2:26" x14ac:dyDescent="0.25">
      <c r="B1590"/>
      <c r="Z1590"/>
    </row>
    <row r="1591" spans="2:26" x14ac:dyDescent="0.25">
      <c r="B1591"/>
      <c r="Z1591"/>
    </row>
    <row r="1592" spans="2:26" x14ac:dyDescent="0.25">
      <c r="B1592"/>
      <c r="Z1592"/>
    </row>
    <row r="1593" spans="2:26" x14ac:dyDescent="0.25">
      <c r="B1593"/>
      <c r="Z1593"/>
    </row>
    <row r="1594" spans="2:26" x14ac:dyDescent="0.25">
      <c r="B1594"/>
      <c r="Z1594"/>
    </row>
    <row r="1595" spans="2:26" x14ac:dyDescent="0.25">
      <c r="B1595"/>
      <c r="Z1595"/>
    </row>
    <row r="1596" spans="2:26" x14ac:dyDescent="0.25">
      <c r="B1596"/>
      <c r="Z1596"/>
    </row>
    <row r="1597" spans="2:26" x14ac:dyDescent="0.25">
      <c r="B1597"/>
      <c r="Z1597"/>
    </row>
    <row r="1598" spans="2:26" x14ac:dyDescent="0.25">
      <c r="B1598"/>
      <c r="Z1598"/>
    </row>
    <row r="1599" spans="2:26" x14ac:dyDescent="0.25">
      <c r="B1599"/>
      <c r="Z1599"/>
    </row>
    <row r="1600" spans="2:26" x14ac:dyDescent="0.25">
      <c r="B1600"/>
      <c r="Z1600"/>
    </row>
    <row r="1601" spans="2:26" x14ac:dyDescent="0.25">
      <c r="B1601"/>
      <c r="Z1601"/>
    </row>
    <row r="1602" spans="2:26" x14ac:dyDescent="0.25">
      <c r="B1602"/>
      <c r="Z1602"/>
    </row>
    <row r="1603" spans="2:26" x14ac:dyDescent="0.25">
      <c r="B1603"/>
      <c r="Z1603"/>
    </row>
    <row r="1604" spans="2:26" x14ac:dyDescent="0.25">
      <c r="B1604"/>
      <c r="Z1604"/>
    </row>
    <row r="1605" spans="2:26" x14ac:dyDescent="0.25">
      <c r="B1605"/>
      <c r="Z1605"/>
    </row>
    <row r="1606" spans="2:26" x14ac:dyDescent="0.25">
      <c r="B1606"/>
      <c r="Z1606"/>
    </row>
    <row r="1607" spans="2:26" x14ac:dyDescent="0.25">
      <c r="B1607"/>
      <c r="Z1607"/>
    </row>
    <row r="1608" spans="2:26" x14ac:dyDescent="0.25">
      <c r="B1608"/>
      <c r="Z1608"/>
    </row>
    <row r="1609" spans="2:26" x14ac:dyDescent="0.25">
      <c r="B1609"/>
      <c r="Z1609"/>
    </row>
    <row r="1610" spans="2:26" x14ac:dyDescent="0.25">
      <c r="B1610"/>
      <c r="Z1610"/>
    </row>
    <row r="1611" spans="2:26" x14ac:dyDescent="0.25">
      <c r="B1611"/>
      <c r="Z1611"/>
    </row>
    <row r="1612" spans="2:26" x14ac:dyDescent="0.25">
      <c r="B1612"/>
      <c r="Z1612"/>
    </row>
    <row r="1613" spans="2:26" x14ac:dyDescent="0.25">
      <c r="B1613"/>
      <c r="Z1613"/>
    </row>
    <row r="1614" spans="2:26" x14ac:dyDescent="0.25">
      <c r="B1614"/>
      <c r="Z1614"/>
    </row>
    <row r="1615" spans="2:26" x14ac:dyDescent="0.25">
      <c r="B1615"/>
      <c r="Z1615"/>
    </row>
    <row r="1616" spans="2:26" x14ac:dyDescent="0.25">
      <c r="B1616"/>
      <c r="Z1616"/>
    </row>
    <row r="1617" spans="2:26" x14ac:dyDescent="0.25">
      <c r="B1617"/>
      <c r="Z1617"/>
    </row>
    <row r="1618" spans="2:26" x14ac:dyDescent="0.25">
      <c r="B1618"/>
      <c r="Z1618"/>
    </row>
    <row r="1619" spans="2:26" x14ac:dyDescent="0.25">
      <c r="B1619"/>
      <c r="Z1619"/>
    </row>
    <row r="1620" spans="2:26" x14ac:dyDescent="0.25">
      <c r="B1620"/>
      <c r="Z1620"/>
    </row>
    <row r="1621" spans="2:26" x14ac:dyDescent="0.25">
      <c r="B1621"/>
      <c r="Z1621"/>
    </row>
    <row r="1622" spans="2:26" x14ac:dyDescent="0.25">
      <c r="B1622"/>
      <c r="Z1622"/>
    </row>
    <row r="1623" spans="2:26" x14ac:dyDescent="0.25">
      <c r="B1623"/>
      <c r="Z1623"/>
    </row>
    <row r="1624" spans="2:26" x14ac:dyDescent="0.25">
      <c r="B1624"/>
      <c r="Z1624"/>
    </row>
    <row r="1625" spans="2:26" x14ac:dyDescent="0.25">
      <c r="B1625"/>
      <c r="Z1625"/>
    </row>
    <row r="1626" spans="2:26" x14ac:dyDescent="0.25">
      <c r="B1626"/>
      <c r="Z1626"/>
    </row>
    <row r="1627" spans="2:26" x14ac:dyDescent="0.25">
      <c r="B1627"/>
      <c r="Z1627"/>
    </row>
    <row r="1628" spans="2:26" x14ac:dyDescent="0.25">
      <c r="B1628"/>
      <c r="Z1628"/>
    </row>
    <row r="1629" spans="2:26" x14ac:dyDescent="0.25">
      <c r="B1629"/>
      <c r="Z1629"/>
    </row>
    <row r="1630" spans="2:26" x14ac:dyDescent="0.25">
      <c r="B1630"/>
      <c r="Z1630"/>
    </row>
    <row r="1631" spans="2:26" x14ac:dyDescent="0.25">
      <c r="B1631"/>
      <c r="Z1631"/>
    </row>
    <row r="1632" spans="2:26" x14ac:dyDescent="0.25">
      <c r="B1632"/>
      <c r="Z1632"/>
    </row>
    <row r="1633" spans="2:26" x14ac:dyDescent="0.25">
      <c r="B1633"/>
      <c r="Z1633"/>
    </row>
    <row r="1634" spans="2:26" x14ac:dyDescent="0.25">
      <c r="B1634"/>
      <c r="Z1634"/>
    </row>
    <row r="1635" spans="2:26" x14ac:dyDescent="0.25">
      <c r="B1635"/>
      <c r="Z1635"/>
    </row>
    <row r="1636" spans="2:26" x14ac:dyDescent="0.25">
      <c r="B1636"/>
      <c r="Z1636"/>
    </row>
    <row r="1637" spans="2:26" x14ac:dyDescent="0.25">
      <c r="B1637"/>
      <c r="Z1637"/>
    </row>
    <row r="1638" spans="2:26" x14ac:dyDescent="0.25">
      <c r="B1638"/>
      <c r="Z1638"/>
    </row>
    <row r="1639" spans="2:26" x14ac:dyDescent="0.25">
      <c r="B1639"/>
      <c r="Z1639"/>
    </row>
    <row r="1640" spans="2:26" x14ac:dyDescent="0.25">
      <c r="B1640"/>
      <c r="Z1640"/>
    </row>
    <row r="1641" spans="2:26" x14ac:dyDescent="0.25">
      <c r="B1641"/>
      <c r="Z1641"/>
    </row>
    <row r="1642" spans="2:26" x14ac:dyDescent="0.25">
      <c r="B1642"/>
      <c r="Z1642"/>
    </row>
    <row r="1643" spans="2:26" x14ac:dyDescent="0.25">
      <c r="B1643"/>
      <c r="Z1643"/>
    </row>
    <row r="1644" spans="2:26" x14ac:dyDescent="0.25">
      <c r="B1644"/>
      <c r="Z1644"/>
    </row>
    <row r="1645" spans="2:26" x14ac:dyDescent="0.25">
      <c r="B1645"/>
      <c r="Z1645"/>
    </row>
    <row r="1646" spans="2:26" x14ac:dyDescent="0.25">
      <c r="B1646"/>
      <c r="Z1646"/>
    </row>
    <row r="1647" spans="2:26" x14ac:dyDescent="0.25">
      <c r="B1647"/>
      <c r="Z1647"/>
    </row>
    <row r="1648" spans="2:26" x14ac:dyDescent="0.25">
      <c r="B1648"/>
      <c r="Z1648"/>
    </row>
    <row r="1649" spans="2:26" x14ac:dyDescent="0.25">
      <c r="B1649"/>
      <c r="Z1649"/>
    </row>
    <row r="1650" spans="2:26" x14ac:dyDescent="0.25">
      <c r="B1650"/>
      <c r="Z1650"/>
    </row>
    <row r="1651" spans="2:26" x14ac:dyDescent="0.25">
      <c r="B1651"/>
      <c r="Z1651"/>
    </row>
    <row r="1652" spans="2:26" x14ac:dyDescent="0.25">
      <c r="B1652"/>
      <c r="Z1652"/>
    </row>
    <row r="1653" spans="2:26" x14ac:dyDescent="0.25">
      <c r="B1653"/>
      <c r="Z1653"/>
    </row>
    <row r="1654" spans="2:26" x14ac:dyDescent="0.25">
      <c r="B1654"/>
      <c r="Z1654"/>
    </row>
    <row r="1655" spans="2:26" x14ac:dyDescent="0.25">
      <c r="B1655"/>
      <c r="Z1655"/>
    </row>
    <row r="1656" spans="2:26" x14ac:dyDescent="0.25">
      <c r="B1656"/>
      <c r="Z1656"/>
    </row>
    <row r="1657" spans="2:26" x14ac:dyDescent="0.25">
      <c r="B1657"/>
      <c r="Z1657"/>
    </row>
    <row r="1658" spans="2:26" x14ac:dyDescent="0.25">
      <c r="B1658"/>
      <c r="Z1658"/>
    </row>
    <row r="1659" spans="2:26" x14ac:dyDescent="0.25">
      <c r="B1659"/>
      <c r="Z1659"/>
    </row>
    <row r="1660" spans="2:26" x14ac:dyDescent="0.25">
      <c r="B1660"/>
      <c r="Z1660"/>
    </row>
    <row r="1661" spans="2:26" x14ac:dyDescent="0.25">
      <c r="B1661"/>
      <c r="Z1661"/>
    </row>
    <row r="1662" spans="2:26" x14ac:dyDescent="0.25">
      <c r="B1662"/>
      <c r="Z1662"/>
    </row>
    <row r="1663" spans="2:26" x14ac:dyDescent="0.25">
      <c r="B1663"/>
      <c r="Z1663"/>
    </row>
    <row r="1664" spans="2:26" x14ac:dyDescent="0.25">
      <c r="B1664"/>
      <c r="Z1664"/>
    </row>
    <row r="1665" spans="2:26" x14ac:dyDescent="0.25">
      <c r="B1665"/>
      <c r="Z1665"/>
    </row>
    <row r="1666" spans="2:26" x14ac:dyDescent="0.25">
      <c r="B1666"/>
      <c r="Z1666"/>
    </row>
    <row r="1667" spans="2:26" x14ac:dyDescent="0.25">
      <c r="B1667"/>
      <c r="Z1667"/>
    </row>
    <row r="1668" spans="2:26" x14ac:dyDescent="0.25">
      <c r="B1668"/>
      <c r="Z1668"/>
    </row>
    <row r="1669" spans="2:26" x14ac:dyDescent="0.25">
      <c r="B1669"/>
      <c r="Z1669"/>
    </row>
    <row r="1670" spans="2:26" x14ac:dyDescent="0.25">
      <c r="B1670"/>
      <c r="Z1670"/>
    </row>
    <row r="1671" spans="2:26" x14ac:dyDescent="0.25">
      <c r="B1671"/>
      <c r="Z1671"/>
    </row>
    <row r="1672" spans="2:26" x14ac:dyDescent="0.25">
      <c r="B1672"/>
      <c r="Z1672"/>
    </row>
    <row r="1673" spans="2:26" x14ac:dyDescent="0.25">
      <c r="B1673"/>
      <c r="Z1673"/>
    </row>
    <row r="1674" spans="2:26" x14ac:dyDescent="0.25">
      <c r="B1674"/>
      <c r="Z1674"/>
    </row>
    <row r="1675" spans="2:26" x14ac:dyDescent="0.25">
      <c r="B1675"/>
      <c r="Z1675"/>
    </row>
    <row r="1676" spans="2:26" x14ac:dyDescent="0.25">
      <c r="B1676"/>
      <c r="Z1676"/>
    </row>
    <row r="1677" spans="2:26" x14ac:dyDescent="0.25">
      <c r="B1677"/>
      <c r="Z1677"/>
    </row>
    <row r="1678" spans="2:26" x14ac:dyDescent="0.25">
      <c r="B1678"/>
      <c r="Z1678"/>
    </row>
    <row r="1679" spans="2:26" x14ac:dyDescent="0.25">
      <c r="B1679"/>
      <c r="Z1679"/>
    </row>
    <row r="1680" spans="2:26" x14ac:dyDescent="0.25">
      <c r="B1680"/>
      <c r="Z1680"/>
    </row>
    <row r="1681" spans="2:26" x14ac:dyDescent="0.25">
      <c r="B1681"/>
      <c r="Z1681"/>
    </row>
    <row r="1682" spans="2:26" x14ac:dyDescent="0.25">
      <c r="B1682"/>
      <c r="Z1682"/>
    </row>
    <row r="1683" spans="2:26" x14ac:dyDescent="0.25">
      <c r="B1683"/>
      <c r="Z1683"/>
    </row>
    <row r="1684" spans="2:26" x14ac:dyDescent="0.25">
      <c r="B1684"/>
      <c r="Z1684"/>
    </row>
    <row r="1685" spans="2:26" x14ac:dyDescent="0.25">
      <c r="B1685"/>
      <c r="Z1685"/>
    </row>
    <row r="1686" spans="2:26" x14ac:dyDescent="0.25">
      <c r="B1686"/>
      <c r="Z1686"/>
    </row>
    <row r="1687" spans="2:26" x14ac:dyDescent="0.25">
      <c r="B1687"/>
      <c r="Z1687"/>
    </row>
    <row r="1688" spans="2:26" x14ac:dyDescent="0.25">
      <c r="B1688"/>
      <c r="Z1688"/>
    </row>
    <row r="1689" spans="2:26" x14ac:dyDescent="0.25">
      <c r="B1689"/>
      <c r="Z1689"/>
    </row>
    <row r="1690" spans="2:26" x14ac:dyDescent="0.25">
      <c r="B1690"/>
      <c r="Z1690"/>
    </row>
    <row r="1691" spans="2:26" x14ac:dyDescent="0.25">
      <c r="B1691"/>
      <c r="Z1691"/>
    </row>
    <row r="1692" spans="2:26" x14ac:dyDescent="0.25">
      <c r="B1692"/>
      <c r="Z1692"/>
    </row>
    <row r="1693" spans="2:26" x14ac:dyDescent="0.25">
      <c r="B1693"/>
      <c r="Z1693"/>
    </row>
    <row r="1694" spans="2:26" x14ac:dyDescent="0.25">
      <c r="B1694"/>
      <c r="Z1694"/>
    </row>
    <row r="1695" spans="2:26" x14ac:dyDescent="0.25">
      <c r="B1695"/>
      <c r="Z1695"/>
    </row>
    <row r="1696" spans="2:26" x14ac:dyDescent="0.25">
      <c r="B1696"/>
      <c r="Z1696"/>
    </row>
    <row r="1697" spans="2:26" x14ac:dyDescent="0.25">
      <c r="B1697"/>
      <c r="Z1697"/>
    </row>
    <row r="1698" spans="2:26" x14ac:dyDescent="0.25">
      <c r="B1698"/>
      <c r="Z1698"/>
    </row>
    <row r="1699" spans="2:26" x14ac:dyDescent="0.25">
      <c r="B1699"/>
      <c r="Z1699"/>
    </row>
    <row r="1700" spans="2:26" x14ac:dyDescent="0.25">
      <c r="B1700"/>
      <c r="Z1700"/>
    </row>
    <row r="1701" spans="2:26" x14ac:dyDescent="0.25">
      <c r="B1701"/>
      <c r="Z1701"/>
    </row>
    <row r="1702" spans="2:26" x14ac:dyDescent="0.25">
      <c r="B1702"/>
      <c r="Z1702"/>
    </row>
    <row r="1703" spans="2:26" x14ac:dyDescent="0.25">
      <c r="B1703"/>
      <c r="Z1703"/>
    </row>
    <row r="1704" spans="2:26" x14ac:dyDescent="0.25">
      <c r="B1704"/>
      <c r="Z1704"/>
    </row>
    <row r="1705" spans="2:26" x14ac:dyDescent="0.25">
      <c r="B1705"/>
      <c r="Z1705"/>
    </row>
    <row r="1706" spans="2:26" x14ac:dyDescent="0.25">
      <c r="B1706"/>
      <c r="Z1706"/>
    </row>
    <row r="1707" spans="2:26" x14ac:dyDescent="0.25">
      <c r="B1707"/>
      <c r="Z1707"/>
    </row>
    <row r="1708" spans="2:26" x14ac:dyDescent="0.25">
      <c r="B1708"/>
      <c r="Z1708"/>
    </row>
    <row r="1709" spans="2:26" x14ac:dyDescent="0.25">
      <c r="B1709"/>
      <c r="Z1709"/>
    </row>
    <row r="1710" spans="2:26" x14ac:dyDescent="0.25">
      <c r="B1710"/>
      <c r="Z1710"/>
    </row>
    <row r="1711" spans="2:26" x14ac:dyDescent="0.25">
      <c r="B1711"/>
      <c r="Z1711"/>
    </row>
    <row r="1712" spans="2:26" x14ac:dyDescent="0.25">
      <c r="B1712"/>
      <c r="Z1712"/>
    </row>
    <row r="1713" spans="2:26" x14ac:dyDescent="0.25">
      <c r="B1713"/>
      <c r="Z1713"/>
    </row>
    <row r="1714" spans="2:26" x14ac:dyDescent="0.25">
      <c r="B1714"/>
      <c r="Z1714"/>
    </row>
    <row r="1715" spans="2:26" x14ac:dyDescent="0.25">
      <c r="B1715"/>
      <c r="Z1715"/>
    </row>
    <row r="1716" spans="2:26" x14ac:dyDescent="0.25">
      <c r="B1716"/>
      <c r="Z1716"/>
    </row>
    <row r="1717" spans="2:26" x14ac:dyDescent="0.25">
      <c r="B1717"/>
      <c r="Z1717"/>
    </row>
    <row r="1718" spans="2:26" x14ac:dyDescent="0.25">
      <c r="B1718"/>
      <c r="Z1718"/>
    </row>
    <row r="1719" spans="2:26" x14ac:dyDescent="0.25">
      <c r="B1719"/>
      <c r="Z1719"/>
    </row>
    <row r="1720" spans="2:26" x14ac:dyDescent="0.25">
      <c r="B1720"/>
      <c r="Z1720"/>
    </row>
    <row r="1721" spans="2:26" x14ac:dyDescent="0.25">
      <c r="B1721"/>
      <c r="Z1721"/>
    </row>
    <row r="1722" spans="2:26" x14ac:dyDescent="0.25">
      <c r="B1722"/>
      <c r="Z1722"/>
    </row>
    <row r="1723" spans="2:26" x14ac:dyDescent="0.25">
      <c r="B1723"/>
      <c r="Z1723"/>
    </row>
    <row r="1724" spans="2:26" x14ac:dyDescent="0.25">
      <c r="B1724"/>
      <c r="Z1724"/>
    </row>
    <row r="1725" spans="2:26" x14ac:dyDescent="0.25">
      <c r="B1725"/>
      <c r="Z1725"/>
    </row>
    <row r="1726" spans="2:26" x14ac:dyDescent="0.25">
      <c r="B1726"/>
      <c r="Z1726"/>
    </row>
    <row r="1727" spans="2:26" x14ac:dyDescent="0.25">
      <c r="B1727"/>
      <c r="Z1727"/>
    </row>
    <row r="1728" spans="2:26" x14ac:dyDescent="0.25">
      <c r="B1728"/>
      <c r="Z1728"/>
    </row>
    <row r="1729" spans="2:26" x14ac:dyDescent="0.25">
      <c r="B1729"/>
      <c r="Z1729"/>
    </row>
    <row r="1730" spans="2:26" x14ac:dyDescent="0.25">
      <c r="B1730"/>
      <c r="Z1730"/>
    </row>
    <row r="1731" spans="2:26" x14ac:dyDescent="0.25">
      <c r="B1731"/>
      <c r="Z1731"/>
    </row>
    <row r="1732" spans="2:26" x14ac:dyDescent="0.25">
      <c r="B1732"/>
      <c r="Z1732"/>
    </row>
    <row r="1733" spans="2:26" x14ac:dyDescent="0.25">
      <c r="B1733"/>
      <c r="Z1733"/>
    </row>
    <row r="1734" spans="2:26" x14ac:dyDescent="0.25">
      <c r="B1734"/>
      <c r="Z1734"/>
    </row>
    <row r="1735" spans="2:26" x14ac:dyDescent="0.25">
      <c r="B1735"/>
      <c r="Z1735"/>
    </row>
    <row r="1736" spans="2:26" x14ac:dyDescent="0.25">
      <c r="B1736"/>
      <c r="Z1736"/>
    </row>
    <row r="1737" spans="2:26" x14ac:dyDescent="0.25">
      <c r="B1737"/>
      <c r="Z1737"/>
    </row>
    <row r="1738" spans="2:26" x14ac:dyDescent="0.25">
      <c r="B1738"/>
      <c r="Z1738"/>
    </row>
    <row r="1739" spans="2:26" x14ac:dyDescent="0.25">
      <c r="B1739"/>
      <c r="Z1739"/>
    </row>
    <row r="1740" spans="2:26" x14ac:dyDescent="0.25">
      <c r="B1740"/>
      <c r="Z1740"/>
    </row>
    <row r="1741" spans="2:26" x14ac:dyDescent="0.25">
      <c r="B1741"/>
      <c r="Z1741"/>
    </row>
    <row r="1742" spans="2:26" x14ac:dyDescent="0.25">
      <c r="B1742"/>
      <c r="Z1742"/>
    </row>
    <row r="1743" spans="2:26" x14ac:dyDescent="0.25">
      <c r="B1743"/>
      <c r="Z1743"/>
    </row>
    <row r="1744" spans="2:26" x14ac:dyDescent="0.25">
      <c r="B1744"/>
      <c r="Z1744"/>
    </row>
    <row r="1745" spans="2:26" x14ac:dyDescent="0.25">
      <c r="B1745"/>
      <c r="Z1745"/>
    </row>
    <row r="1746" spans="2:26" x14ac:dyDescent="0.25">
      <c r="B1746"/>
      <c r="Z1746"/>
    </row>
    <row r="1747" spans="2:26" x14ac:dyDescent="0.25">
      <c r="B1747"/>
      <c r="Z1747"/>
    </row>
    <row r="1748" spans="2:26" x14ac:dyDescent="0.25">
      <c r="B1748"/>
      <c r="Z1748"/>
    </row>
    <row r="1749" spans="2:26" x14ac:dyDescent="0.25">
      <c r="B1749"/>
      <c r="Z1749"/>
    </row>
    <row r="1750" spans="2:26" x14ac:dyDescent="0.25">
      <c r="B1750"/>
      <c r="Z1750"/>
    </row>
    <row r="1751" spans="2:26" x14ac:dyDescent="0.25">
      <c r="B1751"/>
      <c r="Z1751"/>
    </row>
    <row r="1752" spans="2:26" x14ac:dyDescent="0.25">
      <c r="B1752"/>
      <c r="Z1752"/>
    </row>
    <row r="1753" spans="2:26" x14ac:dyDescent="0.25">
      <c r="B1753"/>
      <c r="Z1753"/>
    </row>
    <row r="1754" spans="2:26" x14ac:dyDescent="0.25">
      <c r="B1754"/>
      <c r="Z1754"/>
    </row>
    <row r="1755" spans="2:26" x14ac:dyDescent="0.25">
      <c r="B1755"/>
      <c r="Z1755"/>
    </row>
    <row r="1756" spans="2:26" x14ac:dyDescent="0.25">
      <c r="B1756"/>
      <c r="Z1756"/>
    </row>
    <row r="1757" spans="2:26" x14ac:dyDescent="0.25">
      <c r="B1757"/>
      <c r="Z1757"/>
    </row>
    <row r="1758" spans="2:26" x14ac:dyDescent="0.25">
      <c r="B1758"/>
      <c r="Z1758"/>
    </row>
    <row r="1759" spans="2:26" x14ac:dyDescent="0.25">
      <c r="B1759"/>
      <c r="Z1759"/>
    </row>
    <row r="1760" spans="2:26" x14ac:dyDescent="0.25">
      <c r="B1760"/>
      <c r="Z1760"/>
    </row>
    <row r="1761" spans="2:26" x14ac:dyDescent="0.25">
      <c r="B1761"/>
      <c r="Z1761"/>
    </row>
    <row r="1762" spans="2:26" x14ac:dyDescent="0.25">
      <c r="B1762"/>
      <c r="Z1762"/>
    </row>
    <row r="1763" spans="2:26" x14ac:dyDescent="0.25">
      <c r="B1763"/>
      <c r="Z1763"/>
    </row>
    <row r="1764" spans="2:26" x14ac:dyDescent="0.25">
      <c r="B1764"/>
      <c r="Z1764"/>
    </row>
    <row r="1765" spans="2:26" x14ac:dyDescent="0.25">
      <c r="B1765"/>
      <c r="Z1765"/>
    </row>
    <row r="1766" spans="2:26" x14ac:dyDescent="0.25">
      <c r="B1766"/>
      <c r="Z1766"/>
    </row>
    <row r="1767" spans="2:26" x14ac:dyDescent="0.25">
      <c r="B1767"/>
      <c r="Z1767"/>
    </row>
    <row r="1768" spans="2:26" x14ac:dyDescent="0.25">
      <c r="B1768"/>
      <c r="Z1768"/>
    </row>
    <row r="1769" spans="2:26" x14ac:dyDescent="0.25">
      <c r="B1769"/>
      <c r="Z1769"/>
    </row>
    <row r="1770" spans="2:26" x14ac:dyDescent="0.25">
      <c r="B1770"/>
      <c r="Z1770"/>
    </row>
    <row r="1771" spans="2:26" x14ac:dyDescent="0.25">
      <c r="B1771"/>
      <c r="Z1771"/>
    </row>
    <row r="1772" spans="2:26" x14ac:dyDescent="0.25">
      <c r="B1772"/>
      <c r="Z1772"/>
    </row>
    <row r="1773" spans="2:26" x14ac:dyDescent="0.25">
      <c r="B1773"/>
      <c r="Z1773"/>
    </row>
    <row r="1774" spans="2:26" x14ac:dyDescent="0.25">
      <c r="B1774"/>
      <c r="Z1774"/>
    </row>
    <row r="1775" spans="2:26" x14ac:dyDescent="0.25">
      <c r="B1775"/>
      <c r="Z1775"/>
    </row>
    <row r="1776" spans="2:26" x14ac:dyDescent="0.25">
      <c r="B1776"/>
      <c r="Z1776"/>
    </row>
    <row r="1777" spans="2:26" x14ac:dyDescent="0.25">
      <c r="B1777"/>
      <c r="Z1777"/>
    </row>
    <row r="1778" spans="2:26" x14ac:dyDescent="0.25">
      <c r="B1778"/>
      <c r="Z1778"/>
    </row>
    <row r="1779" spans="2:26" x14ac:dyDescent="0.25">
      <c r="B1779"/>
      <c r="Z1779"/>
    </row>
    <row r="1780" spans="2:26" x14ac:dyDescent="0.25">
      <c r="B1780"/>
      <c r="Z1780"/>
    </row>
    <row r="1781" spans="2:26" x14ac:dyDescent="0.25">
      <c r="B1781"/>
      <c r="Z1781"/>
    </row>
    <row r="1782" spans="2:26" x14ac:dyDescent="0.25">
      <c r="B1782"/>
      <c r="Z1782"/>
    </row>
    <row r="1783" spans="2:26" x14ac:dyDescent="0.25">
      <c r="B1783"/>
      <c r="Z1783"/>
    </row>
    <row r="1784" spans="2:26" x14ac:dyDescent="0.25">
      <c r="B1784"/>
      <c r="Z1784"/>
    </row>
    <row r="1785" spans="2:26" x14ac:dyDescent="0.25">
      <c r="B1785"/>
      <c r="Z1785"/>
    </row>
    <row r="1786" spans="2:26" x14ac:dyDescent="0.25">
      <c r="B1786"/>
      <c r="Z1786"/>
    </row>
    <row r="1787" spans="2:26" x14ac:dyDescent="0.25">
      <c r="B1787"/>
      <c r="Z1787"/>
    </row>
    <row r="1788" spans="2:26" x14ac:dyDescent="0.25">
      <c r="B1788"/>
      <c r="Z1788"/>
    </row>
    <row r="1789" spans="2:26" x14ac:dyDescent="0.25">
      <c r="B1789"/>
      <c r="Z1789"/>
    </row>
    <row r="1790" spans="2:26" x14ac:dyDescent="0.25">
      <c r="B1790"/>
      <c r="Z1790"/>
    </row>
    <row r="1791" spans="2:26" x14ac:dyDescent="0.25">
      <c r="B1791"/>
      <c r="Z1791"/>
    </row>
    <row r="1792" spans="2:26" x14ac:dyDescent="0.25">
      <c r="B1792"/>
      <c r="Z1792"/>
    </row>
    <row r="1793" spans="2:26" x14ac:dyDescent="0.25">
      <c r="B1793"/>
      <c r="Z1793"/>
    </row>
    <row r="1794" spans="2:26" x14ac:dyDescent="0.25">
      <c r="B1794"/>
      <c r="Z1794"/>
    </row>
    <row r="1795" spans="2:26" x14ac:dyDescent="0.25">
      <c r="B1795"/>
      <c r="Z1795"/>
    </row>
    <row r="1796" spans="2:26" x14ac:dyDescent="0.25">
      <c r="B1796"/>
      <c r="Z1796"/>
    </row>
    <row r="1797" spans="2:26" x14ac:dyDescent="0.25">
      <c r="B1797"/>
      <c r="Z1797"/>
    </row>
    <row r="1798" spans="2:26" x14ac:dyDescent="0.25">
      <c r="B1798"/>
      <c r="Z1798"/>
    </row>
    <row r="1799" spans="2:26" x14ac:dyDescent="0.25">
      <c r="B1799"/>
      <c r="Z1799"/>
    </row>
    <row r="1800" spans="2:26" x14ac:dyDescent="0.25">
      <c r="B1800"/>
      <c r="Z1800"/>
    </row>
    <row r="1801" spans="2:26" x14ac:dyDescent="0.25">
      <c r="B1801"/>
      <c r="Z1801"/>
    </row>
    <row r="1802" spans="2:26" x14ac:dyDescent="0.25">
      <c r="B1802"/>
      <c r="Z1802"/>
    </row>
    <row r="1803" spans="2:26" x14ac:dyDescent="0.25">
      <c r="B1803"/>
      <c r="Z1803"/>
    </row>
    <row r="1804" spans="2:26" x14ac:dyDescent="0.25">
      <c r="B1804"/>
      <c r="Z1804"/>
    </row>
    <row r="1805" spans="2:26" x14ac:dyDescent="0.25">
      <c r="B1805"/>
      <c r="Z1805"/>
    </row>
    <row r="1806" spans="2:26" x14ac:dyDescent="0.25">
      <c r="B1806"/>
      <c r="Z1806"/>
    </row>
    <row r="1807" spans="2:26" x14ac:dyDescent="0.25">
      <c r="B1807"/>
      <c r="Z1807"/>
    </row>
    <row r="1808" spans="2:26" x14ac:dyDescent="0.25">
      <c r="B1808"/>
      <c r="Z1808"/>
    </row>
    <row r="1809" spans="2:26" x14ac:dyDescent="0.25">
      <c r="B1809"/>
      <c r="Z1809"/>
    </row>
    <row r="1810" spans="2:26" x14ac:dyDescent="0.25">
      <c r="B1810"/>
      <c r="Z1810"/>
    </row>
    <row r="1811" spans="2:26" x14ac:dyDescent="0.25">
      <c r="B1811"/>
      <c r="Z1811"/>
    </row>
    <row r="1812" spans="2:26" x14ac:dyDescent="0.25">
      <c r="B1812"/>
      <c r="Z1812"/>
    </row>
    <row r="1813" spans="2:26" x14ac:dyDescent="0.25">
      <c r="B1813"/>
      <c r="Z1813"/>
    </row>
    <row r="1814" spans="2:26" x14ac:dyDescent="0.25">
      <c r="B1814"/>
      <c r="Z1814"/>
    </row>
    <row r="1815" spans="2:26" x14ac:dyDescent="0.25">
      <c r="B1815"/>
      <c r="Z1815"/>
    </row>
    <row r="1816" spans="2:26" x14ac:dyDescent="0.25">
      <c r="B1816"/>
      <c r="Z1816"/>
    </row>
    <row r="1817" spans="2:26" x14ac:dyDescent="0.25">
      <c r="B1817"/>
      <c r="Z1817"/>
    </row>
    <row r="1818" spans="2:26" x14ac:dyDescent="0.25">
      <c r="B1818"/>
      <c r="Z1818"/>
    </row>
    <row r="1819" spans="2:26" x14ac:dyDescent="0.25">
      <c r="B1819"/>
      <c r="Z1819"/>
    </row>
    <row r="1820" spans="2:26" x14ac:dyDescent="0.25">
      <c r="B1820"/>
      <c r="Z1820"/>
    </row>
    <row r="1821" spans="2:26" x14ac:dyDescent="0.25">
      <c r="B1821"/>
      <c r="Z1821"/>
    </row>
    <row r="1822" spans="2:26" x14ac:dyDescent="0.25">
      <c r="B1822"/>
      <c r="Z1822"/>
    </row>
    <row r="1823" spans="2:26" x14ac:dyDescent="0.25">
      <c r="B1823"/>
      <c r="Z1823"/>
    </row>
    <row r="1824" spans="2:26" x14ac:dyDescent="0.25">
      <c r="B1824"/>
      <c r="Z1824"/>
    </row>
    <row r="1825" spans="1:33" x14ac:dyDescent="0.25">
      <c r="B1825"/>
      <c r="Z1825"/>
    </row>
    <row r="1826" spans="1:33" x14ac:dyDescent="0.25">
      <c r="B1826"/>
      <c r="Z1826"/>
    </row>
    <row r="1827" spans="1:33" x14ac:dyDescent="0.25">
      <c r="B1827"/>
      <c r="K1827" s="6"/>
      <c r="Z1827"/>
    </row>
    <row r="1828" spans="1:33" x14ac:dyDescent="0.25">
      <c r="B1828"/>
      <c r="Z1828"/>
    </row>
    <row r="1829" spans="1:33" x14ac:dyDescent="0.25">
      <c r="B1829"/>
      <c r="Z1829"/>
    </row>
    <row r="1830" spans="1:33" x14ac:dyDescent="0.25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</row>
    <row r="1831" spans="1:33" x14ac:dyDescent="0.25">
      <c r="B1831"/>
      <c r="Z1831"/>
    </row>
    <row r="1832" spans="1:33" x14ac:dyDescent="0.25">
      <c r="B1832"/>
      <c r="Z1832"/>
    </row>
    <row r="1833" spans="1:33" x14ac:dyDescent="0.25">
      <c r="B1833"/>
      <c r="Z1833"/>
    </row>
    <row r="1834" spans="1:33" x14ac:dyDescent="0.25">
      <c r="B1834"/>
      <c r="Z1834"/>
    </row>
    <row r="1835" spans="1:33" x14ac:dyDescent="0.25">
      <c r="B1835"/>
      <c r="Z1835"/>
    </row>
    <row r="1836" spans="1:33" x14ac:dyDescent="0.25">
      <c r="B1836"/>
      <c r="Z1836"/>
    </row>
    <row r="1837" spans="1:33" x14ac:dyDescent="0.25">
      <c r="B1837"/>
      <c r="Z1837"/>
    </row>
    <row r="1838" spans="1:33" x14ac:dyDescent="0.25">
      <c r="B1838"/>
      <c r="Z1838"/>
    </row>
    <row r="1839" spans="1:33" x14ac:dyDescent="0.25">
      <c r="B1839"/>
      <c r="Z1839"/>
    </row>
    <row r="1840" spans="1:33" x14ac:dyDescent="0.25">
      <c r="B1840"/>
      <c r="Z1840"/>
    </row>
    <row r="1841" spans="2:26" x14ac:dyDescent="0.25">
      <c r="B1841"/>
      <c r="Z1841"/>
    </row>
    <row r="1842" spans="2:26" x14ac:dyDescent="0.25">
      <c r="B1842"/>
      <c r="Z1842"/>
    </row>
    <row r="1843" spans="2:26" x14ac:dyDescent="0.25">
      <c r="B1843"/>
      <c r="Z1843"/>
    </row>
    <row r="1844" spans="2:26" x14ac:dyDescent="0.25">
      <c r="B1844"/>
      <c r="Z1844"/>
    </row>
    <row r="1845" spans="2:26" x14ac:dyDescent="0.25">
      <c r="B1845"/>
      <c r="Z1845"/>
    </row>
    <row r="1846" spans="2:26" x14ac:dyDescent="0.25">
      <c r="B1846"/>
      <c r="Z1846"/>
    </row>
    <row r="1847" spans="2:26" x14ac:dyDescent="0.25">
      <c r="B1847"/>
      <c r="Z1847"/>
    </row>
    <row r="1848" spans="2:26" x14ac:dyDescent="0.25">
      <c r="B1848"/>
      <c r="Z1848"/>
    </row>
    <row r="1849" spans="2:26" x14ac:dyDescent="0.25">
      <c r="B1849"/>
      <c r="Z1849"/>
    </row>
    <row r="1850" spans="2:26" x14ac:dyDescent="0.25">
      <c r="B1850"/>
      <c r="Z1850"/>
    </row>
    <row r="1851" spans="2:26" x14ac:dyDescent="0.25">
      <c r="B1851"/>
      <c r="Z1851"/>
    </row>
    <row r="1852" spans="2:26" x14ac:dyDescent="0.25">
      <c r="B1852"/>
      <c r="Z1852"/>
    </row>
    <row r="1853" spans="2:26" x14ac:dyDescent="0.25">
      <c r="B1853"/>
      <c r="Z1853"/>
    </row>
    <row r="1854" spans="2:26" x14ac:dyDescent="0.25">
      <c r="B1854"/>
      <c r="Z1854"/>
    </row>
    <row r="1855" spans="2:26" x14ac:dyDescent="0.25">
      <c r="B1855"/>
      <c r="Z1855"/>
    </row>
    <row r="1856" spans="2:26" x14ac:dyDescent="0.25">
      <c r="B1856"/>
      <c r="Z1856"/>
    </row>
    <row r="1857" spans="2:26" x14ac:dyDescent="0.25">
      <c r="B1857"/>
      <c r="Z1857"/>
    </row>
    <row r="1858" spans="2:26" x14ac:dyDescent="0.25">
      <c r="B1858"/>
      <c r="Z1858"/>
    </row>
    <row r="1859" spans="2:26" x14ac:dyDescent="0.25">
      <c r="B1859"/>
      <c r="Z1859"/>
    </row>
    <row r="1860" spans="2:26" x14ac:dyDescent="0.25">
      <c r="B1860"/>
      <c r="Z1860"/>
    </row>
    <row r="1861" spans="2:26" x14ac:dyDescent="0.25">
      <c r="B1861"/>
      <c r="Z1861"/>
    </row>
    <row r="1862" spans="2:26" x14ac:dyDescent="0.25">
      <c r="B1862"/>
      <c r="Z1862"/>
    </row>
    <row r="1863" spans="2:26" x14ac:dyDescent="0.25">
      <c r="B1863"/>
      <c r="Z1863"/>
    </row>
    <row r="1864" spans="2:26" x14ac:dyDescent="0.25">
      <c r="B1864"/>
      <c r="Z1864"/>
    </row>
    <row r="1865" spans="2:26" x14ac:dyDescent="0.25">
      <c r="B1865"/>
      <c r="Z1865"/>
    </row>
    <row r="1866" spans="2:26" x14ac:dyDescent="0.25">
      <c r="B1866"/>
      <c r="Z1866"/>
    </row>
    <row r="1867" spans="2:26" x14ac:dyDescent="0.25">
      <c r="B1867"/>
      <c r="Z1867"/>
    </row>
    <row r="1868" spans="2:26" x14ac:dyDescent="0.25">
      <c r="B1868"/>
      <c r="Z1868"/>
    </row>
    <row r="1869" spans="2:26" x14ac:dyDescent="0.25">
      <c r="B1869"/>
      <c r="Z1869"/>
    </row>
    <row r="1870" spans="2:26" x14ac:dyDescent="0.25">
      <c r="B1870"/>
      <c r="Z1870"/>
    </row>
    <row r="1871" spans="2:26" x14ac:dyDescent="0.25">
      <c r="B1871"/>
      <c r="Z1871"/>
    </row>
    <row r="1872" spans="2:26" x14ac:dyDescent="0.25">
      <c r="B1872"/>
      <c r="Z1872"/>
    </row>
    <row r="1873" spans="2:26" x14ac:dyDescent="0.25">
      <c r="B1873"/>
      <c r="Z1873"/>
    </row>
    <row r="1874" spans="2:26" x14ac:dyDescent="0.25">
      <c r="B1874"/>
      <c r="Z1874"/>
    </row>
    <row r="1875" spans="2:26" x14ac:dyDescent="0.25">
      <c r="B1875"/>
      <c r="Z1875"/>
    </row>
    <row r="1876" spans="2:26" x14ac:dyDescent="0.25">
      <c r="B1876"/>
      <c r="Z1876"/>
    </row>
    <row r="1877" spans="2:26" x14ac:dyDescent="0.25">
      <c r="B1877"/>
      <c r="Z1877"/>
    </row>
    <row r="1878" spans="2:26" x14ac:dyDescent="0.25">
      <c r="B1878"/>
      <c r="Z1878"/>
    </row>
    <row r="1879" spans="2:26" x14ac:dyDescent="0.25">
      <c r="B1879"/>
      <c r="Z1879"/>
    </row>
    <row r="1880" spans="2:26" x14ac:dyDescent="0.25">
      <c r="B1880"/>
      <c r="Z1880"/>
    </row>
    <row r="1881" spans="2:26" x14ac:dyDescent="0.25">
      <c r="B1881"/>
      <c r="Z1881"/>
    </row>
    <row r="1882" spans="2:26" x14ac:dyDescent="0.25">
      <c r="B1882"/>
      <c r="Z1882"/>
    </row>
    <row r="1883" spans="2:26" x14ac:dyDescent="0.25">
      <c r="B1883"/>
      <c r="Z1883"/>
    </row>
    <row r="1884" spans="2:26" x14ac:dyDescent="0.25">
      <c r="B1884"/>
      <c r="Z1884"/>
    </row>
    <row r="1885" spans="2:26" x14ac:dyDescent="0.25">
      <c r="B1885"/>
      <c r="Z1885"/>
    </row>
    <row r="1886" spans="2:26" x14ac:dyDescent="0.25">
      <c r="B1886"/>
      <c r="Z1886"/>
    </row>
    <row r="1887" spans="2:26" x14ac:dyDescent="0.25">
      <c r="B1887"/>
      <c r="Z1887"/>
    </row>
    <row r="1888" spans="2:26" x14ac:dyDescent="0.25">
      <c r="B1888"/>
      <c r="Z1888"/>
    </row>
    <row r="1889" spans="2:26" x14ac:dyDescent="0.25">
      <c r="B1889"/>
      <c r="Z1889"/>
    </row>
    <row r="1890" spans="2:26" x14ac:dyDescent="0.25">
      <c r="B1890"/>
      <c r="Z1890"/>
    </row>
    <row r="1891" spans="2:26" x14ac:dyDescent="0.25">
      <c r="B1891"/>
      <c r="Z1891"/>
    </row>
    <row r="1892" spans="2:26" x14ac:dyDescent="0.25">
      <c r="B1892"/>
      <c r="Z1892"/>
    </row>
    <row r="1893" spans="2:26" x14ac:dyDescent="0.25">
      <c r="B1893"/>
      <c r="Z1893"/>
    </row>
    <row r="1894" spans="2:26" x14ac:dyDescent="0.25">
      <c r="B1894"/>
      <c r="Z1894"/>
    </row>
    <row r="1895" spans="2:26" x14ac:dyDescent="0.25">
      <c r="B1895"/>
      <c r="Z1895"/>
    </row>
    <row r="1896" spans="2:26" x14ac:dyDescent="0.25">
      <c r="B1896"/>
      <c r="Z1896"/>
    </row>
    <row r="1897" spans="2:26" x14ac:dyDescent="0.25">
      <c r="B1897"/>
      <c r="Z1897"/>
    </row>
    <row r="1898" spans="2:26" x14ac:dyDescent="0.25">
      <c r="B1898"/>
      <c r="Z1898"/>
    </row>
    <row r="1899" spans="2:26" x14ac:dyDescent="0.25">
      <c r="B1899"/>
      <c r="Z1899"/>
    </row>
    <row r="1900" spans="2:26" x14ac:dyDescent="0.25">
      <c r="B1900"/>
      <c r="Z1900"/>
    </row>
    <row r="1901" spans="2:26" x14ac:dyDescent="0.25">
      <c r="B1901"/>
      <c r="Z1901"/>
    </row>
    <row r="1902" spans="2:26" x14ac:dyDescent="0.25">
      <c r="B1902"/>
      <c r="Z1902"/>
    </row>
    <row r="1903" spans="2:26" x14ac:dyDescent="0.25">
      <c r="B1903"/>
      <c r="Z1903"/>
    </row>
    <row r="1904" spans="2:26" x14ac:dyDescent="0.25">
      <c r="B1904"/>
      <c r="Z1904"/>
    </row>
    <row r="1905" spans="2:26" x14ac:dyDescent="0.25">
      <c r="B1905"/>
      <c r="Z1905"/>
    </row>
    <row r="1906" spans="2:26" x14ac:dyDescent="0.25">
      <c r="B1906"/>
      <c r="Z1906"/>
    </row>
    <row r="1907" spans="2:26" x14ac:dyDescent="0.25">
      <c r="B1907"/>
      <c r="Z1907"/>
    </row>
    <row r="1908" spans="2:26" x14ac:dyDescent="0.25">
      <c r="B1908"/>
      <c r="Z1908"/>
    </row>
    <row r="1909" spans="2:26" x14ac:dyDescent="0.25">
      <c r="B1909"/>
      <c r="Z1909"/>
    </row>
    <row r="1910" spans="2:26" x14ac:dyDescent="0.25">
      <c r="B1910"/>
      <c r="Z1910"/>
    </row>
    <row r="1911" spans="2:26" x14ac:dyDescent="0.25">
      <c r="B1911"/>
      <c r="Z1911"/>
    </row>
    <row r="1912" spans="2:26" x14ac:dyDescent="0.25">
      <c r="B1912"/>
      <c r="Z1912"/>
    </row>
    <row r="1913" spans="2:26" x14ac:dyDescent="0.25">
      <c r="B1913"/>
      <c r="Z1913"/>
    </row>
    <row r="1914" spans="2:26" x14ac:dyDescent="0.25">
      <c r="B1914"/>
      <c r="Z1914"/>
    </row>
    <row r="1915" spans="2:26" x14ac:dyDescent="0.25">
      <c r="B1915"/>
      <c r="Z1915"/>
    </row>
    <row r="1916" spans="2:26" x14ac:dyDescent="0.25">
      <c r="B1916"/>
      <c r="Z1916"/>
    </row>
    <row r="1917" spans="2:26" x14ac:dyDescent="0.25">
      <c r="B1917"/>
      <c r="Z1917"/>
    </row>
    <row r="1918" spans="2:26" x14ac:dyDescent="0.25">
      <c r="B1918"/>
      <c r="Z1918"/>
    </row>
    <row r="1919" spans="2:26" x14ac:dyDescent="0.25">
      <c r="B1919"/>
      <c r="Z1919"/>
    </row>
    <row r="1920" spans="2:26" x14ac:dyDescent="0.25">
      <c r="B1920"/>
      <c r="Z1920"/>
    </row>
    <row r="1921" spans="2:26" x14ac:dyDescent="0.25">
      <c r="B1921"/>
      <c r="Z1921"/>
    </row>
    <row r="1922" spans="2:26" x14ac:dyDescent="0.25">
      <c r="B1922"/>
      <c r="Z1922"/>
    </row>
    <row r="1923" spans="2:26" x14ac:dyDescent="0.25">
      <c r="B1923"/>
      <c r="Z1923"/>
    </row>
    <row r="1924" spans="2:26" x14ac:dyDescent="0.25">
      <c r="B1924"/>
      <c r="Z1924"/>
    </row>
    <row r="1925" spans="2:26" x14ac:dyDescent="0.25">
      <c r="B1925"/>
      <c r="Z1925"/>
    </row>
    <row r="1926" spans="2:26" x14ac:dyDescent="0.25">
      <c r="B1926"/>
      <c r="Z1926"/>
    </row>
    <row r="1927" spans="2:26" x14ac:dyDescent="0.25">
      <c r="B1927"/>
      <c r="Z1927"/>
    </row>
    <row r="1928" spans="2:26" x14ac:dyDescent="0.25">
      <c r="B1928"/>
      <c r="Z1928"/>
    </row>
    <row r="1929" spans="2:26" x14ac:dyDescent="0.25">
      <c r="B1929"/>
      <c r="Z1929"/>
    </row>
    <row r="1930" spans="2:26" x14ac:dyDescent="0.25">
      <c r="B1930"/>
      <c r="Z1930"/>
    </row>
    <row r="1931" spans="2:26" x14ac:dyDescent="0.25">
      <c r="B1931"/>
      <c r="Z1931"/>
    </row>
    <row r="1932" spans="2:26" x14ac:dyDescent="0.25">
      <c r="B1932"/>
      <c r="Z1932"/>
    </row>
    <row r="1933" spans="2:26" x14ac:dyDescent="0.25">
      <c r="B1933"/>
      <c r="Z1933"/>
    </row>
    <row r="1934" spans="2:26" x14ac:dyDescent="0.25">
      <c r="B1934"/>
      <c r="Z1934"/>
    </row>
    <row r="1935" spans="2:26" x14ac:dyDescent="0.25">
      <c r="B1935"/>
      <c r="Z1935"/>
    </row>
    <row r="1936" spans="2:26" x14ac:dyDescent="0.25">
      <c r="B1936"/>
      <c r="Z1936"/>
    </row>
    <row r="1937" spans="2:26" x14ac:dyDescent="0.25">
      <c r="B1937"/>
      <c r="Z1937"/>
    </row>
    <row r="1938" spans="2:26" x14ac:dyDescent="0.25">
      <c r="B1938"/>
      <c r="Z1938"/>
    </row>
    <row r="1939" spans="2:26" x14ac:dyDescent="0.25">
      <c r="B1939"/>
      <c r="Z1939"/>
    </row>
    <row r="1940" spans="2:26" x14ac:dyDescent="0.25">
      <c r="B1940"/>
      <c r="Z1940"/>
    </row>
    <row r="1941" spans="2:26" x14ac:dyDescent="0.25">
      <c r="B1941"/>
      <c r="Z1941"/>
    </row>
    <row r="1942" spans="2:26" x14ac:dyDescent="0.25">
      <c r="B1942"/>
      <c r="Z1942"/>
    </row>
    <row r="1943" spans="2:26" x14ac:dyDescent="0.25">
      <c r="B1943"/>
      <c r="Z1943"/>
    </row>
    <row r="1944" spans="2:26" x14ac:dyDescent="0.25">
      <c r="B1944"/>
      <c r="Z1944"/>
    </row>
    <row r="1945" spans="2:26" x14ac:dyDescent="0.25">
      <c r="B1945"/>
      <c r="Z1945"/>
    </row>
    <row r="1946" spans="2:26" x14ac:dyDescent="0.25">
      <c r="B1946"/>
      <c r="Z1946"/>
    </row>
    <row r="1947" spans="2:26" x14ac:dyDescent="0.25">
      <c r="B1947"/>
      <c r="Z1947"/>
    </row>
    <row r="1948" spans="2:26" x14ac:dyDescent="0.25">
      <c r="B1948"/>
      <c r="Z1948"/>
    </row>
    <row r="1949" spans="2:26" x14ac:dyDescent="0.25">
      <c r="B1949"/>
      <c r="Z1949"/>
    </row>
    <row r="1950" spans="2:26" x14ac:dyDescent="0.25">
      <c r="B1950"/>
      <c r="Z1950"/>
    </row>
    <row r="1951" spans="2:26" x14ac:dyDescent="0.25">
      <c r="B1951"/>
      <c r="Z1951"/>
    </row>
    <row r="1952" spans="2:26" x14ac:dyDescent="0.25">
      <c r="B1952"/>
      <c r="Z1952"/>
    </row>
    <row r="1953" spans="2:26" x14ac:dyDescent="0.25">
      <c r="B1953"/>
      <c r="Z1953"/>
    </row>
    <row r="1954" spans="2:26" x14ac:dyDescent="0.25">
      <c r="B1954"/>
      <c r="Z1954"/>
    </row>
    <row r="1955" spans="2:26" x14ac:dyDescent="0.25">
      <c r="B1955"/>
      <c r="Z1955"/>
    </row>
    <row r="1956" spans="2:26" x14ac:dyDescent="0.25">
      <c r="B1956"/>
      <c r="Z1956"/>
    </row>
    <row r="1957" spans="2:26" x14ac:dyDescent="0.25">
      <c r="B1957"/>
      <c r="Z1957"/>
    </row>
    <row r="1958" spans="2:26" x14ac:dyDescent="0.25">
      <c r="B1958"/>
      <c r="Z1958"/>
    </row>
    <row r="1959" spans="2:26" x14ac:dyDescent="0.25">
      <c r="B1959"/>
      <c r="Z1959"/>
    </row>
    <row r="1960" spans="2:26" x14ac:dyDescent="0.25">
      <c r="B1960"/>
      <c r="Z1960"/>
    </row>
    <row r="1961" spans="2:26" x14ac:dyDescent="0.25">
      <c r="B1961"/>
      <c r="Z1961"/>
    </row>
    <row r="1962" spans="2:26" x14ac:dyDescent="0.25">
      <c r="B1962"/>
      <c r="Z1962"/>
    </row>
    <row r="1963" spans="2:26" x14ac:dyDescent="0.25">
      <c r="B1963"/>
      <c r="Z1963"/>
    </row>
    <row r="1964" spans="2:26" x14ac:dyDescent="0.25">
      <c r="B1964"/>
      <c r="Z1964"/>
    </row>
    <row r="1965" spans="2:26" x14ac:dyDescent="0.25">
      <c r="B1965"/>
      <c r="Z1965"/>
    </row>
    <row r="1966" spans="2:26" x14ac:dyDescent="0.25">
      <c r="B1966"/>
      <c r="Z1966"/>
    </row>
    <row r="1967" spans="2:26" x14ac:dyDescent="0.25">
      <c r="B1967"/>
      <c r="Z1967"/>
    </row>
    <row r="1968" spans="2:26" x14ac:dyDescent="0.25">
      <c r="B1968"/>
      <c r="Z1968"/>
    </row>
    <row r="1969" spans="2:26" x14ac:dyDescent="0.25">
      <c r="B1969"/>
      <c r="Z1969"/>
    </row>
    <row r="1970" spans="2:26" x14ac:dyDescent="0.25">
      <c r="B1970"/>
      <c r="Z1970"/>
    </row>
    <row r="1971" spans="2:26" x14ac:dyDescent="0.25">
      <c r="B1971"/>
      <c r="Z1971"/>
    </row>
    <row r="1972" spans="2:26" x14ac:dyDescent="0.25">
      <c r="B1972"/>
      <c r="Z1972"/>
    </row>
    <row r="1973" spans="2:26" x14ac:dyDescent="0.25">
      <c r="B1973"/>
      <c r="Z1973"/>
    </row>
    <row r="1974" spans="2:26" x14ac:dyDescent="0.25">
      <c r="B1974"/>
      <c r="Z1974"/>
    </row>
    <row r="1975" spans="2:26" x14ac:dyDescent="0.25">
      <c r="B1975"/>
      <c r="Z1975"/>
    </row>
    <row r="1976" spans="2:26" x14ac:dyDescent="0.25">
      <c r="B1976"/>
      <c r="Z1976"/>
    </row>
    <row r="1977" spans="2:26" x14ac:dyDescent="0.25">
      <c r="B1977"/>
      <c r="Z1977"/>
    </row>
    <row r="1978" spans="2:26" x14ac:dyDescent="0.25">
      <c r="B1978"/>
      <c r="Z1978"/>
    </row>
    <row r="1979" spans="2:26" x14ac:dyDescent="0.25">
      <c r="B1979"/>
      <c r="Z1979"/>
    </row>
    <row r="1980" spans="2:26" x14ac:dyDescent="0.25">
      <c r="B1980"/>
      <c r="Z1980"/>
    </row>
    <row r="1981" spans="2:26" x14ac:dyDescent="0.25">
      <c r="B1981"/>
      <c r="Z1981"/>
    </row>
    <row r="1982" spans="2:26" x14ac:dyDescent="0.25">
      <c r="B1982"/>
      <c r="Z1982"/>
    </row>
    <row r="1983" spans="2:26" x14ac:dyDescent="0.25">
      <c r="B1983"/>
      <c r="Z1983"/>
    </row>
    <row r="1984" spans="2:26" x14ac:dyDescent="0.25">
      <c r="B1984"/>
      <c r="Z1984"/>
    </row>
    <row r="1985" spans="2:26" x14ac:dyDescent="0.25">
      <c r="B1985"/>
      <c r="Z1985"/>
    </row>
    <row r="1986" spans="2:26" x14ac:dyDescent="0.25">
      <c r="B1986"/>
      <c r="Z1986"/>
    </row>
    <row r="1987" spans="2:26" x14ac:dyDescent="0.25">
      <c r="B1987"/>
      <c r="Z1987"/>
    </row>
    <row r="1988" spans="2:26" x14ac:dyDescent="0.25">
      <c r="B1988"/>
      <c r="Z1988"/>
    </row>
    <row r="1989" spans="2:26" x14ac:dyDescent="0.25">
      <c r="B1989"/>
      <c r="Z1989"/>
    </row>
    <row r="1990" spans="2:26" x14ac:dyDescent="0.25">
      <c r="B1990"/>
      <c r="Z1990"/>
    </row>
    <row r="1991" spans="2:26" x14ac:dyDescent="0.25">
      <c r="B1991"/>
      <c r="Z1991"/>
    </row>
    <row r="1992" spans="2:26" x14ac:dyDescent="0.25">
      <c r="B1992"/>
      <c r="Z1992"/>
    </row>
    <row r="1993" spans="2:26" x14ac:dyDescent="0.25">
      <c r="B1993"/>
      <c r="Z1993"/>
    </row>
    <row r="1994" spans="2:26" x14ac:dyDescent="0.25">
      <c r="B1994"/>
      <c r="Z1994"/>
    </row>
    <row r="1995" spans="2:26" x14ac:dyDescent="0.25">
      <c r="B1995"/>
      <c r="Z1995"/>
    </row>
    <row r="1996" spans="2:26" x14ac:dyDescent="0.25">
      <c r="B1996"/>
      <c r="Z1996"/>
    </row>
    <row r="1997" spans="2:26" x14ac:dyDescent="0.25">
      <c r="B1997"/>
      <c r="Z1997"/>
    </row>
    <row r="1998" spans="2:26" x14ac:dyDescent="0.25">
      <c r="B1998"/>
      <c r="Z1998"/>
    </row>
    <row r="1999" spans="2:26" x14ac:dyDescent="0.25">
      <c r="B1999"/>
      <c r="Z1999"/>
    </row>
    <row r="2000" spans="2:26" x14ac:dyDescent="0.25">
      <c r="B2000"/>
      <c r="Z2000"/>
    </row>
    <row r="2001" spans="2:26" x14ac:dyDescent="0.25">
      <c r="B2001"/>
      <c r="Z2001"/>
    </row>
    <row r="2002" spans="2:26" x14ac:dyDescent="0.25">
      <c r="B2002"/>
      <c r="Z2002"/>
    </row>
    <row r="2003" spans="2:26" x14ac:dyDescent="0.25">
      <c r="B2003"/>
      <c r="Z2003"/>
    </row>
    <row r="2004" spans="2:26" x14ac:dyDescent="0.25">
      <c r="B2004"/>
      <c r="Z2004"/>
    </row>
    <row r="2005" spans="2:26" x14ac:dyDescent="0.25">
      <c r="B2005"/>
      <c r="Z2005"/>
    </row>
    <row r="2006" spans="2:26" x14ac:dyDescent="0.25">
      <c r="B2006"/>
      <c r="Z2006"/>
    </row>
    <row r="2007" spans="2:26" x14ac:dyDescent="0.25">
      <c r="B2007"/>
      <c r="Z2007"/>
    </row>
    <row r="2008" spans="2:26" x14ac:dyDescent="0.25">
      <c r="B2008"/>
      <c r="Z2008"/>
    </row>
    <row r="2009" spans="2:26" x14ac:dyDescent="0.25">
      <c r="B2009"/>
      <c r="Z2009"/>
    </row>
    <row r="2010" spans="2:26" x14ac:dyDescent="0.25">
      <c r="B2010"/>
      <c r="Z2010"/>
    </row>
    <row r="2011" spans="2:26" x14ac:dyDescent="0.25">
      <c r="B2011"/>
      <c r="Z2011"/>
    </row>
    <row r="2012" spans="2:26" x14ac:dyDescent="0.25">
      <c r="B2012"/>
      <c r="Z2012"/>
    </row>
    <row r="2013" spans="2:26" x14ac:dyDescent="0.25">
      <c r="B2013"/>
      <c r="Z2013"/>
    </row>
    <row r="2014" spans="2:26" x14ac:dyDescent="0.25">
      <c r="B2014"/>
      <c r="Z2014"/>
    </row>
    <row r="2015" spans="2:26" x14ac:dyDescent="0.25">
      <c r="B2015"/>
      <c r="Z2015"/>
    </row>
    <row r="2016" spans="2:26" x14ac:dyDescent="0.25">
      <c r="B2016"/>
      <c r="Z2016"/>
    </row>
    <row r="2017" spans="2:26" x14ac:dyDescent="0.25">
      <c r="B2017"/>
      <c r="Z2017"/>
    </row>
    <row r="2018" spans="2:26" x14ac:dyDescent="0.25">
      <c r="B2018"/>
      <c r="Z2018"/>
    </row>
    <row r="2019" spans="2:26" x14ac:dyDescent="0.25">
      <c r="B2019"/>
      <c r="Z2019"/>
    </row>
    <row r="2020" spans="2:26" x14ac:dyDescent="0.25">
      <c r="B2020"/>
      <c r="Z2020"/>
    </row>
    <row r="2021" spans="2:26" x14ac:dyDescent="0.25">
      <c r="B2021"/>
      <c r="Z2021"/>
    </row>
    <row r="2022" spans="2:26" x14ac:dyDescent="0.25">
      <c r="B2022"/>
      <c r="Z2022"/>
    </row>
    <row r="2023" spans="2:26" x14ac:dyDescent="0.25">
      <c r="B2023"/>
      <c r="Z2023"/>
    </row>
    <row r="2024" spans="2:26" x14ac:dyDescent="0.25">
      <c r="B2024"/>
      <c r="Z2024"/>
    </row>
    <row r="2025" spans="2:26" x14ac:dyDescent="0.25">
      <c r="B2025"/>
      <c r="Z2025"/>
    </row>
    <row r="2026" spans="2:26" x14ac:dyDescent="0.25">
      <c r="B2026"/>
      <c r="Z2026"/>
    </row>
    <row r="2027" spans="2:26" x14ac:dyDescent="0.25">
      <c r="B2027"/>
      <c r="Z2027"/>
    </row>
    <row r="2028" spans="2:26" x14ac:dyDescent="0.25">
      <c r="B2028"/>
      <c r="Z2028"/>
    </row>
    <row r="2029" spans="2:26" x14ac:dyDescent="0.25">
      <c r="B2029"/>
      <c r="Z2029"/>
    </row>
    <row r="2030" spans="2:26" x14ac:dyDescent="0.25">
      <c r="B2030"/>
      <c r="Z2030"/>
    </row>
    <row r="2031" spans="2:26" x14ac:dyDescent="0.25">
      <c r="B2031"/>
      <c r="Z2031"/>
    </row>
    <row r="2032" spans="2:26" x14ac:dyDescent="0.25">
      <c r="B2032"/>
      <c r="Z2032"/>
    </row>
    <row r="2033" spans="2:26" x14ac:dyDescent="0.25">
      <c r="B2033"/>
      <c r="Z2033"/>
    </row>
    <row r="2034" spans="2:26" x14ac:dyDescent="0.25">
      <c r="B2034"/>
      <c r="Z2034"/>
    </row>
    <row r="2035" spans="2:26" x14ac:dyDescent="0.25">
      <c r="B2035"/>
      <c r="Z2035"/>
    </row>
    <row r="2036" spans="2:26" x14ac:dyDescent="0.25">
      <c r="B2036"/>
      <c r="Z2036"/>
    </row>
    <row r="2037" spans="2:26" x14ac:dyDescent="0.25">
      <c r="B2037"/>
      <c r="Z2037"/>
    </row>
    <row r="2038" spans="2:26" x14ac:dyDescent="0.25">
      <c r="B2038"/>
      <c r="Z2038"/>
    </row>
    <row r="2039" spans="2:26" x14ac:dyDescent="0.25">
      <c r="B2039"/>
      <c r="Z2039"/>
    </row>
    <row r="2040" spans="2:26" x14ac:dyDescent="0.25">
      <c r="B2040"/>
      <c r="Z2040"/>
    </row>
    <row r="2041" spans="2:26" x14ac:dyDescent="0.25">
      <c r="B2041"/>
      <c r="Z2041"/>
    </row>
    <row r="2042" spans="2:26" x14ac:dyDescent="0.25">
      <c r="B2042"/>
      <c r="Z2042"/>
    </row>
    <row r="2043" spans="2:26" x14ac:dyDescent="0.25">
      <c r="B2043"/>
      <c r="Z2043"/>
    </row>
    <row r="2044" spans="2:26" x14ac:dyDescent="0.25">
      <c r="B2044"/>
      <c r="Z2044"/>
    </row>
    <row r="2045" spans="2:26" x14ac:dyDescent="0.25">
      <c r="B2045"/>
      <c r="Z2045"/>
    </row>
    <row r="2046" spans="2:26" x14ac:dyDescent="0.25">
      <c r="B2046"/>
      <c r="Z2046"/>
    </row>
    <row r="2047" spans="2:26" x14ac:dyDescent="0.25">
      <c r="B2047"/>
      <c r="Z2047"/>
    </row>
    <row r="2048" spans="2:26" x14ac:dyDescent="0.25">
      <c r="B2048"/>
      <c r="Z2048"/>
    </row>
    <row r="2049" spans="2:26" x14ac:dyDescent="0.25">
      <c r="B2049"/>
      <c r="Z2049"/>
    </row>
    <row r="2050" spans="2:26" x14ac:dyDescent="0.25">
      <c r="B2050"/>
      <c r="Z2050"/>
    </row>
    <row r="2051" spans="2:26" x14ac:dyDescent="0.25">
      <c r="B2051"/>
      <c r="Z2051"/>
    </row>
    <row r="2052" spans="2:26" x14ac:dyDescent="0.25">
      <c r="B2052"/>
      <c r="Z2052"/>
    </row>
    <row r="2053" spans="2:26" x14ac:dyDescent="0.25">
      <c r="B2053"/>
      <c r="Z2053"/>
    </row>
    <row r="2054" spans="2:26" x14ac:dyDescent="0.25">
      <c r="B2054"/>
      <c r="Z2054"/>
    </row>
    <row r="2055" spans="2:26" x14ac:dyDescent="0.25">
      <c r="B2055"/>
      <c r="Z2055"/>
    </row>
    <row r="2056" spans="2:26" x14ac:dyDescent="0.25">
      <c r="B2056"/>
      <c r="Z2056"/>
    </row>
    <row r="2057" spans="2:26" x14ac:dyDescent="0.25">
      <c r="B2057"/>
      <c r="Z2057"/>
    </row>
    <row r="2058" spans="2:26" x14ac:dyDescent="0.25">
      <c r="B2058"/>
      <c r="Z2058"/>
    </row>
    <row r="2059" spans="2:26" x14ac:dyDescent="0.25">
      <c r="B2059"/>
      <c r="Z2059"/>
    </row>
    <row r="2060" spans="2:26" x14ac:dyDescent="0.25">
      <c r="B2060"/>
      <c r="Z2060"/>
    </row>
    <row r="2061" spans="2:26" x14ac:dyDescent="0.25">
      <c r="B2061"/>
      <c r="Z2061"/>
    </row>
    <row r="2062" spans="2:26" x14ac:dyDescent="0.25">
      <c r="B2062"/>
      <c r="Z2062"/>
    </row>
    <row r="2063" spans="2:26" x14ac:dyDescent="0.25">
      <c r="B2063"/>
      <c r="Z2063"/>
    </row>
    <row r="2064" spans="2:26" x14ac:dyDescent="0.25">
      <c r="B2064"/>
      <c r="Z2064"/>
    </row>
    <row r="2065" spans="2:26" x14ac:dyDescent="0.25">
      <c r="B2065"/>
      <c r="Z2065"/>
    </row>
    <row r="2066" spans="2:26" x14ac:dyDescent="0.25">
      <c r="B2066"/>
      <c r="Z2066"/>
    </row>
    <row r="2067" spans="2:26" x14ac:dyDescent="0.25">
      <c r="B2067"/>
      <c r="Z2067"/>
    </row>
    <row r="2068" spans="2:26" x14ac:dyDescent="0.25">
      <c r="B2068"/>
      <c r="Z2068"/>
    </row>
    <row r="2069" spans="2:26" x14ac:dyDescent="0.25">
      <c r="B2069"/>
      <c r="Z2069"/>
    </row>
    <row r="2070" spans="2:26" x14ac:dyDescent="0.25">
      <c r="B2070"/>
      <c r="Z2070"/>
    </row>
    <row r="2071" spans="2:26" x14ac:dyDescent="0.25">
      <c r="B2071"/>
      <c r="Z2071"/>
    </row>
    <row r="2072" spans="2:26" x14ac:dyDescent="0.25">
      <c r="B2072"/>
      <c r="Z2072"/>
    </row>
    <row r="2073" spans="2:26" x14ac:dyDescent="0.25">
      <c r="B2073"/>
      <c r="Z2073"/>
    </row>
    <row r="2074" spans="2:26" x14ac:dyDescent="0.25">
      <c r="B2074"/>
      <c r="Z2074"/>
    </row>
    <row r="2075" spans="2:26" x14ac:dyDescent="0.25">
      <c r="B2075"/>
      <c r="Z2075"/>
    </row>
    <row r="2076" spans="2:26" x14ac:dyDescent="0.25">
      <c r="B2076"/>
      <c r="Z2076"/>
    </row>
    <row r="2077" spans="2:26" x14ac:dyDescent="0.25">
      <c r="B2077"/>
      <c r="Z2077"/>
    </row>
    <row r="2078" spans="2:26" x14ac:dyDescent="0.25">
      <c r="B2078"/>
      <c r="Z2078"/>
    </row>
    <row r="2079" spans="2:26" x14ac:dyDescent="0.25">
      <c r="B2079"/>
      <c r="Z2079"/>
    </row>
    <row r="2080" spans="2:26" x14ac:dyDescent="0.25">
      <c r="B2080"/>
      <c r="Z2080"/>
    </row>
    <row r="2081" spans="2:26" x14ac:dyDescent="0.25">
      <c r="B2081"/>
      <c r="Z2081"/>
    </row>
    <row r="2082" spans="2:26" x14ac:dyDescent="0.25">
      <c r="B2082"/>
      <c r="Z2082"/>
    </row>
    <row r="2083" spans="2:26" x14ac:dyDescent="0.25">
      <c r="B2083"/>
      <c r="Z2083"/>
    </row>
    <row r="2084" spans="2:26" x14ac:dyDescent="0.25">
      <c r="B2084"/>
      <c r="Z2084"/>
    </row>
    <row r="2085" spans="2:26" x14ac:dyDescent="0.25">
      <c r="B2085"/>
      <c r="Z2085"/>
    </row>
    <row r="2086" spans="2:26" x14ac:dyDescent="0.25">
      <c r="B2086"/>
      <c r="Z2086"/>
    </row>
    <row r="2087" spans="2:26" x14ac:dyDescent="0.25">
      <c r="B2087"/>
      <c r="Z2087"/>
    </row>
    <row r="2088" spans="2:26" x14ac:dyDescent="0.25">
      <c r="B2088"/>
      <c r="Z2088"/>
    </row>
    <row r="2089" spans="2:26" x14ac:dyDescent="0.25">
      <c r="B2089"/>
      <c r="Z2089"/>
    </row>
    <row r="2090" spans="2:26" x14ac:dyDescent="0.25">
      <c r="B2090"/>
      <c r="Z2090"/>
    </row>
    <row r="2091" spans="2:26" x14ac:dyDescent="0.25">
      <c r="B2091"/>
      <c r="Z2091"/>
    </row>
    <row r="2092" spans="2:26" x14ac:dyDescent="0.25">
      <c r="B2092"/>
      <c r="Z2092"/>
    </row>
    <row r="2093" spans="2:26" x14ac:dyDescent="0.25">
      <c r="B2093"/>
      <c r="Z2093"/>
    </row>
    <row r="2094" spans="2:26" x14ac:dyDescent="0.25">
      <c r="B2094"/>
      <c r="Z2094"/>
    </row>
    <row r="2095" spans="2:26" x14ac:dyDescent="0.25">
      <c r="B2095"/>
      <c r="Z2095"/>
    </row>
    <row r="2096" spans="2:26" x14ac:dyDescent="0.25">
      <c r="B2096"/>
      <c r="Z2096"/>
    </row>
    <row r="2097" spans="2:26" x14ac:dyDescent="0.25">
      <c r="B2097"/>
      <c r="Z2097"/>
    </row>
    <row r="2098" spans="2:26" x14ac:dyDescent="0.25">
      <c r="B2098"/>
      <c r="Z2098"/>
    </row>
    <row r="2099" spans="2:26" x14ac:dyDescent="0.25">
      <c r="B2099"/>
      <c r="Z2099"/>
    </row>
    <row r="2100" spans="2:26" x14ac:dyDescent="0.25">
      <c r="B2100"/>
      <c r="Z2100"/>
    </row>
    <row r="2101" spans="2:26" x14ac:dyDescent="0.25">
      <c r="B2101"/>
      <c r="Z2101"/>
    </row>
    <row r="2102" spans="2:26" x14ac:dyDescent="0.25">
      <c r="B2102"/>
      <c r="Z2102"/>
    </row>
    <row r="2103" spans="2:26" x14ac:dyDescent="0.25">
      <c r="B2103"/>
      <c r="Z2103"/>
    </row>
    <row r="2104" spans="2:26" x14ac:dyDescent="0.25">
      <c r="B2104"/>
      <c r="Z2104"/>
    </row>
    <row r="2105" spans="2:26" x14ac:dyDescent="0.25">
      <c r="B2105"/>
      <c r="Z2105"/>
    </row>
    <row r="2106" spans="2:26" x14ac:dyDescent="0.25">
      <c r="B2106"/>
      <c r="Z2106"/>
    </row>
    <row r="2107" spans="2:26" x14ac:dyDescent="0.25">
      <c r="B2107"/>
      <c r="Z2107"/>
    </row>
    <row r="2108" spans="2:26" x14ac:dyDescent="0.25">
      <c r="B2108"/>
      <c r="Z2108"/>
    </row>
    <row r="2109" spans="2:26" x14ac:dyDescent="0.25">
      <c r="B2109"/>
      <c r="Z2109"/>
    </row>
    <row r="2110" spans="2:26" x14ac:dyDescent="0.25">
      <c r="B2110"/>
      <c r="Z2110"/>
    </row>
    <row r="2111" spans="2:26" x14ac:dyDescent="0.25">
      <c r="B2111"/>
      <c r="Z2111"/>
    </row>
    <row r="2112" spans="2:26" x14ac:dyDescent="0.25">
      <c r="B2112"/>
      <c r="Z2112"/>
    </row>
    <row r="2113" spans="2:26" x14ac:dyDescent="0.25">
      <c r="B2113"/>
      <c r="Z2113"/>
    </row>
    <row r="2114" spans="2:26" x14ac:dyDescent="0.25">
      <c r="B2114"/>
      <c r="Z2114"/>
    </row>
    <row r="2115" spans="2:26" x14ac:dyDescent="0.25">
      <c r="B2115"/>
      <c r="Z2115"/>
    </row>
    <row r="2116" spans="2:26" x14ac:dyDescent="0.25">
      <c r="B2116"/>
      <c r="Z2116"/>
    </row>
    <row r="2117" spans="2:26" x14ac:dyDescent="0.25">
      <c r="B2117"/>
      <c r="Z2117"/>
    </row>
    <row r="2118" spans="2:26" x14ac:dyDescent="0.25">
      <c r="B2118"/>
      <c r="Z2118"/>
    </row>
    <row r="2119" spans="2:26" x14ac:dyDescent="0.25">
      <c r="B2119"/>
      <c r="Z2119"/>
    </row>
    <row r="2120" spans="2:26" x14ac:dyDescent="0.25">
      <c r="B2120"/>
      <c r="Z2120"/>
    </row>
    <row r="2121" spans="2:26" x14ac:dyDescent="0.25">
      <c r="B2121"/>
      <c r="Z2121"/>
    </row>
    <row r="2122" spans="2:26" x14ac:dyDescent="0.25">
      <c r="B2122"/>
      <c r="Z2122"/>
    </row>
    <row r="2123" spans="2:26" x14ac:dyDescent="0.25">
      <c r="B2123"/>
      <c r="Z2123"/>
    </row>
    <row r="2124" spans="2:26" x14ac:dyDescent="0.25">
      <c r="B2124"/>
      <c r="Z2124"/>
    </row>
    <row r="2125" spans="2:26" x14ac:dyDescent="0.25">
      <c r="B2125"/>
      <c r="Z2125"/>
    </row>
    <row r="2126" spans="2:26" x14ac:dyDescent="0.25">
      <c r="B2126"/>
      <c r="Z2126"/>
    </row>
    <row r="2127" spans="2:26" x14ac:dyDescent="0.25">
      <c r="B2127"/>
      <c r="Z2127"/>
    </row>
    <row r="2128" spans="2:26" x14ac:dyDescent="0.25">
      <c r="B2128"/>
      <c r="Z2128"/>
    </row>
    <row r="2129" spans="2:26" x14ac:dyDescent="0.25">
      <c r="B2129"/>
      <c r="Z2129"/>
    </row>
    <row r="2130" spans="2:26" x14ac:dyDescent="0.25">
      <c r="B2130"/>
      <c r="Z2130"/>
    </row>
    <row r="2131" spans="2:26" x14ac:dyDescent="0.25">
      <c r="B2131"/>
      <c r="Z2131"/>
    </row>
    <row r="2132" spans="2:26" x14ac:dyDescent="0.25">
      <c r="B2132"/>
      <c r="Z2132"/>
    </row>
    <row r="2133" spans="2:26" x14ac:dyDescent="0.25">
      <c r="B2133"/>
      <c r="Z2133"/>
    </row>
    <row r="2134" spans="2:26" x14ac:dyDescent="0.25">
      <c r="B2134"/>
      <c r="Z2134"/>
    </row>
    <row r="2135" spans="2:26" x14ac:dyDescent="0.25">
      <c r="B2135"/>
      <c r="Z2135"/>
    </row>
    <row r="2136" spans="2:26" x14ac:dyDescent="0.25">
      <c r="B2136"/>
      <c r="Z2136"/>
    </row>
    <row r="2137" spans="2:26" x14ac:dyDescent="0.25">
      <c r="B2137"/>
      <c r="Z2137"/>
    </row>
    <row r="2138" spans="2:26" x14ac:dyDescent="0.25">
      <c r="B2138"/>
      <c r="Z2138"/>
    </row>
    <row r="2139" spans="2:26" x14ac:dyDescent="0.25">
      <c r="B2139"/>
      <c r="Z2139"/>
    </row>
    <row r="2140" spans="2:26" x14ac:dyDescent="0.25">
      <c r="B2140"/>
      <c r="Z2140"/>
    </row>
    <row r="2141" spans="2:26" x14ac:dyDescent="0.25">
      <c r="B2141"/>
      <c r="Z2141"/>
    </row>
    <row r="2142" spans="2:26" x14ac:dyDescent="0.25">
      <c r="B2142"/>
      <c r="Z2142"/>
    </row>
    <row r="2143" spans="2:26" x14ac:dyDescent="0.25">
      <c r="B2143"/>
      <c r="Z2143"/>
    </row>
    <row r="2144" spans="2:26" x14ac:dyDescent="0.25">
      <c r="B2144"/>
      <c r="Z2144"/>
    </row>
    <row r="2145" spans="2:26" x14ac:dyDescent="0.25">
      <c r="B2145"/>
      <c r="Z2145"/>
    </row>
    <row r="2146" spans="2:26" x14ac:dyDescent="0.25">
      <c r="B2146"/>
      <c r="Z2146"/>
    </row>
    <row r="2147" spans="2:26" x14ac:dyDescent="0.25">
      <c r="B2147"/>
      <c r="Z2147"/>
    </row>
    <row r="2148" spans="2:26" x14ac:dyDescent="0.25">
      <c r="B2148"/>
      <c r="Z2148"/>
    </row>
    <row r="2149" spans="2:26" x14ac:dyDescent="0.25">
      <c r="B2149"/>
      <c r="Z2149"/>
    </row>
    <row r="2150" spans="2:26" x14ac:dyDescent="0.25">
      <c r="B2150"/>
      <c r="Z2150"/>
    </row>
    <row r="2151" spans="2:26" x14ac:dyDescent="0.25">
      <c r="B2151"/>
      <c r="Z2151"/>
    </row>
    <row r="2152" spans="2:26" x14ac:dyDescent="0.25">
      <c r="B2152"/>
      <c r="Z2152"/>
    </row>
    <row r="2153" spans="2:26" x14ac:dyDescent="0.25">
      <c r="B2153"/>
      <c r="Z2153"/>
    </row>
    <row r="2154" spans="2:26" x14ac:dyDescent="0.25">
      <c r="B2154"/>
      <c r="Z2154"/>
    </row>
    <row r="2155" spans="2:26" x14ac:dyDescent="0.25">
      <c r="B2155"/>
      <c r="Z2155"/>
    </row>
    <row r="2156" spans="2:26" x14ac:dyDescent="0.25">
      <c r="B2156"/>
      <c r="Z2156"/>
    </row>
    <row r="2157" spans="2:26" x14ac:dyDescent="0.25">
      <c r="B2157"/>
      <c r="Z2157"/>
    </row>
    <row r="2158" spans="2:26" x14ac:dyDescent="0.25">
      <c r="B2158"/>
      <c r="Z2158"/>
    </row>
    <row r="2159" spans="2:26" x14ac:dyDescent="0.25">
      <c r="B2159"/>
      <c r="Z2159"/>
    </row>
    <row r="2160" spans="2:26" x14ac:dyDescent="0.25">
      <c r="B2160"/>
      <c r="Z2160"/>
    </row>
    <row r="2161" spans="2:26" x14ac:dyDescent="0.25">
      <c r="B2161"/>
      <c r="Z2161"/>
    </row>
    <row r="2162" spans="2:26" x14ac:dyDescent="0.25">
      <c r="B2162"/>
      <c r="Z2162"/>
    </row>
    <row r="2163" spans="2:26" x14ac:dyDescent="0.25">
      <c r="B2163"/>
      <c r="Z2163"/>
    </row>
    <row r="2164" spans="2:26" x14ac:dyDescent="0.25">
      <c r="B2164"/>
      <c r="Z2164"/>
    </row>
    <row r="2165" spans="2:26" x14ac:dyDescent="0.25">
      <c r="B2165"/>
      <c r="Z2165"/>
    </row>
    <row r="2166" spans="2:26" x14ac:dyDescent="0.25">
      <c r="B2166"/>
      <c r="Z2166"/>
    </row>
    <row r="2167" spans="2:26" x14ac:dyDescent="0.25">
      <c r="B2167"/>
      <c r="Z2167"/>
    </row>
    <row r="2168" spans="2:26" x14ac:dyDescent="0.25">
      <c r="B2168"/>
      <c r="Z2168"/>
    </row>
    <row r="2169" spans="2:26" x14ac:dyDescent="0.25">
      <c r="B2169"/>
      <c r="Z2169"/>
    </row>
    <row r="2170" spans="2:26" x14ac:dyDescent="0.25">
      <c r="B2170"/>
      <c r="Z2170"/>
    </row>
    <row r="2171" spans="2:26" x14ac:dyDescent="0.25">
      <c r="B2171"/>
      <c r="Z2171"/>
    </row>
    <row r="2172" spans="2:26" x14ac:dyDescent="0.25">
      <c r="B2172"/>
      <c r="Z2172"/>
    </row>
    <row r="2173" spans="2:26" x14ac:dyDescent="0.25">
      <c r="B2173"/>
      <c r="Z2173"/>
    </row>
    <row r="2174" spans="2:26" x14ac:dyDescent="0.25">
      <c r="B2174"/>
      <c r="Z2174"/>
    </row>
    <row r="2175" spans="2:26" x14ac:dyDescent="0.25">
      <c r="B2175"/>
      <c r="Z2175"/>
    </row>
    <row r="2176" spans="2:26" x14ac:dyDescent="0.25">
      <c r="B2176"/>
      <c r="Z2176"/>
    </row>
    <row r="2177" spans="2:26" x14ac:dyDescent="0.25">
      <c r="B2177"/>
      <c r="Z2177"/>
    </row>
    <row r="2178" spans="2:26" x14ac:dyDescent="0.25">
      <c r="B2178"/>
      <c r="Z2178"/>
    </row>
    <row r="2179" spans="2:26" x14ac:dyDescent="0.25">
      <c r="B2179"/>
      <c r="Z2179"/>
    </row>
    <row r="2180" spans="2:26" x14ac:dyDescent="0.25">
      <c r="B2180"/>
      <c r="Z2180"/>
    </row>
    <row r="2181" spans="2:26" x14ac:dyDescent="0.25">
      <c r="B2181"/>
      <c r="Z2181"/>
    </row>
    <row r="2182" spans="2:26" x14ac:dyDescent="0.25">
      <c r="B2182"/>
      <c r="Z2182"/>
    </row>
    <row r="2183" spans="2:26" x14ac:dyDescent="0.25">
      <c r="B2183"/>
      <c r="Z2183"/>
    </row>
    <row r="2184" spans="2:26" x14ac:dyDescent="0.25">
      <c r="B2184"/>
      <c r="Z2184"/>
    </row>
    <row r="2185" spans="2:26" x14ac:dyDescent="0.25">
      <c r="B2185"/>
      <c r="Z2185"/>
    </row>
    <row r="2186" spans="2:26" x14ac:dyDescent="0.25">
      <c r="B2186"/>
      <c r="Z2186"/>
    </row>
    <row r="2187" spans="2:26" x14ac:dyDescent="0.25">
      <c r="B2187"/>
      <c r="Z2187"/>
    </row>
    <row r="2188" spans="2:26" x14ac:dyDescent="0.25">
      <c r="B2188"/>
      <c r="Z2188"/>
    </row>
    <row r="2189" spans="2:26" x14ac:dyDescent="0.25">
      <c r="B2189"/>
      <c r="Z2189"/>
    </row>
    <row r="2190" spans="2:26" x14ac:dyDescent="0.25">
      <c r="B2190"/>
      <c r="Z2190"/>
    </row>
    <row r="2191" spans="2:26" x14ac:dyDescent="0.25">
      <c r="B2191"/>
      <c r="Z2191"/>
    </row>
    <row r="2192" spans="2:26" x14ac:dyDescent="0.25">
      <c r="B2192"/>
      <c r="Z2192"/>
    </row>
    <row r="2193" spans="2:26" x14ac:dyDescent="0.25">
      <c r="B2193"/>
      <c r="Z2193"/>
    </row>
    <row r="2194" spans="2:26" x14ac:dyDescent="0.25">
      <c r="B2194"/>
      <c r="Z2194"/>
    </row>
    <row r="2195" spans="2:26" x14ac:dyDescent="0.25">
      <c r="B2195"/>
      <c r="Z2195"/>
    </row>
    <row r="2196" spans="2:26" x14ac:dyDescent="0.25">
      <c r="B2196"/>
      <c r="Z2196"/>
    </row>
    <row r="2197" spans="2:26" x14ac:dyDescent="0.25">
      <c r="B2197"/>
      <c r="Z2197"/>
    </row>
    <row r="2198" spans="2:26" x14ac:dyDescent="0.25">
      <c r="B2198"/>
      <c r="Z2198"/>
    </row>
    <row r="2199" spans="2:26" x14ac:dyDescent="0.25">
      <c r="B2199"/>
      <c r="Z2199"/>
    </row>
    <row r="2200" spans="2:26" x14ac:dyDescent="0.25">
      <c r="B2200"/>
      <c r="Z2200"/>
    </row>
    <row r="2201" spans="2:26" x14ac:dyDescent="0.25">
      <c r="B2201"/>
      <c r="Z2201"/>
    </row>
    <row r="2202" spans="2:26" x14ac:dyDescent="0.25">
      <c r="B2202"/>
      <c r="Z2202"/>
    </row>
    <row r="2203" spans="2:26" x14ac:dyDescent="0.25">
      <c r="B2203"/>
      <c r="Z2203"/>
    </row>
    <row r="2204" spans="2:26" x14ac:dyDescent="0.25">
      <c r="B2204"/>
      <c r="Z2204"/>
    </row>
    <row r="2205" spans="2:26" x14ac:dyDescent="0.25">
      <c r="B2205"/>
      <c r="Z2205"/>
    </row>
    <row r="2206" spans="2:26" x14ac:dyDescent="0.25">
      <c r="B2206"/>
      <c r="Z2206"/>
    </row>
    <row r="2207" spans="2:26" x14ac:dyDescent="0.25">
      <c r="B2207"/>
      <c r="Z2207"/>
    </row>
    <row r="2208" spans="2:26" x14ac:dyDescent="0.25">
      <c r="B2208"/>
      <c r="Z2208"/>
    </row>
    <row r="2209" spans="2:26" x14ac:dyDescent="0.25">
      <c r="B2209"/>
      <c r="Z2209"/>
    </row>
    <row r="2210" spans="2:26" x14ac:dyDescent="0.25">
      <c r="B2210"/>
      <c r="Z2210"/>
    </row>
    <row r="2211" spans="2:26" x14ac:dyDescent="0.25">
      <c r="B2211"/>
      <c r="Z2211"/>
    </row>
    <row r="2212" spans="2:26" x14ac:dyDescent="0.25">
      <c r="B2212"/>
      <c r="Z2212"/>
    </row>
    <row r="2213" spans="2:26" x14ac:dyDescent="0.25">
      <c r="B2213"/>
      <c r="Z2213"/>
    </row>
    <row r="2214" spans="2:26" x14ac:dyDescent="0.25">
      <c r="B2214"/>
      <c r="Z2214"/>
    </row>
    <row r="2215" spans="2:26" x14ac:dyDescent="0.25">
      <c r="B2215"/>
      <c r="Z2215"/>
    </row>
    <row r="2216" spans="2:26" x14ac:dyDescent="0.25">
      <c r="B2216"/>
      <c r="Z2216"/>
    </row>
    <row r="2217" spans="2:26" x14ac:dyDescent="0.25">
      <c r="B2217"/>
      <c r="Z2217"/>
    </row>
    <row r="2218" spans="2:26" x14ac:dyDescent="0.25">
      <c r="B2218"/>
      <c r="Z2218"/>
    </row>
    <row r="2219" spans="2:26" x14ac:dyDescent="0.25">
      <c r="B2219"/>
      <c r="Z2219"/>
    </row>
    <row r="2220" spans="2:26" x14ac:dyDescent="0.25">
      <c r="B2220"/>
      <c r="Z2220"/>
    </row>
    <row r="2221" spans="2:26" x14ac:dyDescent="0.25">
      <c r="B2221"/>
      <c r="Z2221"/>
    </row>
    <row r="2222" spans="2:26" x14ac:dyDescent="0.25">
      <c r="B2222"/>
      <c r="Z2222"/>
    </row>
    <row r="2223" spans="2:26" x14ac:dyDescent="0.25">
      <c r="B2223"/>
      <c r="Z2223"/>
    </row>
    <row r="2224" spans="2:26" x14ac:dyDescent="0.25">
      <c r="B2224"/>
      <c r="Z2224"/>
    </row>
    <row r="2225" spans="2:26" x14ac:dyDescent="0.25">
      <c r="B2225"/>
      <c r="Z2225"/>
    </row>
    <row r="2226" spans="2:26" x14ac:dyDescent="0.25">
      <c r="B2226"/>
      <c r="Z2226"/>
    </row>
    <row r="2227" spans="2:26" x14ac:dyDescent="0.25">
      <c r="B2227"/>
      <c r="Z2227"/>
    </row>
    <row r="2228" spans="2:26" x14ac:dyDescent="0.25">
      <c r="B2228"/>
      <c r="Z2228"/>
    </row>
    <row r="2229" spans="2:26" x14ac:dyDescent="0.25">
      <c r="B2229"/>
      <c r="Z2229"/>
    </row>
    <row r="2230" spans="2:26" x14ac:dyDescent="0.25">
      <c r="B2230"/>
      <c r="Z2230"/>
    </row>
    <row r="2231" spans="2:26" x14ac:dyDescent="0.25">
      <c r="B2231"/>
      <c r="Z2231"/>
    </row>
    <row r="2232" spans="2:26" x14ac:dyDescent="0.25">
      <c r="B2232"/>
      <c r="Z2232"/>
    </row>
    <row r="2233" spans="2:26" x14ac:dyDescent="0.25">
      <c r="B2233"/>
      <c r="Z2233"/>
    </row>
    <row r="2234" spans="2:26" x14ac:dyDescent="0.25">
      <c r="B2234"/>
      <c r="Z2234"/>
    </row>
    <row r="2235" spans="2:26" x14ac:dyDescent="0.25">
      <c r="B2235"/>
      <c r="Z2235"/>
    </row>
    <row r="2236" spans="2:26" x14ac:dyDescent="0.25">
      <c r="B2236"/>
      <c r="Z2236"/>
    </row>
    <row r="2237" spans="2:26" x14ac:dyDescent="0.25">
      <c r="B2237"/>
      <c r="Z2237"/>
    </row>
    <row r="2238" spans="2:26" x14ac:dyDescent="0.25">
      <c r="B2238"/>
      <c r="Z2238"/>
    </row>
    <row r="2239" spans="2:26" x14ac:dyDescent="0.25">
      <c r="B2239"/>
      <c r="Z2239"/>
    </row>
    <row r="2240" spans="2:26" x14ac:dyDescent="0.25">
      <c r="B2240"/>
      <c r="Z2240"/>
    </row>
    <row r="2241" spans="2:26" x14ac:dyDescent="0.25">
      <c r="B2241"/>
      <c r="Z2241"/>
    </row>
    <row r="2242" spans="2:26" x14ac:dyDescent="0.25">
      <c r="B2242"/>
      <c r="Z2242"/>
    </row>
    <row r="2243" spans="2:26" x14ac:dyDescent="0.25">
      <c r="B2243"/>
      <c r="Z2243"/>
    </row>
    <row r="2244" spans="2:26" x14ac:dyDescent="0.25">
      <c r="B2244"/>
      <c r="Z2244"/>
    </row>
    <row r="2245" spans="2:26" x14ac:dyDescent="0.25">
      <c r="B2245"/>
      <c r="Z2245"/>
    </row>
    <row r="2246" spans="2:26" x14ac:dyDescent="0.25">
      <c r="B2246"/>
      <c r="Z2246"/>
    </row>
    <row r="2247" spans="2:26" x14ac:dyDescent="0.25">
      <c r="B2247"/>
      <c r="Z2247"/>
    </row>
    <row r="2248" spans="2:26" x14ac:dyDescent="0.25">
      <c r="B2248"/>
      <c r="Z2248"/>
    </row>
    <row r="2249" spans="2:26" x14ac:dyDescent="0.25">
      <c r="B2249"/>
      <c r="Z2249"/>
    </row>
    <row r="2250" spans="2:26" x14ac:dyDescent="0.25">
      <c r="B2250"/>
      <c r="Z2250"/>
    </row>
    <row r="2251" spans="2:26" x14ac:dyDescent="0.25">
      <c r="B2251"/>
      <c r="Z2251"/>
    </row>
    <row r="2252" spans="2:26" x14ac:dyDescent="0.25">
      <c r="B2252"/>
      <c r="Z2252"/>
    </row>
    <row r="2253" spans="2:26" x14ac:dyDescent="0.25">
      <c r="B2253"/>
      <c r="Z2253"/>
    </row>
    <row r="2254" spans="2:26" x14ac:dyDescent="0.25">
      <c r="B2254"/>
      <c r="Z2254"/>
    </row>
    <row r="2255" spans="2:26" x14ac:dyDescent="0.25">
      <c r="B2255"/>
      <c r="Z2255"/>
    </row>
    <row r="2256" spans="2:26" x14ac:dyDescent="0.25">
      <c r="B2256"/>
      <c r="Z2256"/>
    </row>
    <row r="2257" spans="2:26" x14ac:dyDescent="0.25">
      <c r="B2257"/>
      <c r="Z2257"/>
    </row>
    <row r="2258" spans="2:26" x14ac:dyDescent="0.25">
      <c r="B2258"/>
      <c r="Z2258"/>
    </row>
    <row r="2259" spans="2:26" x14ac:dyDescent="0.25">
      <c r="B2259"/>
      <c r="Z2259"/>
    </row>
    <row r="2260" spans="2:26" x14ac:dyDescent="0.25">
      <c r="B2260"/>
      <c r="Z2260"/>
    </row>
    <row r="2261" spans="2:26" x14ac:dyDescent="0.25">
      <c r="B2261"/>
      <c r="Z2261"/>
    </row>
    <row r="2262" spans="2:26" x14ac:dyDescent="0.25">
      <c r="B2262"/>
      <c r="Z2262"/>
    </row>
    <row r="2263" spans="2:26" x14ac:dyDescent="0.25">
      <c r="B2263"/>
      <c r="Z2263"/>
    </row>
    <row r="2264" spans="2:26" x14ac:dyDescent="0.25">
      <c r="B2264"/>
      <c r="Z2264"/>
    </row>
    <row r="2265" spans="2:26" x14ac:dyDescent="0.25">
      <c r="B2265"/>
      <c r="Z2265"/>
    </row>
    <row r="2266" spans="2:26" x14ac:dyDescent="0.25">
      <c r="B2266"/>
      <c r="Z2266"/>
    </row>
    <row r="2267" spans="2:26" x14ac:dyDescent="0.25">
      <c r="B2267"/>
      <c r="Z2267"/>
    </row>
    <row r="2268" spans="2:26" x14ac:dyDescent="0.25">
      <c r="B2268"/>
      <c r="Z2268"/>
    </row>
    <row r="2269" spans="2:26" x14ac:dyDescent="0.25">
      <c r="B2269"/>
      <c r="Z2269"/>
    </row>
    <row r="2270" spans="2:26" x14ac:dyDescent="0.25">
      <c r="B2270"/>
      <c r="Z2270"/>
    </row>
    <row r="2271" spans="2:26" x14ac:dyDescent="0.25">
      <c r="B2271"/>
      <c r="Z2271"/>
    </row>
    <row r="2272" spans="2:26" x14ac:dyDescent="0.25">
      <c r="B2272"/>
      <c r="Z2272"/>
    </row>
    <row r="2273" spans="2:26" x14ac:dyDescent="0.25">
      <c r="B2273"/>
      <c r="Z2273"/>
    </row>
    <row r="2274" spans="2:26" x14ac:dyDescent="0.25">
      <c r="B2274"/>
      <c r="Z2274"/>
    </row>
    <row r="2275" spans="2:26" x14ac:dyDescent="0.25">
      <c r="B2275"/>
      <c r="Z2275"/>
    </row>
    <row r="2276" spans="2:26" x14ac:dyDescent="0.25">
      <c r="B2276"/>
      <c r="Z2276"/>
    </row>
    <row r="2277" spans="2:26" x14ac:dyDescent="0.25">
      <c r="B2277"/>
      <c r="Z2277"/>
    </row>
    <row r="2278" spans="2:26" x14ac:dyDescent="0.25">
      <c r="B2278"/>
      <c r="Z2278"/>
    </row>
    <row r="2279" spans="2:26" x14ac:dyDescent="0.25">
      <c r="B2279"/>
      <c r="Z2279"/>
    </row>
    <row r="2280" spans="2:26" x14ac:dyDescent="0.25">
      <c r="B2280"/>
      <c r="Z2280"/>
    </row>
    <row r="2281" spans="2:26" x14ac:dyDescent="0.25">
      <c r="B2281"/>
      <c r="Z2281"/>
    </row>
    <row r="2282" spans="2:26" x14ac:dyDescent="0.25">
      <c r="B2282"/>
      <c r="Z2282"/>
    </row>
    <row r="2283" spans="2:26" x14ac:dyDescent="0.25">
      <c r="B2283"/>
      <c r="Z2283"/>
    </row>
    <row r="2284" spans="2:26" x14ac:dyDescent="0.25">
      <c r="B2284"/>
      <c r="Z2284"/>
    </row>
    <row r="2285" spans="2:26" x14ac:dyDescent="0.25">
      <c r="B2285"/>
      <c r="Z2285"/>
    </row>
    <row r="2286" spans="2:26" x14ac:dyDescent="0.25">
      <c r="B2286"/>
      <c r="Z2286"/>
    </row>
    <row r="2287" spans="2:26" x14ac:dyDescent="0.25">
      <c r="B2287"/>
      <c r="Z2287"/>
    </row>
    <row r="2288" spans="2:26" x14ac:dyDescent="0.25">
      <c r="B2288"/>
      <c r="Z2288"/>
    </row>
    <row r="2289" spans="2:26" x14ac:dyDescent="0.25">
      <c r="B2289"/>
      <c r="Z2289"/>
    </row>
    <row r="2290" spans="2:26" x14ac:dyDescent="0.25">
      <c r="B2290"/>
      <c r="Z2290"/>
    </row>
    <row r="2291" spans="2:26" x14ac:dyDescent="0.25">
      <c r="B2291"/>
      <c r="Z2291"/>
    </row>
    <row r="2292" spans="2:26" x14ac:dyDescent="0.25">
      <c r="B2292"/>
      <c r="Z2292"/>
    </row>
    <row r="2293" spans="2:26" x14ac:dyDescent="0.25">
      <c r="B2293"/>
      <c r="Z2293"/>
    </row>
    <row r="2294" spans="2:26" x14ac:dyDescent="0.25">
      <c r="B2294"/>
      <c r="Z2294"/>
    </row>
    <row r="2295" spans="2:26" x14ac:dyDescent="0.25">
      <c r="B2295"/>
      <c r="Z2295"/>
    </row>
    <row r="2296" spans="2:26" x14ac:dyDescent="0.25">
      <c r="B2296"/>
      <c r="Z2296"/>
    </row>
    <row r="2297" spans="2:26" x14ac:dyDescent="0.25">
      <c r="B2297"/>
      <c r="Z2297"/>
    </row>
    <row r="2298" spans="2:26" x14ac:dyDescent="0.25">
      <c r="B2298"/>
      <c r="Z2298"/>
    </row>
    <row r="2299" spans="2:26" x14ac:dyDescent="0.25">
      <c r="B2299"/>
      <c r="Z2299"/>
    </row>
    <row r="2300" spans="2:26" x14ac:dyDescent="0.25">
      <c r="B2300"/>
      <c r="Z2300"/>
    </row>
    <row r="2301" spans="2:26" x14ac:dyDescent="0.25">
      <c r="B2301"/>
      <c r="Z2301"/>
    </row>
    <row r="2302" spans="2:26" x14ac:dyDescent="0.25">
      <c r="B2302"/>
      <c r="Z2302"/>
    </row>
    <row r="2303" spans="2:26" x14ac:dyDescent="0.25">
      <c r="B2303"/>
      <c r="Z2303"/>
    </row>
    <row r="2304" spans="2:26" x14ac:dyDescent="0.25">
      <c r="B2304"/>
      <c r="Z2304"/>
    </row>
    <row r="2305" spans="2:26" x14ac:dyDescent="0.25">
      <c r="B2305"/>
      <c r="Z2305"/>
    </row>
    <row r="2306" spans="2:26" x14ac:dyDescent="0.25">
      <c r="B2306"/>
      <c r="Z2306"/>
    </row>
    <row r="2307" spans="2:26" x14ac:dyDescent="0.25">
      <c r="B2307"/>
      <c r="Z2307"/>
    </row>
    <row r="2308" spans="2:26" x14ac:dyDescent="0.25">
      <c r="B2308"/>
      <c r="Z2308"/>
    </row>
    <row r="2309" spans="2:26" x14ac:dyDescent="0.25">
      <c r="B2309"/>
      <c r="Z2309"/>
    </row>
    <row r="2310" spans="2:26" x14ac:dyDescent="0.25">
      <c r="B2310"/>
      <c r="Z2310"/>
    </row>
    <row r="2311" spans="2:26" x14ac:dyDescent="0.25">
      <c r="B2311"/>
      <c r="Z2311"/>
    </row>
    <row r="2312" spans="2:26" x14ac:dyDescent="0.25">
      <c r="B2312"/>
      <c r="Z2312"/>
    </row>
    <row r="2313" spans="2:26" x14ac:dyDescent="0.25">
      <c r="B2313"/>
      <c r="Z2313"/>
    </row>
    <row r="2314" spans="2:26" x14ac:dyDescent="0.25">
      <c r="B2314"/>
      <c r="Z2314"/>
    </row>
    <row r="2315" spans="2:26" x14ac:dyDescent="0.25">
      <c r="B2315"/>
      <c r="Z2315"/>
    </row>
    <row r="2316" spans="2:26" x14ac:dyDescent="0.25">
      <c r="B2316"/>
      <c r="Z2316"/>
    </row>
    <row r="2317" spans="2:26" x14ac:dyDescent="0.25">
      <c r="B2317"/>
      <c r="Z2317"/>
    </row>
    <row r="2318" spans="2:26" x14ac:dyDescent="0.25">
      <c r="B2318"/>
      <c r="Z2318"/>
    </row>
    <row r="2319" spans="2:26" x14ac:dyDescent="0.25">
      <c r="B2319"/>
      <c r="Z2319"/>
    </row>
    <row r="2320" spans="2:26" x14ac:dyDescent="0.25">
      <c r="B2320"/>
      <c r="K2320" s="6"/>
      <c r="Z2320"/>
    </row>
    <row r="2321" spans="1:33" x14ac:dyDescent="0.25">
      <c r="B2321"/>
      <c r="Z2321"/>
    </row>
    <row r="2322" spans="1:33" x14ac:dyDescent="0.25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</row>
    <row r="2323" spans="1:33" x14ac:dyDescent="0.25">
      <c r="B2323"/>
      <c r="Z2323"/>
    </row>
    <row r="2324" spans="1:33" x14ac:dyDescent="0.25">
      <c r="B2324"/>
      <c r="Z2324"/>
    </row>
    <row r="2325" spans="1:33" x14ac:dyDescent="0.25">
      <c r="B2325"/>
      <c r="Z2325"/>
    </row>
    <row r="2326" spans="1:33" x14ac:dyDescent="0.25">
      <c r="B2326"/>
      <c r="Z2326"/>
    </row>
    <row r="2327" spans="1:33" x14ac:dyDescent="0.25">
      <c r="B2327"/>
      <c r="Z2327"/>
    </row>
    <row r="2328" spans="1:33" x14ac:dyDescent="0.25">
      <c r="B2328"/>
      <c r="Z2328"/>
    </row>
    <row r="2329" spans="1:33" x14ac:dyDescent="0.25">
      <c r="B2329"/>
      <c r="Z2329"/>
    </row>
    <row r="2330" spans="1:33" x14ac:dyDescent="0.25">
      <c r="B2330"/>
      <c r="Z2330"/>
    </row>
    <row r="2331" spans="1:33" x14ac:dyDescent="0.25">
      <c r="B2331"/>
      <c r="Z2331"/>
    </row>
    <row r="2332" spans="1:33" x14ac:dyDescent="0.25">
      <c r="B2332"/>
      <c r="Z2332"/>
    </row>
    <row r="2333" spans="1:33" x14ac:dyDescent="0.25">
      <c r="B2333"/>
      <c r="Z2333"/>
    </row>
    <row r="2334" spans="1:33" x14ac:dyDescent="0.25">
      <c r="B2334"/>
      <c r="Z2334"/>
    </row>
    <row r="2335" spans="1:33" x14ac:dyDescent="0.25">
      <c r="B2335"/>
      <c r="Z2335"/>
    </row>
    <row r="2336" spans="1:33" x14ac:dyDescent="0.25">
      <c r="B2336"/>
      <c r="Z2336"/>
    </row>
    <row r="2337" spans="2:26" x14ac:dyDescent="0.25">
      <c r="B2337"/>
      <c r="Z2337"/>
    </row>
    <row r="2338" spans="2:26" x14ac:dyDescent="0.25">
      <c r="B2338"/>
      <c r="Z2338"/>
    </row>
    <row r="2339" spans="2:26" x14ac:dyDescent="0.25">
      <c r="B2339"/>
      <c r="Z2339"/>
    </row>
    <row r="2340" spans="2:26" x14ac:dyDescent="0.25">
      <c r="B2340"/>
      <c r="Z2340"/>
    </row>
    <row r="2341" spans="2:26" x14ac:dyDescent="0.25">
      <c r="B2341"/>
      <c r="Z2341"/>
    </row>
    <row r="2342" spans="2:26" x14ac:dyDescent="0.25">
      <c r="B2342"/>
      <c r="Z2342"/>
    </row>
    <row r="2343" spans="2:26" x14ac:dyDescent="0.25">
      <c r="B2343"/>
      <c r="Z2343"/>
    </row>
    <row r="2344" spans="2:26" x14ac:dyDescent="0.25">
      <c r="B2344"/>
      <c r="Z2344"/>
    </row>
    <row r="2345" spans="2:26" x14ac:dyDescent="0.25">
      <c r="B2345"/>
      <c r="Z2345"/>
    </row>
    <row r="2346" spans="2:26" x14ac:dyDescent="0.25">
      <c r="B2346"/>
      <c r="Z2346"/>
    </row>
    <row r="2347" spans="2:26" x14ac:dyDescent="0.25">
      <c r="B2347"/>
      <c r="Z2347"/>
    </row>
    <row r="2348" spans="2:26" x14ac:dyDescent="0.25">
      <c r="B2348"/>
      <c r="Z2348"/>
    </row>
    <row r="2349" spans="2:26" x14ac:dyDescent="0.25">
      <c r="B2349"/>
      <c r="Z2349"/>
    </row>
    <row r="2350" spans="2:26" x14ac:dyDescent="0.25">
      <c r="B2350"/>
      <c r="Z2350"/>
    </row>
    <row r="2351" spans="2:26" x14ac:dyDescent="0.25">
      <c r="B2351"/>
      <c r="Z2351"/>
    </row>
    <row r="2352" spans="2:26" x14ac:dyDescent="0.25">
      <c r="B2352"/>
      <c r="Z2352"/>
    </row>
    <row r="2353" spans="2:26" x14ac:dyDescent="0.25">
      <c r="B2353"/>
      <c r="Z2353"/>
    </row>
    <row r="2354" spans="2:26" x14ac:dyDescent="0.25">
      <c r="B2354"/>
      <c r="Z2354"/>
    </row>
    <row r="2355" spans="2:26" x14ac:dyDescent="0.25">
      <c r="B2355"/>
      <c r="Z2355"/>
    </row>
    <row r="2356" spans="2:26" x14ac:dyDescent="0.25">
      <c r="B2356"/>
      <c r="Z2356"/>
    </row>
    <row r="2357" spans="2:26" x14ac:dyDescent="0.25">
      <c r="B2357"/>
      <c r="Z2357"/>
    </row>
    <row r="2358" spans="2:26" x14ac:dyDescent="0.25">
      <c r="B2358"/>
      <c r="Z2358"/>
    </row>
    <row r="2359" spans="2:26" x14ac:dyDescent="0.25">
      <c r="B2359"/>
      <c r="Z2359"/>
    </row>
    <row r="2360" spans="2:26" x14ac:dyDescent="0.25">
      <c r="B2360"/>
      <c r="Z2360"/>
    </row>
    <row r="2361" spans="2:26" x14ac:dyDescent="0.25">
      <c r="B2361"/>
      <c r="Z2361"/>
    </row>
    <row r="2362" spans="2:26" x14ac:dyDescent="0.25">
      <c r="B2362"/>
      <c r="Z2362"/>
    </row>
    <row r="2363" spans="2:26" x14ac:dyDescent="0.25">
      <c r="B2363"/>
      <c r="Z2363"/>
    </row>
    <row r="2364" spans="2:26" x14ac:dyDescent="0.25">
      <c r="B2364"/>
      <c r="Z2364"/>
    </row>
    <row r="2365" spans="2:26" x14ac:dyDescent="0.25">
      <c r="B2365"/>
      <c r="Z2365"/>
    </row>
    <row r="2366" spans="2:26" x14ac:dyDescent="0.25">
      <c r="B2366"/>
      <c r="Z2366"/>
    </row>
    <row r="2367" spans="2:26" x14ac:dyDescent="0.25">
      <c r="B2367"/>
      <c r="Z2367"/>
    </row>
    <row r="2368" spans="2:26" x14ac:dyDescent="0.25">
      <c r="B2368"/>
      <c r="Z2368"/>
    </row>
    <row r="2369" spans="2:26" x14ac:dyDescent="0.25">
      <c r="B2369"/>
      <c r="Z2369"/>
    </row>
    <row r="2370" spans="2:26" x14ac:dyDescent="0.25">
      <c r="B2370"/>
      <c r="Z2370"/>
    </row>
    <row r="2371" spans="2:26" x14ac:dyDescent="0.25">
      <c r="B2371"/>
      <c r="Z2371"/>
    </row>
    <row r="2372" spans="2:26" x14ac:dyDescent="0.25">
      <c r="B2372"/>
      <c r="Z2372"/>
    </row>
    <row r="2373" spans="2:26" x14ac:dyDescent="0.25">
      <c r="B2373"/>
      <c r="Z2373"/>
    </row>
    <row r="2374" spans="2:26" x14ac:dyDescent="0.25">
      <c r="B2374"/>
      <c r="Z2374"/>
    </row>
    <row r="2375" spans="2:26" x14ac:dyDescent="0.25">
      <c r="B2375"/>
      <c r="Z2375"/>
    </row>
    <row r="2376" spans="2:26" x14ac:dyDescent="0.25">
      <c r="B2376"/>
      <c r="Z2376"/>
    </row>
    <row r="2377" spans="2:26" x14ac:dyDescent="0.25">
      <c r="B2377"/>
      <c r="Z2377"/>
    </row>
    <row r="2378" spans="2:26" x14ac:dyDescent="0.25">
      <c r="B2378"/>
      <c r="Z2378"/>
    </row>
    <row r="2379" spans="2:26" x14ac:dyDescent="0.25">
      <c r="B2379"/>
      <c r="Z2379"/>
    </row>
    <row r="2380" spans="2:26" x14ac:dyDescent="0.25">
      <c r="B2380"/>
      <c r="Z2380"/>
    </row>
    <row r="2381" spans="2:26" x14ac:dyDescent="0.25">
      <c r="B2381"/>
      <c r="Z2381"/>
    </row>
    <row r="2382" spans="2:26" x14ac:dyDescent="0.25">
      <c r="B2382"/>
      <c r="Z2382"/>
    </row>
    <row r="2383" spans="2:26" x14ac:dyDescent="0.25">
      <c r="B2383"/>
      <c r="Z2383"/>
    </row>
    <row r="2384" spans="2:26" x14ac:dyDescent="0.25">
      <c r="B2384"/>
      <c r="Z2384"/>
    </row>
    <row r="2385" spans="2:26" x14ac:dyDescent="0.25">
      <c r="B2385"/>
      <c r="Z2385"/>
    </row>
    <row r="2386" spans="2:26" x14ac:dyDescent="0.25">
      <c r="B2386"/>
      <c r="Z2386"/>
    </row>
    <row r="2387" spans="2:26" x14ac:dyDescent="0.25">
      <c r="B2387"/>
      <c r="Z2387"/>
    </row>
    <row r="2388" spans="2:26" x14ac:dyDescent="0.25">
      <c r="B2388"/>
      <c r="Z2388"/>
    </row>
    <row r="2389" spans="2:26" x14ac:dyDescent="0.25">
      <c r="B2389"/>
      <c r="Z2389"/>
    </row>
    <row r="2390" spans="2:26" x14ac:dyDescent="0.25">
      <c r="B2390"/>
      <c r="Z2390"/>
    </row>
    <row r="2391" spans="2:26" x14ac:dyDescent="0.25">
      <c r="B2391"/>
      <c r="Z2391"/>
    </row>
    <row r="2392" spans="2:26" x14ac:dyDescent="0.25">
      <c r="B2392"/>
      <c r="Z2392"/>
    </row>
    <row r="2393" spans="2:26" x14ac:dyDescent="0.25">
      <c r="B2393"/>
      <c r="Z2393"/>
    </row>
    <row r="2394" spans="2:26" x14ac:dyDescent="0.25">
      <c r="B2394"/>
      <c r="Z2394"/>
    </row>
    <row r="2395" spans="2:26" x14ac:dyDescent="0.25">
      <c r="B2395"/>
      <c r="Z2395"/>
    </row>
    <row r="2396" spans="2:26" x14ac:dyDescent="0.25">
      <c r="B2396"/>
      <c r="Z2396"/>
    </row>
    <row r="2397" spans="2:26" x14ac:dyDescent="0.25">
      <c r="B2397"/>
      <c r="Z2397"/>
    </row>
    <row r="2398" spans="2:26" x14ac:dyDescent="0.25">
      <c r="B2398"/>
      <c r="Z2398"/>
    </row>
    <row r="2399" spans="2:26" x14ac:dyDescent="0.25">
      <c r="B2399"/>
      <c r="Z2399"/>
    </row>
    <row r="2400" spans="2:26" x14ac:dyDescent="0.25">
      <c r="B2400"/>
      <c r="Z2400"/>
    </row>
    <row r="2401" spans="2:26" x14ac:dyDescent="0.25">
      <c r="B2401"/>
      <c r="Z2401"/>
    </row>
    <row r="2402" spans="2:26" x14ac:dyDescent="0.25">
      <c r="B2402"/>
      <c r="Z2402"/>
    </row>
    <row r="2403" spans="2:26" x14ac:dyDescent="0.25">
      <c r="B2403"/>
      <c r="Z2403"/>
    </row>
    <row r="2404" spans="2:26" x14ac:dyDescent="0.25">
      <c r="B2404"/>
      <c r="Z2404"/>
    </row>
    <row r="2405" spans="2:26" x14ac:dyDescent="0.25">
      <c r="B2405"/>
      <c r="Z2405"/>
    </row>
    <row r="2406" spans="2:26" x14ac:dyDescent="0.25">
      <c r="B2406"/>
      <c r="Z2406"/>
    </row>
    <row r="2407" spans="2:26" x14ac:dyDescent="0.25">
      <c r="B2407"/>
      <c r="Z2407"/>
    </row>
    <row r="2408" spans="2:26" x14ac:dyDescent="0.25">
      <c r="B2408"/>
      <c r="Z2408"/>
    </row>
    <row r="2409" spans="2:26" x14ac:dyDescent="0.25">
      <c r="B2409"/>
      <c r="Z2409"/>
    </row>
    <row r="2410" spans="2:26" x14ac:dyDescent="0.25">
      <c r="B2410"/>
      <c r="Z2410"/>
    </row>
    <row r="2411" spans="2:26" x14ac:dyDescent="0.25">
      <c r="B2411"/>
      <c r="Z2411"/>
    </row>
    <row r="2412" spans="2:26" x14ac:dyDescent="0.25">
      <c r="B2412"/>
      <c r="Z2412"/>
    </row>
    <row r="2413" spans="2:26" x14ac:dyDescent="0.25">
      <c r="B2413"/>
      <c r="Z2413"/>
    </row>
    <row r="2414" spans="2:26" x14ac:dyDescent="0.25">
      <c r="B2414"/>
      <c r="Z2414"/>
    </row>
    <row r="2415" spans="2:26" x14ac:dyDescent="0.25">
      <c r="B2415"/>
      <c r="Z2415"/>
    </row>
    <row r="2416" spans="2:26" x14ac:dyDescent="0.25">
      <c r="B2416"/>
      <c r="Z2416"/>
    </row>
    <row r="2417" spans="2:26" x14ac:dyDescent="0.25">
      <c r="B2417"/>
      <c r="Z2417"/>
    </row>
    <row r="2418" spans="2:26" x14ac:dyDescent="0.25">
      <c r="B2418"/>
      <c r="Z2418"/>
    </row>
    <row r="2419" spans="2:26" x14ac:dyDescent="0.25">
      <c r="B2419"/>
      <c r="Z2419"/>
    </row>
    <row r="2420" spans="2:26" x14ac:dyDescent="0.25">
      <c r="B2420"/>
      <c r="Z2420"/>
    </row>
    <row r="2421" spans="2:26" x14ac:dyDescent="0.25">
      <c r="B2421"/>
      <c r="Z2421"/>
    </row>
    <row r="2422" spans="2:26" x14ac:dyDescent="0.25">
      <c r="B2422"/>
      <c r="Z2422"/>
    </row>
    <row r="2423" spans="2:26" x14ac:dyDescent="0.25">
      <c r="B2423"/>
      <c r="Z2423"/>
    </row>
    <row r="2424" spans="2:26" x14ac:dyDescent="0.25">
      <c r="B2424"/>
      <c r="Z2424"/>
    </row>
    <row r="2425" spans="2:26" x14ac:dyDescent="0.25">
      <c r="B2425"/>
      <c r="Z2425"/>
    </row>
    <row r="2426" spans="2:26" x14ac:dyDescent="0.25">
      <c r="B2426"/>
      <c r="Z2426"/>
    </row>
    <row r="2427" spans="2:26" x14ac:dyDescent="0.25">
      <c r="B2427"/>
      <c r="Z2427"/>
    </row>
    <row r="2428" spans="2:26" x14ac:dyDescent="0.25">
      <c r="B2428"/>
      <c r="Z2428"/>
    </row>
    <row r="2429" spans="2:26" x14ac:dyDescent="0.25">
      <c r="B2429"/>
      <c r="Z2429"/>
    </row>
    <row r="2430" spans="2:26" x14ac:dyDescent="0.25">
      <c r="B2430"/>
      <c r="Z2430"/>
    </row>
    <row r="2431" spans="2:26" x14ac:dyDescent="0.25">
      <c r="B2431"/>
      <c r="Z2431"/>
    </row>
    <row r="2432" spans="2:26" x14ac:dyDescent="0.25">
      <c r="B2432"/>
      <c r="Z2432"/>
    </row>
    <row r="2433" spans="2:26" x14ac:dyDescent="0.25">
      <c r="B2433"/>
      <c r="Z2433"/>
    </row>
    <row r="2434" spans="2:26" x14ac:dyDescent="0.25">
      <c r="B2434"/>
      <c r="Z2434"/>
    </row>
    <row r="2435" spans="2:26" x14ac:dyDescent="0.25">
      <c r="B2435"/>
      <c r="Z2435"/>
    </row>
    <row r="2436" spans="2:26" x14ac:dyDescent="0.25">
      <c r="B2436"/>
      <c r="Z2436"/>
    </row>
    <row r="2437" spans="2:26" x14ac:dyDescent="0.25">
      <c r="B2437"/>
      <c r="Z2437"/>
    </row>
    <row r="2438" spans="2:26" x14ac:dyDescent="0.25">
      <c r="B2438"/>
      <c r="Z2438"/>
    </row>
    <row r="2439" spans="2:26" x14ac:dyDescent="0.25">
      <c r="B2439"/>
      <c r="Z2439"/>
    </row>
    <row r="2440" spans="2:26" x14ac:dyDescent="0.25">
      <c r="B2440"/>
      <c r="Z2440"/>
    </row>
    <row r="2441" spans="2:26" x14ac:dyDescent="0.25">
      <c r="B2441"/>
      <c r="Z2441"/>
    </row>
    <row r="2442" spans="2:26" x14ac:dyDescent="0.25">
      <c r="B2442"/>
      <c r="Z2442"/>
    </row>
    <row r="2443" spans="2:26" x14ac:dyDescent="0.25">
      <c r="B2443"/>
      <c r="Z2443"/>
    </row>
    <row r="2444" spans="2:26" x14ac:dyDescent="0.25">
      <c r="B2444"/>
      <c r="Z2444"/>
    </row>
    <row r="2445" spans="2:26" x14ac:dyDescent="0.25">
      <c r="B2445"/>
      <c r="Z2445"/>
    </row>
    <row r="2446" spans="2:26" x14ac:dyDescent="0.25">
      <c r="B2446"/>
      <c r="Z2446"/>
    </row>
    <row r="2447" spans="2:26" x14ac:dyDescent="0.25">
      <c r="B2447"/>
      <c r="Z2447"/>
    </row>
    <row r="2448" spans="2:26" x14ac:dyDescent="0.25">
      <c r="B2448"/>
      <c r="Z2448"/>
    </row>
    <row r="2449" spans="2:26" x14ac:dyDescent="0.25">
      <c r="B2449"/>
      <c r="Z2449"/>
    </row>
    <row r="2450" spans="2:26" x14ac:dyDescent="0.25">
      <c r="B2450"/>
      <c r="Z2450"/>
    </row>
    <row r="2451" spans="2:26" x14ac:dyDescent="0.25">
      <c r="B2451"/>
      <c r="Z2451"/>
    </row>
    <row r="2452" spans="2:26" x14ac:dyDescent="0.25">
      <c r="B2452"/>
      <c r="Z2452"/>
    </row>
    <row r="2453" spans="2:26" x14ac:dyDescent="0.25">
      <c r="B2453"/>
      <c r="Z2453"/>
    </row>
    <row r="2454" spans="2:26" x14ac:dyDescent="0.25">
      <c r="B2454"/>
      <c r="Z2454"/>
    </row>
    <row r="2455" spans="2:26" x14ac:dyDescent="0.25">
      <c r="B2455"/>
      <c r="Z2455"/>
    </row>
    <row r="2456" spans="2:26" x14ac:dyDescent="0.25">
      <c r="B2456"/>
      <c r="Z2456"/>
    </row>
    <row r="2457" spans="2:26" x14ac:dyDescent="0.25">
      <c r="B2457"/>
      <c r="Z2457"/>
    </row>
    <row r="2458" spans="2:26" x14ac:dyDescent="0.25">
      <c r="B2458"/>
      <c r="Z2458"/>
    </row>
    <row r="2459" spans="2:26" x14ac:dyDescent="0.25">
      <c r="B2459"/>
      <c r="Z2459"/>
    </row>
    <row r="2460" spans="2:26" x14ac:dyDescent="0.25">
      <c r="B2460"/>
      <c r="Z2460"/>
    </row>
    <row r="2461" spans="2:26" x14ac:dyDescent="0.25">
      <c r="B2461"/>
      <c r="Z2461"/>
    </row>
    <row r="2462" spans="2:26" x14ac:dyDescent="0.25">
      <c r="B2462"/>
      <c r="Z2462"/>
    </row>
    <row r="2463" spans="2:26" x14ac:dyDescent="0.25">
      <c r="B2463"/>
      <c r="Z2463"/>
    </row>
    <row r="2464" spans="2:26" x14ac:dyDescent="0.25">
      <c r="B2464"/>
      <c r="Z2464"/>
    </row>
    <row r="2465" spans="2:26" x14ac:dyDescent="0.25">
      <c r="B2465"/>
      <c r="Z2465"/>
    </row>
    <row r="2466" spans="2:26" x14ac:dyDescent="0.25">
      <c r="B2466"/>
      <c r="Z2466"/>
    </row>
    <row r="2467" spans="2:26" x14ac:dyDescent="0.25">
      <c r="B2467"/>
      <c r="Z2467"/>
    </row>
    <row r="2468" spans="2:26" x14ac:dyDescent="0.25">
      <c r="B2468"/>
      <c r="Z2468"/>
    </row>
    <row r="2469" spans="2:26" x14ac:dyDescent="0.25">
      <c r="B2469"/>
      <c r="Z2469"/>
    </row>
    <row r="2470" spans="2:26" x14ac:dyDescent="0.25">
      <c r="B2470"/>
      <c r="Z2470"/>
    </row>
    <row r="2471" spans="2:26" x14ac:dyDescent="0.25">
      <c r="B2471"/>
      <c r="Z2471"/>
    </row>
    <row r="2472" spans="2:26" x14ac:dyDescent="0.25">
      <c r="B2472"/>
      <c r="Z2472"/>
    </row>
    <row r="2473" spans="2:26" x14ac:dyDescent="0.25">
      <c r="B2473"/>
      <c r="Z2473"/>
    </row>
    <row r="2474" spans="2:26" x14ac:dyDescent="0.25">
      <c r="B2474"/>
      <c r="Z2474"/>
    </row>
    <row r="2475" spans="2:26" x14ac:dyDescent="0.25">
      <c r="B2475"/>
      <c r="Z2475"/>
    </row>
    <row r="2476" spans="2:26" x14ac:dyDescent="0.25">
      <c r="B2476"/>
      <c r="Z2476"/>
    </row>
    <row r="2477" spans="2:26" x14ac:dyDescent="0.25">
      <c r="B2477"/>
      <c r="Z2477"/>
    </row>
    <row r="2478" spans="2:26" x14ac:dyDescent="0.25">
      <c r="B2478"/>
      <c r="Z2478"/>
    </row>
    <row r="2479" spans="2:26" x14ac:dyDescent="0.25">
      <c r="B2479"/>
      <c r="Z2479"/>
    </row>
    <row r="2480" spans="2:26" x14ac:dyDescent="0.25">
      <c r="B2480"/>
      <c r="Z2480"/>
    </row>
    <row r="2481" spans="2:26" x14ac:dyDescent="0.25">
      <c r="B2481"/>
      <c r="Z2481"/>
    </row>
    <row r="2482" spans="2:26" x14ac:dyDescent="0.25">
      <c r="B2482"/>
      <c r="Z2482"/>
    </row>
    <row r="2483" spans="2:26" x14ac:dyDescent="0.25">
      <c r="B2483"/>
      <c r="Z2483"/>
    </row>
    <row r="2484" spans="2:26" x14ac:dyDescent="0.25">
      <c r="B2484"/>
      <c r="Z2484"/>
    </row>
    <row r="2485" spans="2:26" x14ac:dyDescent="0.25">
      <c r="B2485"/>
      <c r="Z2485"/>
    </row>
    <row r="2486" spans="2:26" x14ac:dyDescent="0.25">
      <c r="B2486"/>
      <c r="Z2486"/>
    </row>
    <row r="2487" spans="2:26" x14ac:dyDescent="0.25">
      <c r="B2487"/>
      <c r="Z2487"/>
    </row>
    <row r="2488" spans="2:26" x14ac:dyDescent="0.25">
      <c r="B2488"/>
      <c r="Z2488"/>
    </row>
    <row r="2489" spans="2:26" x14ac:dyDescent="0.25">
      <c r="B2489"/>
      <c r="Z2489"/>
    </row>
    <row r="2490" spans="2:26" x14ac:dyDescent="0.25">
      <c r="B2490"/>
      <c r="Z2490"/>
    </row>
    <row r="2491" spans="2:26" x14ac:dyDescent="0.25">
      <c r="B2491"/>
      <c r="Z2491"/>
    </row>
    <row r="2492" spans="2:26" x14ac:dyDescent="0.25">
      <c r="B2492"/>
      <c r="Z2492"/>
    </row>
    <row r="2493" spans="2:26" x14ac:dyDescent="0.25">
      <c r="B2493"/>
      <c r="Z2493"/>
    </row>
    <row r="2494" spans="2:26" x14ac:dyDescent="0.25">
      <c r="B2494"/>
      <c r="Z2494"/>
    </row>
    <row r="2495" spans="2:26" x14ac:dyDescent="0.25">
      <c r="B2495"/>
      <c r="Z2495"/>
    </row>
    <row r="2496" spans="2:26" x14ac:dyDescent="0.25">
      <c r="B2496"/>
      <c r="Z2496"/>
    </row>
    <row r="2497" spans="2:26" x14ac:dyDescent="0.25">
      <c r="B2497"/>
      <c r="Z2497"/>
    </row>
    <row r="2498" spans="2:26" x14ac:dyDescent="0.25">
      <c r="B2498"/>
      <c r="Z2498"/>
    </row>
    <row r="2499" spans="2:26" x14ac:dyDescent="0.25">
      <c r="B2499"/>
      <c r="Z2499"/>
    </row>
    <row r="2500" spans="2:26" x14ac:dyDescent="0.25">
      <c r="B2500"/>
      <c r="Z2500"/>
    </row>
    <row r="2501" spans="2:26" x14ac:dyDescent="0.25">
      <c r="B2501"/>
      <c r="Z2501"/>
    </row>
    <row r="2502" spans="2:26" x14ac:dyDescent="0.25">
      <c r="B2502"/>
      <c r="Z2502"/>
    </row>
    <row r="2503" spans="2:26" x14ac:dyDescent="0.25">
      <c r="B2503"/>
      <c r="Z2503"/>
    </row>
    <row r="2504" spans="2:26" x14ac:dyDescent="0.25">
      <c r="B2504"/>
      <c r="Z2504"/>
    </row>
    <row r="2505" spans="2:26" x14ac:dyDescent="0.25">
      <c r="B2505"/>
      <c r="Z2505"/>
    </row>
    <row r="2506" spans="2:26" x14ac:dyDescent="0.25">
      <c r="B2506"/>
      <c r="Z2506"/>
    </row>
    <row r="2507" spans="2:26" x14ac:dyDescent="0.25">
      <c r="B2507"/>
      <c r="Z2507"/>
    </row>
    <row r="2508" spans="2:26" x14ac:dyDescent="0.25">
      <c r="B2508"/>
      <c r="Z2508"/>
    </row>
    <row r="2509" spans="2:26" x14ac:dyDescent="0.25">
      <c r="B2509"/>
      <c r="Z2509"/>
    </row>
    <row r="2510" spans="2:26" x14ac:dyDescent="0.25">
      <c r="B2510"/>
      <c r="Z2510"/>
    </row>
    <row r="2511" spans="2:26" x14ac:dyDescent="0.25">
      <c r="B2511"/>
      <c r="Z2511"/>
    </row>
    <row r="2512" spans="2:26" x14ac:dyDescent="0.25">
      <c r="B2512"/>
      <c r="Z2512"/>
    </row>
    <row r="2513" spans="2:26" x14ac:dyDescent="0.25">
      <c r="B2513"/>
      <c r="Z2513"/>
    </row>
    <row r="2514" spans="2:26" x14ac:dyDescent="0.25">
      <c r="B2514"/>
      <c r="Z2514"/>
    </row>
    <row r="2515" spans="2:26" x14ac:dyDescent="0.25">
      <c r="B2515"/>
      <c r="Z2515"/>
    </row>
    <row r="2516" spans="2:26" x14ac:dyDescent="0.25">
      <c r="B2516"/>
      <c r="Z2516"/>
    </row>
    <row r="2517" spans="2:26" x14ac:dyDescent="0.25">
      <c r="B2517"/>
      <c r="Z2517"/>
    </row>
    <row r="2518" spans="2:26" x14ac:dyDescent="0.25">
      <c r="B2518"/>
      <c r="Z2518"/>
    </row>
    <row r="2519" spans="2:26" x14ac:dyDescent="0.25">
      <c r="B2519"/>
      <c r="Z2519"/>
    </row>
    <row r="2520" spans="2:26" x14ac:dyDescent="0.25">
      <c r="B2520"/>
      <c r="Z2520"/>
    </row>
    <row r="2521" spans="2:26" x14ac:dyDescent="0.25">
      <c r="B2521"/>
      <c r="Z2521"/>
    </row>
    <row r="2522" spans="2:26" x14ac:dyDescent="0.25">
      <c r="B2522"/>
      <c r="Z2522"/>
    </row>
    <row r="2523" spans="2:26" x14ac:dyDescent="0.25">
      <c r="B2523"/>
      <c r="Z2523"/>
    </row>
    <row r="2524" spans="2:26" x14ac:dyDescent="0.25">
      <c r="B2524"/>
      <c r="Z2524"/>
    </row>
    <row r="2525" spans="2:26" x14ac:dyDescent="0.25">
      <c r="B2525"/>
      <c r="Z2525"/>
    </row>
    <row r="2526" spans="2:26" x14ac:dyDescent="0.25">
      <c r="B2526"/>
      <c r="Z2526"/>
    </row>
    <row r="2527" spans="2:26" x14ac:dyDescent="0.25">
      <c r="B2527"/>
      <c r="Z2527"/>
    </row>
    <row r="2528" spans="2:26" x14ac:dyDescent="0.25">
      <c r="B2528"/>
      <c r="Z2528"/>
    </row>
    <row r="2529" spans="2:26" x14ac:dyDescent="0.25">
      <c r="B2529"/>
      <c r="Z2529"/>
    </row>
    <row r="2530" spans="2:26" x14ac:dyDescent="0.25">
      <c r="B2530"/>
      <c r="Z2530"/>
    </row>
    <row r="2531" spans="2:26" x14ac:dyDescent="0.25">
      <c r="B2531"/>
      <c r="Z2531"/>
    </row>
    <row r="2532" spans="2:26" x14ac:dyDescent="0.25">
      <c r="B2532"/>
      <c r="Z2532"/>
    </row>
    <row r="2533" spans="2:26" x14ac:dyDescent="0.25">
      <c r="B2533"/>
      <c r="Z2533"/>
    </row>
    <row r="2534" spans="2:26" x14ac:dyDescent="0.25">
      <c r="B2534"/>
      <c r="Z2534"/>
    </row>
    <row r="2535" spans="2:26" x14ac:dyDescent="0.25">
      <c r="B2535"/>
      <c r="Z2535"/>
    </row>
    <row r="2536" spans="2:26" x14ac:dyDescent="0.25">
      <c r="B2536"/>
      <c r="Z2536"/>
    </row>
    <row r="2537" spans="2:26" x14ac:dyDescent="0.25">
      <c r="B2537"/>
      <c r="Z2537"/>
    </row>
    <row r="2538" spans="2:26" x14ac:dyDescent="0.25">
      <c r="B2538"/>
      <c r="Z2538"/>
    </row>
    <row r="2539" spans="2:26" x14ac:dyDescent="0.25">
      <c r="B2539"/>
      <c r="Z2539"/>
    </row>
    <row r="2540" spans="2:26" x14ac:dyDescent="0.25">
      <c r="B2540"/>
      <c r="Z2540"/>
    </row>
    <row r="2541" spans="2:26" x14ac:dyDescent="0.25">
      <c r="B2541"/>
      <c r="Z2541"/>
    </row>
    <row r="2542" spans="2:26" x14ac:dyDescent="0.25">
      <c r="B2542"/>
      <c r="Z2542"/>
    </row>
    <row r="2543" spans="2:26" x14ac:dyDescent="0.25">
      <c r="B2543"/>
      <c r="Z2543"/>
    </row>
    <row r="2544" spans="2:26" x14ac:dyDescent="0.25">
      <c r="B2544"/>
      <c r="Z2544"/>
    </row>
    <row r="2545" spans="2:26" x14ac:dyDescent="0.25">
      <c r="B2545"/>
      <c r="Z2545"/>
    </row>
    <row r="2546" spans="2:26" x14ac:dyDescent="0.25">
      <c r="B2546"/>
      <c r="Z2546"/>
    </row>
    <row r="2547" spans="2:26" x14ac:dyDescent="0.25">
      <c r="B2547"/>
      <c r="Z2547"/>
    </row>
    <row r="2548" spans="2:26" x14ac:dyDescent="0.25">
      <c r="B2548"/>
      <c r="Z2548"/>
    </row>
    <row r="2549" spans="2:26" x14ac:dyDescent="0.25">
      <c r="B2549"/>
      <c r="Z2549"/>
    </row>
    <row r="2550" spans="2:26" x14ac:dyDescent="0.25">
      <c r="B2550"/>
      <c r="Z2550"/>
    </row>
    <row r="2551" spans="2:26" x14ac:dyDescent="0.25">
      <c r="B2551"/>
      <c r="Z2551"/>
    </row>
    <row r="2552" spans="2:26" x14ac:dyDescent="0.25">
      <c r="B2552"/>
      <c r="Z2552"/>
    </row>
    <row r="2553" spans="2:26" x14ac:dyDescent="0.25">
      <c r="B2553"/>
      <c r="Z2553"/>
    </row>
    <row r="2554" spans="2:26" x14ac:dyDescent="0.25">
      <c r="B2554"/>
      <c r="Z2554"/>
    </row>
    <row r="2555" spans="2:26" x14ac:dyDescent="0.25">
      <c r="B2555"/>
      <c r="Z2555"/>
    </row>
    <row r="2556" spans="2:26" x14ac:dyDescent="0.25">
      <c r="B2556"/>
      <c r="Z2556"/>
    </row>
    <row r="2557" spans="2:26" x14ac:dyDescent="0.25">
      <c r="B2557"/>
      <c r="Z2557"/>
    </row>
    <row r="2558" spans="2:26" x14ac:dyDescent="0.25">
      <c r="B2558"/>
      <c r="Z2558"/>
    </row>
    <row r="2559" spans="2:26" x14ac:dyDescent="0.25">
      <c r="B2559"/>
      <c r="Z2559"/>
    </row>
    <row r="2560" spans="2:26" x14ac:dyDescent="0.25">
      <c r="B2560"/>
      <c r="Z2560"/>
    </row>
    <row r="2561" spans="2:26" x14ac:dyDescent="0.25">
      <c r="B2561"/>
      <c r="Z2561"/>
    </row>
    <row r="2562" spans="2:26" x14ac:dyDescent="0.25">
      <c r="B2562"/>
      <c r="Z2562"/>
    </row>
    <row r="2563" spans="2:26" x14ac:dyDescent="0.25">
      <c r="B2563"/>
      <c r="Z2563"/>
    </row>
    <row r="2564" spans="2:26" x14ac:dyDescent="0.25">
      <c r="B2564"/>
      <c r="Z2564"/>
    </row>
    <row r="2565" spans="2:26" x14ac:dyDescent="0.25">
      <c r="B2565"/>
      <c r="Z2565"/>
    </row>
    <row r="2566" spans="2:26" x14ac:dyDescent="0.25">
      <c r="B2566"/>
      <c r="Z2566"/>
    </row>
    <row r="2567" spans="2:26" x14ac:dyDescent="0.25">
      <c r="B2567"/>
      <c r="Z2567"/>
    </row>
    <row r="2568" spans="2:26" x14ac:dyDescent="0.25">
      <c r="B2568"/>
      <c r="Z2568"/>
    </row>
    <row r="2569" spans="2:26" x14ac:dyDescent="0.25">
      <c r="B2569"/>
      <c r="Z2569"/>
    </row>
    <row r="2570" spans="2:26" x14ac:dyDescent="0.25">
      <c r="B2570"/>
      <c r="Z2570"/>
    </row>
    <row r="2571" spans="2:26" x14ac:dyDescent="0.25">
      <c r="B2571"/>
      <c r="Z2571"/>
    </row>
    <row r="2572" spans="2:26" x14ac:dyDescent="0.25">
      <c r="B2572"/>
      <c r="Z2572"/>
    </row>
    <row r="2573" spans="2:26" x14ac:dyDescent="0.25">
      <c r="B2573"/>
      <c r="Z2573"/>
    </row>
    <row r="2574" spans="2:26" x14ac:dyDescent="0.25">
      <c r="B2574"/>
      <c r="Z2574"/>
    </row>
    <row r="2575" spans="2:26" x14ac:dyDescent="0.25">
      <c r="B2575"/>
      <c r="Z2575"/>
    </row>
    <row r="2576" spans="2:26" x14ac:dyDescent="0.25">
      <c r="B2576"/>
      <c r="Z2576"/>
    </row>
    <row r="2577" spans="2:26" x14ac:dyDescent="0.25">
      <c r="B2577"/>
      <c r="Z2577"/>
    </row>
    <row r="2578" spans="2:26" x14ac:dyDescent="0.25">
      <c r="B2578"/>
      <c r="Z2578"/>
    </row>
    <row r="2579" spans="2:26" x14ac:dyDescent="0.25">
      <c r="B2579"/>
      <c r="Z2579"/>
    </row>
    <row r="2580" spans="2:26" x14ac:dyDescent="0.25">
      <c r="B2580"/>
      <c r="Z2580"/>
    </row>
    <row r="2581" spans="2:26" x14ac:dyDescent="0.25">
      <c r="B2581"/>
      <c r="Z2581"/>
    </row>
    <row r="2582" spans="2:26" x14ac:dyDescent="0.25">
      <c r="B2582"/>
      <c r="Z2582"/>
    </row>
    <row r="2583" spans="2:26" x14ac:dyDescent="0.25">
      <c r="B2583"/>
      <c r="Z2583"/>
    </row>
    <row r="2584" spans="2:26" x14ac:dyDescent="0.25">
      <c r="B2584"/>
      <c r="Z2584"/>
    </row>
    <row r="2585" spans="2:26" x14ac:dyDescent="0.25">
      <c r="B2585"/>
      <c r="Z2585"/>
    </row>
    <row r="2586" spans="2:26" x14ac:dyDescent="0.25">
      <c r="B2586"/>
      <c r="Z2586"/>
    </row>
    <row r="2587" spans="2:26" x14ac:dyDescent="0.25">
      <c r="B2587"/>
      <c r="Z2587"/>
    </row>
    <row r="2588" spans="2:26" x14ac:dyDescent="0.25">
      <c r="B2588"/>
      <c r="Z2588"/>
    </row>
    <row r="2589" spans="2:26" x14ac:dyDescent="0.25">
      <c r="B2589"/>
      <c r="Z2589"/>
    </row>
    <row r="2590" spans="2:26" x14ac:dyDescent="0.25">
      <c r="B2590"/>
      <c r="Z2590"/>
    </row>
    <row r="2591" spans="2:26" x14ac:dyDescent="0.25">
      <c r="B2591"/>
      <c r="Z2591"/>
    </row>
    <row r="2592" spans="2:26" x14ac:dyDescent="0.25">
      <c r="B2592"/>
      <c r="Z2592"/>
    </row>
    <row r="2593" spans="2:26" x14ac:dyDescent="0.25">
      <c r="B2593"/>
      <c r="Z2593"/>
    </row>
    <row r="2594" spans="2:26" x14ac:dyDescent="0.25">
      <c r="B2594"/>
      <c r="Z2594"/>
    </row>
    <row r="2595" spans="2:26" x14ac:dyDescent="0.25">
      <c r="B2595"/>
      <c r="Z2595"/>
    </row>
    <row r="2596" spans="2:26" x14ac:dyDescent="0.25">
      <c r="B2596"/>
      <c r="Z2596"/>
    </row>
    <row r="2597" spans="2:26" x14ac:dyDescent="0.25">
      <c r="B2597"/>
      <c r="Z2597"/>
    </row>
    <row r="2598" spans="2:26" x14ac:dyDescent="0.25">
      <c r="B2598"/>
      <c r="Z2598"/>
    </row>
    <row r="2599" spans="2:26" x14ac:dyDescent="0.25">
      <c r="B2599"/>
      <c r="Z2599"/>
    </row>
    <row r="2600" spans="2:26" x14ac:dyDescent="0.25">
      <c r="B2600"/>
      <c r="Z2600"/>
    </row>
    <row r="2601" spans="2:26" x14ac:dyDescent="0.25">
      <c r="B2601"/>
      <c r="Z2601"/>
    </row>
    <row r="2602" spans="2:26" x14ac:dyDescent="0.25">
      <c r="B2602"/>
      <c r="Z2602"/>
    </row>
    <row r="2603" spans="2:26" x14ac:dyDescent="0.25">
      <c r="B2603"/>
      <c r="Z2603"/>
    </row>
    <row r="2604" spans="2:26" x14ac:dyDescent="0.25">
      <c r="B2604"/>
      <c r="Z2604"/>
    </row>
    <row r="2605" spans="2:26" x14ac:dyDescent="0.25">
      <c r="B2605"/>
      <c r="Z2605"/>
    </row>
    <row r="2606" spans="2:26" x14ac:dyDescent="0.25">
      <c r="B2606"/>
      <c r="Z2606"/>
    </row>
    <row r="2607" spans="2:26" x14ac:dyDescent="0.25">
      <c r="B2607"/>
      <c r="Z2607"/>
    </row>
    <row r="2608" spans="2:26" x14ac:dyDescent="0.25">
      <c r="B2608"/>
      <c r="Z2608"/>
    </row>
    <row r="2609" spans="2:26" x14ac:dyDescent="0.25">
      <c r="B2609"/>
      <c r="Z2609"/>
    </row>
    <row r="2610" spans="2:26" x14ac:dyDescent="0.25">
      <c r="B2610"/>
      <c r="Z2610"/>
    </row>
    <row r="2611" spans="2:26" x14ac:dyDescent="0.25">
      <c r="B2611"/>
      <c r="Z2611"/>
    </row>
    <row r="2612" spans="2:26" x14ac:dyDescent="0.25">
      <c r="B2612"/>
      <c r="Z2612"/>
    </row>
    <row r="2613" spans="2:26" x14ac:dyDescent="0.25">
      <c r="B2613"/>
      <c r="Z2613"/>
    </row>
    <row r="2614" spans="2:26" x14ac:dyDescent="0.25">
      <c r="B2614"/>
      <c r="Z2614"/>
    </row>
    <row r="2615" spans="2:26" x14ac:dyDescent="0.25">
      <c r="B2615"/>
      <c r="Z2615"/>
    </row>
    <row r="2616" spans="2:26" x14ac:dyDescent="0.25">
      <c r="B2616"/>
      <c r="Z2616"/>
    </row>
    <row r="2617" spans="2:26" x14ac:dyDescent="0.25">
      <c r="B2617"/>
      <c r="Z2617"/>
    </row>
    <row r="2618" spans="2:26" x14ac:dyDescent="0.25">
      <c r="B2618"/>
      <c r="Z2618"/>
    </row>
    <row r="2619" spans="2:26" x14ac:dyDescent="0.25">
      <c r="B2619"/>
      <c r="Z2619"/>
    </row>
    <row r="2620" spans="2:26" x14ac:dyDescent="0.25">
      <c r="B2620"/>
      <c r="Z2620"/>
    </row>
    <row r="2621" spans="2:26" x14ac:dyDescent="0.25">
      <c r="B2621"/>
      <c r="Z2621"/>
    </row>
    <row r="2622" spans="2:26" x14ac:dyDescent="0.25">
      <c r="B2622"/>
      <c r="Z2622"/>
    </row>
    <row r="2623" spans="2:26" x14ac:dyDescent="0.25">
      <c r="B2623"/>
      <c r="Z2623"/>
    </row>
    <row r="2624" spans="2:26" x14ac:dyDescent="0.25">
      <c r="B2624"/>
      <c r="Z2624"/>
    </row>
    <row r="2625" spans="2:26" x14ac:dyDescent="0.25">
      <c r="B2625"/>
      <c r="Z2625"/>
    </row>
    <row r="2626" spans="2:26" x14ac:dyDescent="0.25">
      <c r="B2626"/>
      <c r="Z2626"/>
    </row>
    <row r="2627" spans="2:26" x14ac:dyDescent="0.25">
      <c r="B2627"/>
      <c r="Z2627"/>
    </row>
    <row r="2628" spans="2:26" x14ac:dyDescent="0.25">
      <c r="B2628"/>
      <c r="Z2628"/>
    </row>
    <row r="2629" spans="2:26" x14ac:dyDescent="0.25">
      <c r="B2629"/>
      <c r="Z2629"/>
    </row>
    <row r="2630" spans="2:26" x14ac:dyDescent="0.25">
      <c r="B2630"/>
      <c r="Z2630"/>
    </row>
    <row r="2631" spans="2:26" x14ac:dyDescent="0.25">
      <c r="B2631"/>
      <c r="Z2631"/>
    </row>
    <row r="2632" spans="2:26" x14ac:dyDescent="0.25">
      <c r="B2632"/>
      <c r="Z2632"/>
    </row>
    <row r="2633" spans="2:26" x14ac:dyDescent="0.25">
      <c r="B2633"/>
      <c r="Z2633"/>
    </row>
    <row r="2634" spans="2:26" x14ac:dyDescent="0.25">
      <c r="B2634"/>
      <c r="Z2634"/>
    </row>
    <row r="2635" spans="2:26" x14ac:dyDescent="0.25">
      <c r="B2635"/>
      <c r="Z2635"/>
    </row>
    <row r="2636" spans="2:26" x14ac:dyDescent="0.25">
      <c r="B2636"/>
      <c r="Z2636"/>
    </row>
    <row r="2637" spans="2:26" x14ac:dyDescent="0.25">
      <c r="B2637"/>
      <c r="Z2637"/>
    </row>
    <row r="2638" spans="2:26" x14ac:dyDescent="0.25">
      <c r="B2638"/>
      <c r="Z2638"/>
    </row>
    <row r="2639" spans="2:26" x14ac:dyDescent="0.25">
      <c r="B2639"/>
      <c r="Z2639"/>
    </row>
    <row r="2640" spans="2:26" x14ac:dyDescent="0.25">
      <c r="B2640"/>
      <c r="Z2640"/>
    </row>
    <row r="2641" spans="2:26" x14ac:dyDescent="0.25">
      <c r="B2641"/>
      <c r="Z2641"/>
    </row>
    <row r="2642" spans="2:26" x14ac:dyDescent="0.25">
      <c r="B2642"/>
      <c r="Z2642"/>
    </row>
    <row r="2643" spans="2:26" x14ac:dyDescent="0.25">
      <c r="B2643"/>
      <c r="Z2643"/>
    </row>
    <row r="2644" spans="2:26" x14ac:dyDescent="0.25">
      <c r="B2644"/>
      <c r="Z2644"/>
    </row>
    <row r="2645" spans="2:26" x14ac:dyDescent="0.25">
      <c r="B2645"/>
      <c r="Z2645"/>
    </row>
    <row r="2646" spans="2:26" x14ac:dyDescent="0.25">
      <c r="B2646"/>
      <c r="Z2646"/>
    </row>
    <row r="2647" spans="2:26" x14ac:dyDescent="0.25">
      <c r="B2647"/>
      <c r="Z2647"/>
    </row>
    <row r="2648" spans="2:26" x14ac:dyDescent="0.25">
      <c r="B2648"/>
      <c r="Z2648"/>
    </row>
    <row r="2649" spans="2:26" x14ac:dyDescent="0.25">
      <c r="B2649"/>
      <c r="Z2649"/>
    </row>
    <row r="2650" spans="2:26" x14ac:dyDescent="0.25">
      <c r="B2650"/>
      <c r="Z2650"/>
    </row>
    <row r="2651" spans="2:26" x14ac:dyDescent="0.25">
      <c r="B2651"/>
      <c r="Z2651"/>
    </row>
    <row r="2652" spans="2:26" x14ac:dyDescent="0.25">
      <c r="B2652"/>
      <c r="Z2652"/>
    </row>
    <row r="2653" spans="2:26" x14ac:dyDescent="0.25">
      <c r="B2653"/>
      <c r="Z2653"/>
    </row>
    <row r="2654" spans="2:26" x14ac:dyDescent="0.25">
      <c r="B2654"/>
      <c r="Z2654"/>
    </row>
    <row r="2655" spans="2:26" x14ac:dyDescent="0.25">
      <c r="B2655"/>
      <c r="Z2655"/>
    </row>
    <row r="2656" spans="2:26" x14ac:dyDescent="0.25">
      <c r="B2656"/>
      <c r="Z2656"/>
    </row>
    <row r="2657" spans="2:26" x14ac:dyDescent="0.25">
      <c r="B2657"/>
      <c r="Z2657"/>
    </row>
    <row r="2658" spans="2:26" x14ac:dyDescent="0.25">
      <c r="B2658"/>
      <c r="Z2658"/>
    </row>
    <row r="2659" spans="2:26" x14ac:dyDescent="0.25">
      <c r="B2659"/>
      <c r="Z2659"/>
    </row>
    <row r="2660" spans="2:26" x14ac:dyDescent="0.25">
      <c r="B2660"/>
      <c r="Z2660"/>
    </row>
    <row r="2661" spans="2:26" x14ac:dyDescent="0.25">
      <c r="B2661"/>
      <c r="Z2661"/>
    </row>
    <row r="2662" spans="2:26" x14ac:dyDescent="0.25">
      <c r="B2662"/>
      <c r="Z2662"/>
    </row>
    <row r="2663" spans="2:26" x14ac:dyDescent="0.25">
      <c r="B2663"/>
      <c r="Z2663"/>
    </row>
    <row r="2664" spans="2:26" x14ac:dyDescent="0.25">
      <c r="B2664"/>
      <c r="Z2664"/>
    </row>
    <row r="2665" spans="2:26" x14ac:dyDescent="0.25">
      <c r="B2665"/>
      <c r="Z2665"/>
    </row>
    <row r="2666" spans="2:26" x14ac:dyDescent="0.25">
      <c r="B2666"/>
      <c r="Z2666"/>
    </row>
    <row r="2667" spans="2:26" x14ac:dyDescent="0.25">
      <c r="B2667"/>
      <c r="Z2667"/>
    </row>
    <row r="2668" spans="2:26" x14ac:dyDescent="0.25">
      <c r="B2668"/>
      <c r="Z2668"/>
    </row>
    <row r="2669" spans="2:26" x14ac:dyDescent="0.25">
      <c r="B2669"/>
      <c r="Z2669"/>
    </row>
    <row r="2670" spans="2:26" x14ac:dyDescent="0.25">
      <c r="B2670"/>
      <c r="Z2670"/>
    </row>
    <row r="2671" spans="2:26" x14ac:dyDescent="0.25">
      <c r="B2671"/>
      <c r="Z2671"/>
    </row>
    <row r="2672" spans="2:26" x14ac:dyDescent="0.25">
      <c r="B2672"/>
      <c r="Z2672"/>
    </row>
    <row r="2673" spans="2:26" x14ac:dyDescent="0.25">
      <c r="B2673"/>
      <c r="Z2673"/>
    </row>
    <row r="2674" spans="2:26" x14ac:dyDescent="0.25">
      <c r="B2674"/>
      <c r="Z2674"/>
    </row>
    <row r="2675" spans="2:26" x14ac:dyDescent="0.25">
      <c r="B2675"/>
      <c r="Z2675"/>
    </row>
    <row r="2676" spans="2:26" x14ac:dyDescent="0.25">
      <c r="B2676"/>
      <c r="Z2676"/>
    </row>
    <row r="2677" spans="2:26" x14ac:dyDescent="0.25">
      <c r="B2677"/>
      <c r="Z2677"/>
    </row>
    <row r="2678" spans="2:26" x14ac:dyDescent="0.25">
      <c r="B2678"/>
      <c r="Z2678"/>
    </row>
    <row r="2679" spans="2:26" x14ac:dyDescent="0.25">
      <c r="B2679"/>
      <c r="Z2679"/>
    </row>
    <row r="2680" spans="2:26" x14ac:dyDescent="0.25">
      <c r="B2680"/>
      <c r="Z2680"/>
    </row>
    <row r="2681" spans="2:26" x14ac:dyDescent="0.25">
      <c r="B2681"/>
      <c r="Z2681"/>
    </row>
    <row r="2682" spans="2:26" x14ac:dyDescent="0.25">
      <c r="B2682"/>
      <c r="Z2682"/>
    </row>
    <row r="2683" spans="2:26" x14ac:dyDescent="0.25">
      <c r="B2683"/>
      <c r="Z2683"/>
    </row>
    <row r="2684" spans="2:26" x14ac:dyDescent="0.25">
      <c r="B2684"/>
      <c r="Z2684"/>
    </row>
    <row r="2685" spans="2:26" x14ac:dyDescent="0.25">
      <c r="B2685"/>
      <c r="Z2685"/>
    </row>
    <row r="2686" spans="2:26" x14ac:dyDescent="0.25">
      <c r="B2686"/>
      <c r="Z2686"/>
    </row>
    <row r="2687" spans="2:26" x14ac:dyDescent="0.25">
      <c r="B2687"/>
      <c r="Z2687"/>
    </row>
    <row r="2688" spans="2:26" x14ac:dyDescent="0.25">
      <c r="B2688"/>
      <c r="Z2688"/>
    </row>
    <row r="2689" spans="2:26" x14ac:dyDescent="0.25">
      <c r="B2689"/>
      <c r="Z2689"/>
    </row>
    <row r="2690" spans="2:26" x14ac:dyDescent="0.25">
      <c r="B2690"/>
      <c r="Z2690"/>
    </row>
    <row r="2691" spans="2:26" x14ac:dyDescent="0.25">
      <c r="B2691"/>
      <c r="Z2691"/>
    </row>
    <row r="2692" spans="2:26" x14ac:dyDescent="0.25">
      <c r="B2692"/>
      <c r="Z2692"/>
    </row>
    <row r="2693" spans="2:26" x14ac:dyDescent="0.25">
      <c r="B2693"/>
      <c r="Z2693"/>
    </row>
    <row r="2694" spans="2:26" x14ac:dyDescent="0.25">
      <c r="B2694"/>
      <c r="Z2694"/>
    </row>
    <row r="2695" spans="2:26" x14ac:dyDescent="0.25">
      <c r="B2695"/>
      <c r="Z2695"/>
    </row>
    <row r="2696" spans="2:26" x14ac:dyDescent="0.25">
      <c r="B2696"/>
      <c r="Z2696"/>
    </row>
    <row r="2697" spans="2:26" x14ac:dyDescent="0.25">
      <c r="B2697"/>
      <c r="Z2697"/>
    </row>
    <row r="2698" spans="2:26" x14ac:dyDescent="0.25">
      <c r="B2698"/>
      <c r="Z2698"/>
    </row>
    <row r="2699" spans="2:26" x14ac:dyDescent="0.25">
      <c r="B2699"/>
      <c r="Z2699"/>
    </row>
    <row r="2700" spans="2:26" x14ac:dyDescent="0.25">
      <c r="B2700"/>
      <c r="Z2700"/>
    </row>
    <row r="2701" spans="2:26" x14ac:dyDescent="0.25">
      <c r="B2701"/>
      <c r="Z2701"/>
    </row>
    <row r="2702" spans="2:26" x14ac:dyDescent="0.25">
      <c r="B2702"/>
      <c r="Z2702"/>
    </row>
    <row r="2703" spans="2:26" x14ac:dyDescent="0.25">
      <c r="B2703"/>
      <c r="Z2703"/>
    </row>
    <row r="2704" spans="2:26" x14ac:dyDescent="0.25">
      <c r="B2704"/>
      <c r="Z2704"/>
    </row>
    <row r="2705" spans="2:26" x14ac:dyDescent="0.25">
      <c r="B2705"/>
      <c r="Z2705"/>
    </row>
    <row r="2706" spans="2:26" x14ac:dyDescent="0.25">
      <c r="B2706"/>
      <c r="Z2706"/>
    </row>
    <row r="2707" spans="2:26" x14ac:dyDescent="0.25">
      <c r="B2707"/>
      <c r="Z2707"/>
    </row>
    <row r="2708" spans="2:26" x14ac:dyDescent="0.25">
      <c r="B2708"/>
      <c r="Z2708"/>
    </row>
    <row r="2709" spans="2:26" x14ac:dyDescent="0.25">
      <c r="B2709"/>
      <c r="Z2709"/>
    </row>
    <row r="2710" spans="2:26" x14ac:dyDescent="0.25">
      <c r="B2710"/>
      <c r="Z2710"/>
    </row>
    <row r="2711" spans="2:26" x14ac:dyDescent="0.25">
      <c r="B2711"/>
      <c r="Z2711"/>
    </row>
    <row r="2712" spans="2:26" x14ac:dyDescent="0.25">
      <c r="B2712"/>
      <c r="Z2712"/>
    </row>
    <row r="2713" spans="2:26" x14ac:dyDescent="0.25">
      <c r="B2713"/>
      <c r="Z2713"/>
    </row>
    <row r="2714" spans="2:26" x14ac:dyDescent="0.25">
      <c r="B2714"/>
      <c r="Z2714"/>
    </row>
    <row r="2715" spans="2:26" x14ac:dyDescent="0.25">
      <c r="B2715"/>
      <c r="Z2715"/>
    </row>
    <row r="2716" spans="2:26" x14ac:dyDescent="0.25">
      <c r="B2716"/>
      <c r="Z2716"/>
    </row>
    <row r="2717" spans="2:26" x14ac:dyDescent="0.25">
      <c r="B2717"/>
      <c r="Z2717"/>
    </row>
    <row r="2718" spans="2:26" x14ac:dyDescent="0.25">
      <c r="B2718"/>
      <c r="Z2718"/>
    </row>
    <row r="2719" spans="2:26" x14ac:dyDescent="0.25">
      <c r="B2719"/>
      <c r="Z2719"/>
    </row>
    <row r="2720" spans="2:26" x14ac:dyDescent="0.25">
      <c r="B2720"/>
      <c r="Z2720"/>
    </row>
    <row r="2721" spans="2:26" x14ac:dyDescent="0.25">
      <c r="B2721"/>
      <c r="Z2721"/>
    </row>
    <row r="2722" spans="2:26" x14ac:dyDescent="0.25">
      <c r="B2722"/>
      <c r="Z2722"/>
    </row>
    <row r="2723" spans="2:26" x14ac:dyDescent="0.25">
      <c r="B2723"/>
      <c r="Z2723"/>
    </row>
    <row r="2724" spans="2:26" x14ac:dyDescent="0.25">
      <c r="B2724"/>
      <c r="Z2724"/>
    </row>
    <row r="2725" spans="2:26" x14ac:dyDescent="0.25">
      <c r="B2725"/>
      <c r="Z2725"/>
    </row>
    <row r="2726" spans="2:26" x14ac:dyDescent="0.25">
      <c r="B2726"/>
      <c r="Z2726"/>
    </row>
    <row r="2727" spans="2:26" x14ac:dyDescent="0.25">
      <c r="B2727"/>
      <c r="Z2727"/>
    </row>
    <row r="2728" spans="2:26" x14ac:dyDescent="0.25">
      <c r="B2728"/>
      <c r="Z2728"/>
    </row>
    <row r="2729" spans="2:26" x14ac:dyDescent="0.25">
      <c r="B2729"/>
      <c r="Z2729"/>
    </row>
    <row r="2730" spans="2:26" x14ac:dyDescent="0.25">
      <c r="B2730"/>
      <c r="Z2730"/>
    </row>
    <row r="2731" spans="2:26" x14ac:dyDescent="0.25">
      <c r="B2731"/>
      <c r="Z2731"/>
    </row>
    <row r="2732" spans="2:26" x14ac:dyDescent="0.25">
      <c r="B2732"/>
      <c r="Z2732"/>
    </row>
    <row r="2733" spans="2:26" x14ac:dyDescent="0.25">
      <c r="B2733"/>
      <c r="Z2733"/>
    </row>
    <row r="2734" spans="2:26" x14ac:dyDescent="0.25">
      <c r="B2734"/>
      <c r="Z2734"/>
    </row>
    <row r="2735" spans="2:26" x14ac:dyDescent="0.25">
      <c r="B2735"/>
      <c r="Z2735"/>
    </row>
    <row r="2736" spans="2:26" x14ac:dyDescent="0.25">
      <c r="B2736"/>
      <c r="Z2736"/>
    </row>
    <row r="2737" spans="2:26" x14ac:dyDescent="0.25">
      <c r="B2737"/>
      <c r="Z2737"/>
    </row>
    <row r="2738" spans="2:26" x14ac:dyDescent="0.25">
      <c r="B2738"/>
      <c r="Z2738"/>
    </row>
    <row r="2739" spans="2:26" x14ac:dyDescent="0.25">
      <c r="B2739"/>
      <c r="Z2739"/>
    </row>
    <row r="2740" spans="2:26" x14ac:dyDescent="0.25">
      <c r="B2740"/>
      <c r="Z2740"/>
    </row>
    <row r="2741" spans="2:26" x14ac:dyDescent="0.25">
      <c r="B2741"/>
      <c r="Z2741"/>
    </row>
    <row r="2742" spans="2:26" x14ac:dyDescent="0.25">
      <c r="B2742"/>
      <c r="Z2742"/>
    </row>
    <row r="2743" spans="2:26" x14ac:dyDescent="0.25">
      <c r="B2743"/>
      <c r="Z2743"/>
    </row>
    <row r="2744" spans="2:26" x14ac:dyDescent="0.25">
      <c r="B2744"/>
      <c r="Z2744"/>
    </row>
    <row r="2745" spans="2:26" x14ac:dyDescent="0.25">
      <c r="B2745"/>
      <c r="Z2745"/>
    </row>
    <row r="2746" spans="2:26" x14ac:dyDescent="0.25">
      <c r="B2746"/>
      <c r="Z2746"/>
    </row>
    <row r="2747" spans="2:26" x14ac:dyDescent="0.25">
      <c r="B2747"/>
      <c r="Z2747"/>
    </row>
    <row r="2748" spans="2:26" x14ac:dyDescent="0.25">
      <c r="B2748"/>
      <c r="Z2748"/>
    </row>
    <row r="2749" spans="2:26" x14ac:dyDescent="0.25">
      <c r="B2749"/>
      <c r="Z2749"/>
    </row>
    <row r="2750" spans="2:26" x14ac:dyDescent="0.25">
      <c r="B2750"/>
      <c r="Z2750"/>
    </row>
    <row r="2751" spans="2:26" x14ac:dyDescent="0.25">
      <c r="B2751"/>
      <c r="Z2751"/>
    </row>
    <row r="2752" spans="2:26" x14ac:dyDescent="0.25">
      <c r="B2752"/>
      <c r="Z2752"/>
    </row>
    <row r="2753" spans="2:26" x14ac:dyDescent="0.25">
      <c r="B2753"/>
      <c r="Z2753"/>
    </row>
    <row r="2754" spans="2:26" x14ac:dyDescent="0.25">
      <c r="B2754"/>
      <c r="Z2754"/>
    </row>
    <row r="2755" spans="2:26" x14ac:dyDescent="0.25">
      <c r="B2755"/>
      <c r="Z2755"/>
    </row>
    <row r="2756" spans="2:26" x14ac:dyDescent="0.25">
      <c r="B2756"/>
      <c r="Z2756"/>
    </row>
    <row r="2757" spans="2:26" x14ac:dyDescent="0.25">
      <c r="B2757"/>
      <c r="Z2757"/>
    </row>
    <row r="2758" spans="2:26" x14ac:dyDescent="0.25">
      <c r="B2758"/>
      <c r="Z2758"/>
    </row>
    <row r="2759" spans="2:26" x14ac:dyDescent="0.25">
      <c r="B2759"/>
      <c r="Z2759"/>
    </row>
    <row r="2760" spans="2:26" x14ac:dyDescent="0.25">
      <c r="B2760"/>
      <c r="Z2760"/>
    </row>
    <row r="2761" spans="2:26" x14ac:dyDescent="0.25">
      <c r="B2761"/>
      <c r="Z2761"/>
    </row>
    <row r="2762" spans="2:26" x14ac:dyDescent="0.25">
      <c r="B2762"/>
      <c r="Z2762"/>
    </row>
    <row r="2763" spans="2:26" x14ac:dyDescent="0.25">
      <c r="B2763"/>
      <c r="Z2763"/>
    </row>
    <row r="2764" spans="2:26" x14ac:dyDescent="0.25">
      <c r="B2764"/>
      <c r="Z2764"/>
    </row>
    <row r="2765" spans="2:26" x14ac:dyDescent="0.25">
      <c r="B2765"/>
      <c r="Z2765"/>
    </row>
    <row r="2766" spans="2:26" x14ac:dyDescent="0.25">
      <c r="B2766"/>
      <c r="Z2766"/>
    </row>
    <row r="2767" spans="2:26" x14ac:dyDescent="0.25">
      <c r="B2767"/>
      <c r="Z2767"/>
    </row>
    <row r="2768" spans="2:26" x14ac:dyDescent="0.25">
      <c r="B2768"/>
      <c r="Z2768"/>
    </row>
    <row r="2769" spans="2:26" x14ac:dyDescent="0.25">
      <c r="B2769"/>
      <c r="Z2769"/>
    </row>
    <row r="2770" spans="2:26" x14ac:dyDescent="0.25">
      <c r="B2770"/>
      <c r="Z2770"/>
    </row>
    <row r="2771" spans="2:26" x14ac:dyDescent="0.25">
      <c r="B2771"/>
      <c r="Z2771"/>
    </row>
    <row r="2772" spans="2:26" x14ac:dyDescent="0.25">
      <c r="B2772"/>
      <c r="Z2772"/>
    </row>
    <row r="2773" spans="2:26" x14ac:dyDescent="0.25">
      <c r="B2773"/>
      <c r="Z2773"/>
    </row>
    <row r="2774" spans="2:26" x14ac:dyDescent="0.25">
      <c r="B2774"/>
      <c r="Z2774"/>
    </row>
    <row r="2775" spans="2:26" x14ac:dyDescent="0.25">
      <c r="B2775"/>
      <c r="Z2775"/>
    </row>
    <row r="2776" spans="2:26" x14ac:dyDescent="0.25">
      <c r="B2776"/>
      <c r="Z2776"/>
    </row>
    <row r="2777" spans="2:26" x14ac:dyDescent="0.25">
      <c r="B2777"/>
      <c r="Z2777"/>
    </row>
    <row r="2778" spans="2:26" x14ac:dyDescent="0.25">
      <c r="B2778"/>
      <c r="Z2778"/>
    </row>
    <row r="2779" spans="2:26" x14ac:dyDescent="0.25">
      <c r="B2779"/>
      <c r="Z2779"/>
    </row>
    <row r="2780" spans="2:26" x14ac:dyDescent="0.25">
      <c r="B2780"/>
      <c r="Z2780"/>
    </row>
    <row r="2781" spans="2:26" x14ac:dyDescent="0.25">
      <c r="B2781"/>
      <c r="Z2781"/>
    </row>
    <row r="2782" spans="2:26" x14ac:dyDescent="0.25">
      <c r="B2782"/>
      <c r="Z2782"/>
    </row>
    <row r="2783" spans="2:26" x14ac:dyDescent="0.25">
      <c r="B2783"/>
      <c r="Z2783"/>
    </row>
    <row r="2784" spans="2:26" x14ac:dyDescent="0.25">
      <c r="B2784"/>
      <c r="Z2784"/>
    </row>
    <row r="2785" spans="2:26" x14ac:dyDescent="0.25">
      <c r="B2785"/>
      <c r="Z2785"/>
    </row>
    <row r="2786" spans="2:26" x14ac:dyDescent="0.25">
      <c r="B2786"/>
      <c r="Z2786"/>
    </row>
    <row r="2787" spans="2:26" x14ac:dyDescent="0.25">
      <c r="B2787"/>
      <c r="Z2787"/>
    </row>
    <row r="2788" spans="2:26" x14ac:dyDescent="0.25">
      <c r="B2788"/>
      <c r="Z2788"/>
    </row>
    <row r="2789" spans="2:26" x14ac:dyDescent="0.25">
      <c r="B2789"/>
      <c r="Z2789"/>
    </row>
    <row r="2790" spans="2:26" x14ac:dyDescent="0.25">
      <c r="B2790"/>
      <c r="Z2790"/>
    </row>
    <row r="2791" spans="2:26" x14ac:dyDescent="0.25">
      <c r="B2791"/>
      <c r="Z2791"/>
    </row>
    <row r="2792" spans="2:26" x14ac:dyDescent="0.25">
      <c r="B2792"/>
      <c r="Z2792"/>
    </row>
    <row r="2793" spans="2:26" x14ac:dyDescent="0.25">
      <c r="B2793"/>
      <c r="Z2793"/>
    </row>
    <row r="2794" spans="2:26" x14ac:dyDescent="0.25">
      <c r="B2794"/>
      <c r="Z2794"/>
    </row>
    <row r="2795" spans="2:26" x14ac:dyDescent="0.25">
      <c r="B2795"/>
      <c r="Z2795"/>
    </row>
    <row r="2796" spans="2:26" x14ac:dyDescent="0.25">
      <c r="B2796"/>
      <c r="Z2796"/>
    </row>
    <row r="2797" spans="2:26" x14ac:dyDescent="0.25">
      <c r="B2797"/>
      <c r="Z2797"/>
    </row>
    <row r="2798" spans="2:26" x14ac:dyDescent="0.25">
      <c r="B2798"/>
      <c r="Z2798"/>
    </row>
    <row r="2799" spans="2:26" x14ac:dyDescent="0.25">
      <c r="B2799"/>
      <c r="Z2799"/>
    </row>
    <row r="2800" spans="2:26" x14ac:dyDescent="0.25">
      <c r="B2800"/>
      <c r="Z2800"/>
    </row>
    <row r="2801" spans="1:33" x14ac:dyDescent="0.25">
      <c r="B2801"/>
      <c r="Z2801"/>
    </row>
    <row r="2802" spans="1:33" x14ac:dyDescent="0.25">
      <c r="B2802"/>
      <c r="Z2802"/>
    </row>
    <row r="2803" spans="1:33" x14ac:dyDescent="0.25">
      <c r="B2803"/>
      <c r="Z2803"/>
    </row>
    <row r="2804" spans="1:33" x14ac:dyDescent="0.25">
      <c r="B2804"/>
      <c r="Z2804"/>
    </row>
    <row r="2805" spans="1:33" x14ac:dyDescent="0.25">
      <c r="B2805"/>
      <c r="Z2805"/>
    </row>
    <row r="2806" spans="1:33" x14ac:dyDescent="0.25">
      <c r="B2806"/>
      <c r="Z2806"/>
    </row>
    <row r="2807" spans="1:33" x14ac:dyDescent="0.25">
      <c r="B2807"/>
      <c r="Z2807"/>
    </row>
    <row r="2808" spans="1:33" x14ac:dyDescent="0.25">
      <c r="B2808"/>
      <c r="Z2808"/>
    </row>
    <row r="2809" spans="1:33" x14ac:dyDescent="0.25">
      <c r="B2809"/>
      <c r="Z2809"/>
    </row>
    <row r="2810" spans="1:33" x14ac:dyDescent="0.25">
      <c r="B2810"/>
      <c r="Z2810"/>
    </row>
    <row r="2811" spans="1:33" x14ac:dyDescent="0.25">
      <c r="B2811"/>
      <c r="Z2811"/>
    </row>
    <row r="2812" spans="1:33" x14ac:dyDescent="0.25">
      <c r="B2812"/>
      <c r="K2812" s="6"/>
      <c r="Z2812"/>
    </row>
    <row r="2813" spans="1:33" x14ac:dyDescent="0.25">
      <c r="B2813"/>
      <c r="Z2813"/>
    </row>
    <row r="2814" spans="1:33" x14ac:dyDescent="0.25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</row>
    <row r="2815" spans="1:33" x14ac:dyDescent="0.25">
      <c r="B2815"/>
      <c r="Z2815"/>
    </row>
    <row r="2816" spans="1:33" x14ac:dyDescent="0.25">
      <c r="B2816"/>
      <c r="Z2816"/>
    </row>
    <row r="2817" spans="2:26" x14ac:dyDescent="0.25">
      <c r="B2817"/>
      <c r="Z2817"/>
    </row>
    <row r="2818" spans="2:26" x14ac:dyDescent="0.25">
      <c r="B2818"/>
      <c r="Z2818"/>
    </row>
    <row r="2819" spans="2:26" x14ac:dyDescent="0.25">
      <c r="B2819"/>
      <c r="Z2819"/>
    </row>
    <row r="2820" spans="2:26" x14ac:dyDescent="0.25">
      <c r="B2820"/>
      <c r="Z2820"/>
    </row>
    <row r="2821" spans="2:26" x14ac:dyDescent="0.25">
      <c r="B2821"/>
      <c r="Z2821"/>
    </row>
    <row r="2822" spans="2:26" x14ac:dyDescent="0.25">
      <c r="B2822"/>
      <c r="Z2822"/>
    </row>
    <row r="2823" spans="2:26" x14ac:dyDescent="0.25">
      <c r="B2823"/>
      <c r="Z2823"/>
    </row>
    <row r="2824" spans="2:26" x14ac:dyDescent="0.25">
      <c r="B2824"/>
      <c r="Z2824"/>
    </row>
    <row r="2825" spans="2:26" x14ac:dyDescent="0.25">
      <c r="B2825"/>
      <c r="Z2825"/>
    </row>
    <row r="2826" spans="2:26" x14ac:dyDescent="0.25">
      <c r="B2826"/>
      <c r="Z2826"/>
    </row>
    <row r="2827" spans="2:26" x14ac:dyDescent="0.25">
      <c r="B2827"/>
      <c r="Z2827"/>
    </row>
    <row r="2828" spans="2:26" x14ac:dyDescent="0.25">
      <c r="B2828"/>
      <c r="Z2828"/>
    </row>
    <row r="2829" spans="2:26" x14ac:dyDescent="0.25">
      <c r="B2829"/>
      <c r="Z2829"/>
    </row>
    <row r="2830" spans="2:26" x14ac:dyDescent="0.25">
      <c r="B2830"/>
      <c r="Z2830"/>
    </row>
    <row r="2831" spans="2:26" x14ac:dyDescent="0.25">
      <c r="B2831"/>
      <c r="Z2831"/>
    </row>
    <row r="2832" spans="2:26" x14ac:dyDescent="0.25">
      <c r="B2832"/>
      <c r="Z2832"/>
    </row>
    <row r="2833" spans="2:26" x14ac:dyDescent="0.25">
      <c r="B2833"/>
      <c r="Z2833"/>
    </row>
    <row r="2834" spans="2:26" x14ac:dyDescent="0.25">
      <c r="B2834"/>
      <c r="Z2834"/>
    </row>
    <row r="2835" spans="2:26" x14ac:dyDescent="0.25">
      <c r="B2835"/>
      <c r="Z2835"/>
    </row>
    <row r="2836" spans="2:26" x14ac:dyDescent="0.25">
      <c r="B2836"/>
      <c r="Z2836"/>
    </row>
    <row r="2837" spans="2:26" x14ac:dyDescent="0.25">
      <c r="B2837"/>
      <c r="Z2837"/>
    </row>
    <row r="2838" spans="2:26" x14ac:dyDescent="0.25">
      <c r="B2838"/>
      <c r="Z2838"/>
    </row>
    <row r="2839" spans="2:26" x14ac:dyDescent="0.25">
      <c r="B2839"/>
      <c r="Z2839"/>
    </row>
    <row r="2840" spans="2:26" x14ac:dyDescent="0.25">
      <c r="B2840"/>
      <c r="Z2840"/>
    </row>
    <row r="2841" spans="2:26" x14ac:dyDescent="0.25">
      <c r="B2841"/>
      <c r="Z2841"/>
    </row>
    <row r="2842" spans="2:26" x14ac:dyDescent="0.25">
      <c r="B2842"/>
      <c r="Z2842"/>
    </row>
    <row r="2843" spans="2:26" x14ac:dyDescent="0.25">
      <c r="B2843"/>
      <c r="Z2843"/>
    </row>
    <row r="2844" spans="2:26" x14ac:dyDescent="0.25">
      <c r="B2844"/>
      <c r="Z2844"/>
    </row>
    <row r="2845" spans="2:26" x14ac:dyDescent="0.25">
      <c r="B2845"/>
      <c r="Z2845"/>
    </row>
    <row r="2846" spans="2:26" x14ac:dyDescent="0.25">
      <c r="B2846"/>
      <c r="Z2846"/>
    </row>
    <row r="2847" spans="2:26" x14ac:dyDescent="0.25">
      <c r="B2847"/>
      <c r="Z2847"/>
    </row>
    <row r="2848" spans="2:26" x14ac:dyDescent="0.25">
      <c r="B2848"/>
      <c r="Z2848"/>
    </row>
    <row r="2849" spans="2:26" x14ac:dyDescent="0.25">
      <c r="B2849"/>
      <c r="Z2849"/>
    </row>
    <row r="2850" spans="2:26" x14ac:dyDescent="0.25">
      <c r="B2850"/>
      <c r="Z2850"/>
    </row>
    <row r="2851" spans="2:26" x14ac:dyDescent="0.25">
      <c r="B2851"/>
      <c r="Z2851"/>
    </row>
    <row r="2852" spans="2:26" x14ac:dyDescent="0.25">
      <c r="B2852"/>
      <c r="Z2852"/>
    </row>
    <row r="2853" spans="2:26" x14ac:dyDescent="0.25">
      <c r="B2853"/>
      <c r="Z2853"/>
    </row>
    <row r="2854" spans="2:26" x14ac:dyDescent="0.25">
      <c r="B2854"/>
      <c r="Z2854"/>
    </row>
    <row r="2855" spans="2:26" x14ac:dyDescent="0.25">
      <c r="B2855"/>
      <c r="Z2855"/>
    </row>
    <row r="2856" spans="2:26" x14ac:dyDescent="0.25">
      <c r="B2856"/>
      <c r="Z2856"/>
    </row>
    <row r="2857" spans="2:26" x14ac:dyDescent="0.25">
      <c r="B2857"/>
      <c r="Z2857"/>
    </row>
    <row r="2858" spans="2:26" x14ac:dyDescent="0.25">
      <c r="B2858"/>
      <c r="Z2858"/>
    </row>
    <row r="2859" spans="2:26" x14ac:dyDescent="0.25">
      <c r="B2859"/>
      <c r="Z2859"/>
    </row>
    <row r="2860" spans="2:26" x14ac:dyDescent="0.25">
      <c r="B2860"/>
      <c r="Z2860"/>
    </row>
    <row r="2861" spans="2:26" x14ac:dyDescent="0.25">
      <c r="B2861"/>
      <c r="Z2861"/>
    </row>
    <row r="2862" spans="2:26" x14ac:dyDescent="0.25">
      <c r="B2862"/>
      <c r="Z2862"/>
    </row>
    <row r="2863" spans="2:26" x14ac:dyDescent="0.25">
      <c r="B2863"/>
      <c r="Z2863"/>
    </row>
    <row r="2864" spans="2:26" x14ac:dyDescent="0.25">
      <c r="B2864"/>
      <c r="Z2864"/>
    </row>
    <row r="2865" spans="2:26" x14ac:dyDescent="0.25">
      <c r="B2865"/>
      <c r="Z2865"/>
    </row>
    <row r="2866" spans="2:26" x14ac:dyDescent="0.25">
      <c r="B2866"/>
      <c r="Z2866"/>
    </row>
    <row r="2867" spans="2:26" x14ac:dyDescent="0.25">
      <c r="B2867"/>
      <c r="Z2867"/>
    </row>
    <row r="2868" spans="2:26" x14ac:dyDescent="0.25">
      <c r="B2868"/>
      <c r="Z2868"/>
    </row>
    <row r="2869" spans="2:26" x14ac:dyDescent="0.25">
      <c r="B2869"/>
      <c r="Z2869"/>
    </row>
    <row r="2870" spans="2:26" x14ac:dyDescent="0.25">
      <c r="B2870"/>
      <c r="Z2870"/>
    </row>
    <row r="2871" spans="2:26" x14ac:dyDescent="0.25">
      <c r="B2871"/>
      <c r="Z2871"/>
    </row>
    <row r="2872" spans="2:26" x14ac:dyDescent="0.25">
      <c r="B2872"/>
      <c r="Z2872"/>
    </row>
    <row r="2873" spans="2:26" x14ac:dyDescent="0.25">
      <c r="B2873"/>
      <c r="Z2873"/>
    </row>
    <row r="2874" spans="2:26" x14ac:dyDescent="0.25">
      <c r="B2874"/>
      <c r="Z2874"/>
    </row>
    <row r="2875" spans="2:26" x14ac:dyDescent="0.25">
      <c r="B2875"/>
      <c r="Z2875"/>
    </row>
    <row r="2876" spans="2:26" x14ac:dyDescent="0.25">
      <c r="B2876"/>
      <c r="Z2876"/>
    </row>
    <row r="2877" spans="2:26" x14ac:dyDescent="0.25">
      <c r="B2877"/>
      <c r="Z2877"/>
    </row>
    <row r="2878" spans="2:26" x14ac:dyDescent="0.25">
      <c r="B2878"/>
      <c r="Z2878"/>
    </row>
    <row r="2879" spans="2:26" x14ac:dyDescent="0.25">
      <c r="B2879"/>
      <c r="Z2879"/>
    </row>
    <row r="2880" spans="2:26" x14ac:dyDescent="0.25">
      <c r="B2880"/>
      <c r="Z2880"/>
    </row>
    <row r="2881" spans="2:26" x14ac:dyDescent="0.25">
      <c r="B2881"/>
      <c r="Z2881"/>
    </row>
    <row r="2882" spans="2:26" x14ac:dyDescent="0.25">
      <c r="B2882"/>
      <c r="Z2882"/>
    </row>
    <row r="2883" spans="2:26" x14ac:dyDescent="0.25">
      <c r="B2883"/>
      <c r="Z2883"/>
    </row>
    <row r="2884" spans="2:26" x14ac:dyDescent="0.25">
      <c r="B2884"/>
      <c r="Z2884"/>
    </row>
    <row r="2885" spans="2:26" x14ac:dyDescent="0.25">
      <c r="B2885"/>
      <c r="Z2885"/>
    </row>
    <row r="2886" spans="2:26" x14ac:dyDescent="0.25">
      <c r="B2886"/>
      <c r="Z2886"/>
    </row>
    <row r="2887" spans="2:26" x14ac:dyDescent="0.25">
      <c r="B2887"/>
      <c r="Z2887"/>
    </row>
    <row r="2888" spans="2:26" x14ac:dyDescent="0.25">
      <c r="B2888"/>
      <c r="Z2888"/>
    </row>
    <row r="2889" spans="2:26" x14ac:dyDescent="0.25">
      <c r="B2889"/>
      <c r="Z2889"/>
    </row>
    <row r="2890" spans="2:26" x14ac:dyDescent="0.25">
      <c r="B2890"/>
      <c r="Z2890"/>
    </row>
    <row r="2891" spans="2:26" x14ac:dyDescent="0.25">
      <c r="B2891"/>
      <c r="Z2891"/>
    </row>
    <row r="2892" spans="2:26" x14ac:dyDescent="0.25">
      <c r="B2892"/>
      <c r="Z2892"/>
    </row>
    <row r="2893" spans="2:26" x14ac:dyDescent="0.25">
      <c r="B2893"/>
      <c r="Z2893"/>
    </row>
    <row r="2894" spans="2:26" x14ac:dyDescent="0.25">
      <c r="B2894"/>
      <c r="Z2894"/>
    </row>
    <row r="2895" spans="2:26" x14ac:dyDescent="0.25">
      <c r="B2895"/>
      <c r="Z2895"/>
    </row>
    <row r="2896" spans="2:26" x14ac:dyDescent="0.25">
      <c r="B2896"/>
      <c r="Z2896"/>
    </row>
    <row r="2897" spans="2:26" x14ac:dyDescent="0.25">
      <c r="B2897"/>
      <c r="Z2897"/>
    </row>
    <row r="2898" spans="2:26" x14ac:dyDescent="0.25">
      <c r="B2898"/>
      <c r="Z2898"/>
    </row>
    <row r="2899" spans="2:26" x14ac:dyDescent="0.25">
      <c r="B2899"/>
      <c r="Z2899"/>
    </row>
    <row r="2900" spans="2:26" x14ac:dyDescent="0.25">
      <c r="B2900"/>
      <c r="Z2900"/>
    </row>
    <row r="2901" spans="2:26" x14ac:dyDescent="0.25">
      <c r="B2901"/>
      <c r="Z2901"/>
    </row>
    <row r="2902" spans="2:26" x14ac:dyDescent="0.25">
      <c r="B2902"/>
      <c r="Z2902"/>
    </row>
    <row r="2903" spans="2:26" x14ac:dyDescent="0.25">
      <c r="B2903"/>
      <c r="Z2903"/>
    </row>
    <row r="2904" spans="2:26" x14ac:dyDescent="0.25">
      <c r="B2904"/>
      <c r="Z2904"/>
    </row>
    <row r="2905" spans="2:26" x14ac:dyDescent="0.25">
      <c r="B2905"/>
      <c r="Z2905"/>
    </row>
    <row r="2906" spans="2:26" x14ac:dyDescent="0.25">
      <c r="B2906"/>
      <c r="Z2906"/>
    </row>
    <row r="2907" spans="2:26" x14ac:dyDescent="0.25">
      <c r="B2907"/>
      <c r="Z2907"/>
    </row>
    <row r="2908" spans="2:26" x14ac:dyDescent="0.25">
      <c r="B2908"/>
      <c r="Z2908"/>
    </row>
    <row r="2909" spans="2:26" x14ac:dyDescent="0.25">
      <c r="B2909"/>
      <c r="Z2909"/>
    </row>
    <row r="2910" spans="2:26" x14ac:dyDescent="0.25">
      <c r="B2910"/>
      <c r="Z2910"/>
    </row>
    <row r="2911" spans="2:26" x14ac:dyDescent="0.25">
      <c r="B2911"/>
      <c r="Z2911"/>
    </row>
    <row r="2912" spans="2:26" x14ac:dyDescent="0.25">
      <c r="B2912"/>
      <c r="Z2912"/>
    </row>
    <row r="2913" spans="2:26" x14ac:dyDescent="0.25">
      <c r="B2913"/>
      <c r="Z2913"/>
    </row>
    <row r="2914" spans="2:26" x14ac:dyDescent="0.25">
      <c r="B2914"/>
      <c r="Z2914"/>
    </row>
    <row r="2915" spans="2:26" x14ac:dyDescent="0.25">
      <c r="B2915"/>
      <c r="Z2915"/>
    </row>
    <row r="2916" spans="2:26" x14ac:dyDescent="0.25">
      <c r="B2916"/>
      <c r="Z2916"/>
    </row>
    <row r="2917" spans="2:26" x14ac:dyDescent="0.25">
      <c r="B2917"/>
      <c r="Z2917"/>
    </row>
    <row r="2918" spans="2:26" x14ac:dyDescent="0.25">
      <c r="B2918"/>
      <c r="Z2918"/>
    </row>
    <row r="2919" spans="2:26" x14ac:dyDescent="0.25">
      <c r="B2919"/>
      <c r="Z2919"/>
    </row>
    <row r="2920" spans="2:26" x14ac:dyDescent="0.25">
      <c r="B2920"/>
      <c r="Z2920"/>
    </row>
    <row r="2921" spans="2:26" x14ac:dyDescent="0.25">
      <c r="B2921"/>
      <c r="Z2921"/>
    </row>
    <row r="2922" spans="2:26" x14ac:dyDescent="0.25">
      <c r="B2922"/>
      <c r="Z2922"/>
    </row>
    <row r="2923" spans="2:26" x14ac:dyDescent="0.25">
      <c r="B2923"/>
      <c r="Z2923"/>
    </row>
    <row r="2924" spans="2:26" x14ac:dyDescent="0.25">
      <c r="B2924"/>
      <c r="Z2924"/>
    </row>
    <row r="2925" spans="2:26" x14ac:dyDescent="0.25">
      <c r="B2925"/>
      <c r="Z2925"/>
    </row>
    <row r="2926" spans="2:26" x14ac:dyDescent="0.25">
      <c r="B2926"/>
      <c r="Z2926"/>
    </row>
    <row r="2927" spans="2:26" x14ac:dyDescent="0.25">
      <c r="B2927"/>
      <c r="Z2927"/>
    </row>
    <row r="2928" spans="2:26" x14ac:dyDescent="0.25">
      <c r="B2928"/>
      <c r="Z2928"/>
    </row>
    <row r="2929" spans="2:26" x14ac:dyDescent="0.25">
      <c r="B2929"/>
      <c r="Z2929"/>
    </row>
    <row r="2930" spans="2:26" x14ac:dyDescent="0.25">
      <c r="B2930"/>
      <c r="Z2930"/>
    </row>
    <row r="2931" spans="2:26" x14ac:dyDescent="0.25">
      <c r="B2931"/>
      <c r="Z2931"/>
    </row>
    <row r="2932" spans="2:26" x14ac:dyDescent="0.25">
      <c r="B2932"/>
      <c r="Z2932"/>
    </row>
    <row r="2933" spans="2:26" x14ac:dyDescent="0.25">
      <c r="B2933"/>
      <c r="Z2933"/>
    </row>
    <row r="2934" spans="2:26" x14ac:dyDescent="0.25">
      <c r="B2934"/>
      <c r="Z2934"/>
    </row>
    <row r="2935" spans="2:26" x14ac:dyDescent="0.25">
      <c r="B2935"/>
      <c r="Z2935"/>
    </row>
    <row r="2936" spans="2:26" x14ac:dyDescent="0.25">
      <c r="B2936"/>
      <c r="Z2936"/>
    </row>
    <row r="2937" spans="2:26" x14ac:dyDescent="0.25">
      <c r="B2937"/>
      <c r="Z2937"/>
    </row>
    <row r="2938" spans="2:26" x14ac:dyDescent="0.25">
      <c r="B2938"/>
      <c r="Z2938"/>
    </row>
    <row r="2939" spans="2:26" x14ac:dyDescent="0.25">
      <c r="B2939"/>
      <c r="Z2939"/>
    </row>
    <row r="2940" spans="2:26" x14ac:dyDescent="0.25">
      <c r="B2940"/>
      <c r="Z2940"/>
    </row>
    <row r="2941" spans="2:26" x14ac:dyDescent="0.25">
      <c r="B2941"/>
      <c r="Z2941"/>
    </row>
    <row r="2942" spans="2:26" x14ac:dyDescent="0.25">
      <c r="B2942"/>
      <c r="Z2942"/>
    </row>
    <row r="2943" spans="2:26" x14ac:dyDescent="0.25">
      <c r="B2943"/>
      <c r="Z2943"/>
    </row>
    <row r="2944" spans="2:26" x14ac:dyDescent="0.25">
      <c r="B2944"/>
      <c r="Z2944"/>
    </row>
    <row r="2945" spans="2:26" x14ac:dyDescent="0.25">
      <c r="B2945"/>
      <c r="Z2945"/>
    </row>
    <row r="2946" spans="2:26" x14ac:dyDescent="0.25">
      <c r="B2946"/>
      <c r="Z2946"/>
    </row>
    <row r="2947" spans="2:26" x14ac:dyDescent="0.25">
      <c r="B2947"/>
      <c r="Z2947"/>
    </row>
    <row r="2948" spans="2:26" x14ac:dyDescent="0.25">
      <c r="B2948"/>
      <c r="Z2948"/>
    </row>
    <row r="2949" spans="2:26" x14ac:dyDescent="0.25">
      <c r="B2949"/>
      <c r="Z2949"/>
    </row>
    <row r="2950" spans="2:26" x14ac:dyDescent="0.25">
      <c r="B2950"/>
      <c r="Z2950"/>
    </row>
    <row r="2951" spans="2:26" x14ac:dyDescent="0.25">
      <c r="B2951"/>
      <c r="Z2951"/>
    </row>
    <row r="2952" spans="2:26" x14ac:dyDescent="0.25">
      <c r="B2952"/>
      <c r="Z2952"/>
    </row>
    <row r="2953" spans="2:26" x14ac:dyDescent="0.25">
      <c r="B2953"/>
      <c r="Z2953"/>
    </row>
    <row r="2954" spans="2:26" x14ac:dyDescent="0.25">
      <c r="B2954"/>
      <c r="Z2954"/>
    </row>
    <row r="2955" spans="2:26" x14ac:dyDescent="0.25">
      <c r="B2955"/>
      <c r="Z2955"/>
    </row>
    <row r="2956" spans="2:26" x14ac:dyDescent="0.25">
      <c r="B2956"/>
      <c r="Z2956"/>
    </row>
    <row r="2957" spans="2:26" x14ac:dyDescent="0.25">
      <c r="B2957"/>
      <c r="Z2957"/>
    </row>
    <row r="2958" spans="2:26" x14ac:dyDescent="0.25">
      <c r="B2958"/>
      <c r="Z2958"/>
    </row>
    <row r="2959" spans="2:26" x14ac:dyDescent="0.25">
      <c r="B2959"/>
      <c r="Z2959"/>
    </row>
    <row r="2960" spans="2:26" x14ac:dyDescent="0.25">
      <c r="B2960"/>
      <c r="Z2960"/>
    </row>
    <row r="2961" spans="2:26" x14ac:dyDescent="0.25">
      <c r="B2961"/>
      <c r="Z2961"/>
    </row>
    <row r="2962" spans="2:26" x14ac:dyDescent="0.25">
      <c r="B2962"/>
      <c r="Z2962"/>
    </row>
    <row r="2963" spans="2:26" x14ac:dyDescent="0.25">
      <c r="B2963"/>
      <c r="Z2963"/>
    </row>
    <row r="2964" spans="2:26" x14ac:dyDescent="0.25">
      <c r="B2964"/>
      <c r="Z2964"/>
    </row>
    <row r="2965" spans="2:26" x14ac:dyDescent="0.25">
      <c r="B2965"/>
      <c r="Z2965"/>
    </row>
    <row r="2966" spans="2:26" x14ac:dyDescent="0.25">
      <c r="B2966"/>
      <c r="Z2966"/>
    </row>
    <row r="2967" spans="2:26" x14ac:dyDescent="0.25">
      <c r="B2967"/>
      <c r="Z2967"/>
    </row>
    <row r="2968" spans="2:26" x14ac:dyDescent="0.25">
      <c r="B2968"/>
      <c r="Z2968"/>
    </row>
    <row r="2969" spans="2:26" x14ac:dyDescent="0.25">
      <c r="B2969"/>
      <c r="Z2969"/>
    </row>
    <row r="2970" spans="2:26" x14ac:dyDescent="0.25">
      <c r="B2970"/>
      <c r="Z2970"/>
    </row>
    <row r="2971" spans="2:26" x14ac:dyDescent="0.25">
      <c r="B2971"/>
      <c r="Z2971"/>
    </row>
    <row r="2972" spans="2:26" x14ac:dyDescent="0.25">
      <c r="B2972"/>
      <c r="Z2972"/>
    </row>
    <row r="2973" spans="2:26" x14ac:dyDescent="0.25">
      <c r="B2973"/>
      <c r="Z2973"/>
    </row>
    <row r="2974" spans="2:26" x14ac:dyDescent="0.25">
      <c r="B2974"/>
      <c r="Z2974"/>
    </row>
    <row r="2975" spans="2:26" x14ac:dyDescent="0.25">
      <c r="B2975"/>
      <c r="Z2975"/>
    </row>
    <row r="2976" spans="2:26" x14ac:dyDescent="0.25">
      <c r="B2976"/>
      <c r="Z2976"/>
    </row>
    <row r="2977" spans="2:26" x14ac:dyDescent="0.25">
      <c r="B2977"/>
      <c r="Z2977"/>
    </row>
    <row r="2978" spans="2:26" x14ac:dyDescent="0.25">
      <c r="B2978"/>
      <c r="Z2978"/>
    </row>
    <row r="2979" spans="2:26" x14ac:dyDescent="0.25">
      <c r="B2979"/>
      <c r="Z2979"/>
    </row>
    <row r="2980" spans="2:26" x14ac:dyDescent="0.25">
      <c r="B2980"/>
      <c r="Z2980"/>
    </row>
    <row r="2981" spans="2:26" x14ac:dyDescent="0.25">
      <c r="B2981"/>
      <c r="Z2981"/>
    </row>
    <row r="2982" spans="2:26" x14ac:dyDescent="0.25">
      <c r="B2982"/>
      <c r="Z2982"/>
    </row>
    <row r="2983" spans="2:26" x14ac:dyDescent="0.25">
      <c r="B2983"/>
      <c r="Z2983"/>
    </row>
    <row r="2984" spans="2:26" x14ac:dyDescent="0.25">
      <c r="B2984"/>
      <c r="Z2984"/>
    </row>
    <row r="2985" spans="2:26" x14ac:dyDescent="0.25">
      <c r="B2985"/>
      <c r="Z2985"/>
    </row>
    <row r="2986" spans="2:26" x14ac:dyDescent="0.25">
      <c r="B2986"/>
      <c r="Z2986"/>
    </row>
    <row r="2987" spans="2:26" x14ac:dyDescent="0.25">
      <c r="B2987"/>
      <c r="Z2987"/>
    </row>
    <row r="2988" spans="2:26" x14ac:dyDescent="0.25">
      <c r="B2988"/>
      <c r="Z2988"/>
    </row>
    <row r="2989" spans="2:26" x14ac:dyDescent="0.25">
      <c r="B2989"/>
      <c r="Z2989"/>
    </row>
    <row r="2990" spans="2:26" x14ac:dyDescent="0.25">
      <c r="B2990"/>
      <c r="Z2990"/>
    </row>
    <row r="2991" spans="2:26" x14ac:dyDescent="0.25">
      <c r="B2991"/>
      <c r="Z2991"/>
    </row>
    <row r="2992" spans="2:26" x14ac:dyDescent="0.25">
      <c r="B2992"/>
      <c r="Z2992"/>
    </row>
    <row r="2993" spans="2:26" x14ac:dyDescent="0.25">
      <c r="B2993"/>
      <c r="Z2993"/>
    </row>
    <row r="2994" spans="2:26" x14ac:dyDescent="0.25">
      <c r="B2994"/>
      <c r="Z2994"/>
    </row>
    <row r="2995" spans="2:26" x14ac:dyDescent="0.25">
      <c r="B2995"/>
      <c r="Z2995"/>
    </row>
    <row r="2996" spans="2:26" x14ac:dyDescent="0.25">
      <c r="B2996"/>
      <c r="Z2996"/>
    </row>
    <row r="2997" spans="2:26" x14ac:dyDescent="0.25">
      <c r="B2997"/>
      <c r="Z2997"/>
    </row>
    <row r="2998" spans="2:26" x14ac:dyDescent="0.25">
      <c r="B2998"/>
      <c r="Z2998"/>
    </row>
    <row r="2999" spans="2:26" x14ac:dyDescent="0.25">
      <c r="B2999"/>
      <c r="Z2999"/>
    </row>
    <row r="3000" spans="2:26" x14ac:dyDescent="0.25">
      <c r="B3000"/>
      <c r="Z3000"/>
    </row>
    <row r="3001" spans="2:26" x14ac:dyDescent="0.25">
      <c r="B3001"/>
      <c r="Z3001"/>
    </row>
    <row r="3002" spans="2:26" x14ac:dyDescent="0.25">
      <c r="B3002"/>
      <c r="Z3002"/>
    </row>
    <row r="3003" spans="2:26" x14ac:dyDescent="0.25">
      <c r="B3003"/>
      <c r="Z3003"/>
    </row>
    <row r="3004" spans="2:26" x14ac:dyDescent="0.25">
      <c r="B3004"/>
      <c r="Z3004"/>
    </row>
    <row r="3005" spans="2:26" x14ac:dyDescent="0.25">
      <c r="B3005"/>
      <c r="Z3005"/>
    </row>
    <row r="3006" spans="2:26" x14ac:dyDescent="0.25">
      <c r="B3006"/>
      <c r="Z3006"/>
    </row>
    <row r="3007" spans="2:26" x14ac:dyDescent="0.25">
      <c r="B3007"/>
      <c r="Z3007"/>
    </row>
    <row r="3008" spans="2:26" x14ac:dyDescent="0.25">
      <c r="B3008"/>
      <c r="Z3008"/>
    </row>
    <row r="3009" spans="2:26" x14ac:dyDescent="0.25">
      <c r="B3009"/>
      <c r="Z3009"/>
    </row>
    <row r="3010" spans="2:26" x14ac:dyDescent="0.25">
      <c r="B3010"/>
      <c r="Z3010"/>
    </row>
    <row r="3011" spans="2:26" x14ac:dyDescent="0.25">
      <c r="B3011"/>
      <c r="Z3011"/>
    </row>
    <row r="3012" spans="2:26" x14ac:dyDescent="0.25">
      <c r="B3012"/>
      <c r="Z3012"/>
    </row>
    <row r="3013" spans="2:26" x14ac:dyDescent="0.25">
      <c r="B3013"/>
      <c r="Z3013"/>
    </row>
    <row r="3014" spans="2:26" x14ac:dyDescent="0.25">
      <c r="B3014"/>
      <c r="Z3014"/>
    </row>
    <row r="3015" spans="2:26" x14ac:dyDescent="0.25">
      <c r="B3015"/>
      <c r="Z3015"/>
    </row>
    <row r="3016" spans="2:26" x14ac:dyDescent="0.25">
      <c r="B3016"/>
      <c r="Z3016"/>
    </row>
    <row r="3017" spans="2:26" x14ac:dyDescent="0.25">
      <c r="B3017"/>
      <c r="Z3017"/>
    </row>
    <row r="3018" spans="2:26" x14ac:dyDescent="0.25">
      <c r="B3018"/>
      <c r="Z3018"/>
    </row>
    <row r="3019" spans="2:26" x14ac:dyDescent="0.25">
      <c r="B3019"/>
      <c r="Z3019"/>
    </row>
    <row r="3020" spans="2:26" x14ac:dyDescent="0.25">
      <c r="B3020"/>
      <c r="Z3020"/>
    </row>
    <row r="3021" spans="2:26" x14ac:dyDescent="0.25">
      <c r="B3021"/>
      <c r="Z3021"/>
    </row>
    <row r="3022" spans="2:26" x14ac:dyDescent="0.25">
      <c r="B3022"/>
      <c r="Z3022"/>
    </row>
    <row r="3023" spans="2:26" x14ac:dyDescent="0.25">
      <c r="B3023"/>
      <c r="Z3023"/>
    </row>
    <row r="3024" spans="2:26" x14ac:dyDescent="0.25">
      <c r="B3024"/>
      <c r="Z3024"/>
    </row>
    <row r="3025" spans="2:26" x14ac:dyDescent="0.25">
      <c r="B3025"/>
      <c r="Z3025"/>
    </row>
    <row r="3026" spans="2:26" x14ac:dyDescent="0.25">
      <c r="B3026"/>
      <c r="Z3026"/>
    </row>
    <row r="3027" spans="2:26" x14ac:dyDescent="0.25">
      <c r="B3027"/>
      <c r="Z3027"/>
    </row>
    <row r="3028" spans="2:26" x14ac:dyDescent="0.25">
      <c r="B3028"/>
      <c r="Z3028"/>
    </row>
    <row r="3029" spans="2:26" x14ac:dyDescent="0.25">
      <c r="B3029"/>
      <c r="Z3029"/>
    </row>
    <row r="3030" spans="2:26" x14ac:dyDescent="0.25">
      <c r="B3030"/>
      <c r="Z3030"/>
    </row>
    <row r="3031" spans="2:26" x14ac:dyDescent="0.25">
      <c r="B3031"/>
      <c r="Z3031"/>
    </row>
    <row r="3032" spans="2:26" x14ac:dyDescent="0.25">
      <c r="B3032"/>
      <c r="Z3032"/>
    </row>
    <row r="3033" spans="2:26" x14ac:dyDescent="0.25">
      <c r="B3033"/>
      <c r="Z3033"/>
    </row>
    <row r="3034" spans="2:26" x14ac:dyDescent="0.25">
      <c r="B3034"/>
      <c r="Z3034"/>
    </row>
    <row r="3035" spans="2:26" x14ac:dyDescent="0.25">
      <c r="B3035"/>
      <c r="Z3035"/>
    </row>
    <row r="3036" spans="2:26" x14ac:dyDescent="0.25">
      <c r="B3036"/>
      <c r="Z3036"/>
    </row>
    <row r="3037" spans="2:26" x14ac:dyDescent="0.25">
      <c r="B3037"/>
      <c r="Z3037"/>
    </row>
    <row r="3038" spans="2:26" x14ac:dyDescent="0.25">
      <c r="B3038"/>
      <c r="Z3038"/>
    </row>
    <row r="3039" spans="2:26" x14ac:dyDescent="0.25">
      <c r="B3039"/>
      <c r="Z3039"/>
    </row>
    <row r="3040" spans="2:26" x14ac:dyDescent="0.25">
      <c r="B3040"/>
      <c r="Z3040"/>
    </row>
    <row r="3041" spans="2:26" x14ac:dyDescent="0.25">
      <c r="B3041"/>
      <c r="Z3041"/>
    </row>
    <row r="3042" spans="2:26" x14ac:dyDescent="0.25">
      <c r="B3042"/>
      <c r="Z3042"/>
    </row>
    <row r="3043" spans="2:26" x14ac:dyDescent="0.25">
      <c r="B3043"/>
      <c r="Z3043"/>
    </row>
    <row r="3044" spans="2:26" x14ac:dyDescent="0.25">
      <c r="B3044"/>
      <c r="Z3044"/>
    </row>
    <row r="3045" spans="2:26" x14ac:dyDescent="0.25">
      <c r="B3045"/>
      <c r="Z3045"/>
    </row>
    <row r="3046" spans="2:26" x14ac:dyDescent="0.25">
      <c r="B3046"/>
      <c r="Z3046"/>
    </row>
    <row r="3047" spans="2:26" x14ac:dyDescent="0.25">
      <c r="B3047"/>
      <c r="Z3047"/>
    </row>
    <row r="3048" spans="2:26" x14ac:dyDescent="0.25">
      <c r="B3048"/>
      <c r="Z3048"/>
    </row>
    <row r="3049" spans="2:26" x14ac:dyDescent="0.25">
      <c r="B3049"/>
      <c r="Z3049"/>
    </row>
    <row r="3050" spans="2:26" x14ac:dyDescent="0.25">
      <c r="B3050"/>
      <c r="Z3050"/>
    </row>
    <row r="3051" spans="2:26" x14ac:dyDescent="0.25">
      <c r="B3051"/>
      <c r="Z3051"/>
    </row>
    <row r="3052" spans="2:26" x14ac:dyDescent="0.25">
      <c r="B3052"/>
      <c r="Z3052"/>
    </row>
    <row r="3053" spans="2:26" x14ac:dyDescent="0.25">
      <c r="B3053"/>
      <c r="Z3053"/>
    </row>
    <row r="3054" spans="2:26" x14ac:dyDescent="0.25">
      <c r="B3054"/>
      <c r="Z3054"/>
    </row>
    <row r="3055" spans="2:26" x14ac:dyDescent="0.25">
      <c r="B3055"/>
      <c r="Z3055"/>
    </row>
    <row r="3056" spans="2:26" x14ac:dyDescent="0.25">
      <c r="B3056"/>
      <c r="Z3056"/>
    </row>
    <row r="3057" spans="2:26" x14ac:dyDescent="0.25">
      <c r="B3057"/>
      <c r="Z3057"/>
    </row>
    <row r="3058" spans="2:26" x14ac:dyDescent="0.25">
      <c r="B3058"/>
      <c r="Z3058"/>
    </row>
    <row r="3059" spans="2:26" x14ac:dyDescent="0.25">
      <c r="B3059"/>
      <c r="Z3059"/>
    </row>
    <row r="3060" spans="2:26" x14ac:dyDescent="0.25">
      <c r="B3060"/>
      <c r="Z3060"/>
    </row>
    <row r="3061" spans="2:26" x14ac:dyDescent="0.25">
      <c r="B3061"/>
      <c r="Z3061"/>
    </row>
    <row r="3062" spans="2:26" x14ac:dyDescent="0.25">
      <c r="B3062"/>
      <c r="Z3062"/>
    </row>
    <row r="3063" spans="2:26" x14ac:dyDescent="0.25">
      <c r="B3063"/>
      <c r="Z3063"/>
    </row>
    <row r="3064" spans="2:26" x14ac:dyDescent="0.25">
      <c r="B3064"/>
      <c r="Z3064"/>
    </row>
    <row r="3065" spans="2:26" x14ac:dyDescent="0.25">
      <c r="B3065"/>
      <c r="Z3065"/>
    </row>
    <row r="3066" spans="2:26" x14ac:dyDescent="0.25">
      <c r="B3066"/>
      <c r="Z3066"/>
    </row>
    <row r="3067" spans="2:26" x14ac:dyDescent="0.25">
      <c r="B3067"/>
      <c r="Z3067"/>
    </row>
    <row r="3068" spans="2:26" x14ac:dyDescent="0.25">
      <c r="B3068"/>
      <c r="Z3068"/>
    </row>
    <row r="3069" spans="2:26" x14ac:dyDescent="0.25">
      <c r="B3069"/>
      <c r="Z3069"/>
    </row>
    <row r="3070" spans="2:26" x14ac:dyDescent="0.25">
      <c r="B3070"/>
      <c r="Z3070"/>
    </row>
    <row r="3071" spans="2:26" x14ac:dyDescent="0.25">
      <c r="B3071"/>
      <c r="Z3071"/>
    </row>
    <row r="3072" spans="2:26" x14ac:dyDescent="0.25">
      <c r="B3072"/>
      <c r="Z3072"/>
    </row>
    <row r="3073" spans="2:26" x14ac:dyDescent="0.25">
      <c r="B3073"/>
      <c r="Z3073"/>
    </row>
    <row r="3074" spans="2:26" x14ac:dyDescent="0.25">
      <c r="B3074"/>
      <c r="Z3074"/>
    </row>
    <row r="3075" spans="2:26" x14ac:dyDescent="0.25">
      <c r="B3075"/>
      <c r="Z3075"/>
    </row>
    <row r="3076" spans="2:26" x14ac:dyDescent="0.25">
      <c r="B3076"/>
      <c r="Z3076"/>
    </row>
    <row r="3077" spans="2:26" x14ac:dyDescent="0.25">
      <c r="B3077"/>
      <c r="Z3077"/>
    </row>
    <row r="3078" spans="2:26" x14ac:dyDescent="0.25">
      <c r="B3078"/>
      <c r="Z3078"/>
    </row>
    <row r="3079" spans="2:26" x14ac:dyDescent="0.25">
      <c r="B3079"/>
      <c r="Z3079"/>
    </row>
    <row r="3080" spans="2:26" x14ac:dyDescent="0.25">
      <c r="B3080"/>
      <c r="Z3080"/>
    </row>
    <row r="3081" spans="2:26" x14ac:dyDescent="0.25">
      <c r="B3081"/>
      <c r="Z3081"/>
    </row>
    <row r="3082" spans="2:26" x14ac:dyDescent="0.25">
      <c r="B3082"/>
      <c r="Z3082"/>
    </row>
    <row r="3083" spans="2:26" x14ac:dyDescent="0.25">
      <c r="B3083"/>
      <c r="Z3083"/>
    </row>
    <row r="3084" spans="2:26" x14ac:dyDescent="0.25">
      <c r="B3084"/>
      <c r="Z3084"/>
    </row>
    <row r="3085" spans="2:26" x14ac:dyDescent="0.25">
      <c r="B3085"/>
      <c r="Z3085"/>
    </row>
    <row r="3086" spans="2:26" x14ac:dyDescent="0.25">
      <c r="B3086"/>
      <c r="Z3086"/>
    </row>
    <row r="3087" spans="2:26" x14ac:dyDescent="0.25">
      <c r="B3087"/>
      <c r="Z3087"/>
    </row>
    <row r="3088" spans="2:26" x14ac:dyDescent="0.25">
      <c r="B3088"/>
      <c r="Z3088"/>
    </row>
    <row r="3089" spans="2:26" x14ac:dyDescent="0.25">
      <c r="B3089"/>
      <c r="Z3089"/>
    </row>
    <row r="3090" spans="2:26" x14ac:dyDescent="0.25">
      <c r="B3090"/>
      <c r="Z3090"/>
    </row>
    <row r="3091" spans="2:26" x14ac:dyDescent="0.25">
      <c r="B3091"/>
      <c r="Z3091"/>
    </row>
    <row r="3092" spans="2:26" x14ac:dyDescent="0.25">
      <c r="B3092"/>
      <c r="Z3092"/>
    </row>
    <row r="3093" spans="2:26" x14ac:dyDescent="0.25">
      <c r="B3093"/>
      <c r="Z3093"/>
    </row>
    <row r="3094" spans="2:26" x14ac:dyDescent="0.25">
      <c r="B3094"/>
      <c r="Z3094"/>
    </row>
    <row r="3095" spans="2:26" x14ac:dyDescent="0.25">
      <c r="B3095"/>
      <c r="Z3095"/>
    </row>
    <row r="3096" spans="2:26" x14ac:dyDescent="0.25">
      <c r="B3096"/>
      <c r="Z3096"/>
    </row>
    <row r="3097" spans="2:26" x14ac:dyDescent="0.25">
      <c r="B3097"/>
      <c r="Z3097"/>
    </row>
    <row r="3098" spans="2:26" x14ac:dyDescent="0.25">
      <c r="B3098"/>
      <c r="Z3098"/>
    </row>
    <row r="3099" spans="2:26" x14ac:dyDescent="0.25">
      <c r="B3099"/>
      <c r="Z3099"/>
    </row>
    <row r="3100" spans="2:26" x14ac:dyDescent="0.25">
      <c r="B3100"/>
      <c r="Z3100"/>
    </row>
    <row r="3101" spans="2:26" x14ac:dyDescent="0.25">
      <c r="B3101"/>
      <c r="Z3101"/>
    </row>
    <row r="3102" spans="2:26" x14ac:dyDescent="0.25">
      <c r="B3102"/>
      <c r="Z3102"/>
    </row>
    <row r="3103" spans="2:26" x14ac:dyDescent="0.25">
      <c r="B3103"/>
      <c r="Z3103"/>
    </row>
    <row r="3104" spans="2:26" x14ac:dyDescent="0.25">
      <c r="B3104"/>
      <c r="Z3104"/>
    </row>
    <row r="3105" spans="2:26" x14ac:dyDescent="0.25">
      <c r="B3105"/>
      <c r="Z3105"/>
    </row>
    <row r="3106" spans="2:26" x14ac:dyDescent="0.25">
      <c r="B3106"/>
      <c r="Z3106"/>
    </row>
    <row r="3107" spans="2:26" x14ac:dyDescent="0.25">
      <c r="B3107"/>
      <c r="Z3107"/>
    </row>
    <row r="3108" spans="2:26" x14ac:dyDescent="0.25">
      <c r="B3108"/>
      <c r="Z3108"/>
    </row>
    <row r="3109" spans="2:26" x14ac:dyDescent="0.25">
      <c r="B3109"/>
      <c r="Z3109"/>
    </row>
    <row r="3110" spans="2:26" x14ac:dyDescent="0.25">
      <c r="B3110"/>
      <c r="Z3110"/>
    </row>
    <row r="3111" spans="2:26" x14ac:dyDescent="0.25">
      <c r="B3111"/>
      <c r="Z3111"/>
    </row>
    <row r="3112" spans="2:26" x14ac:dyDescent="0.25">
      <c r="B3112"/>
      <c r="Z3112"/>
    </row>
    <row r="3113" spans="2:26" x14ac:dyDescent="0.25">
      <c r="B3113"/>
      <c r="Z3113"/>
    </row>
    <row r="3114" spans="2:26" x14ac:dyDescent="0.25">
      <c r="B3114"/>
      <c r="Z3114"/>
    </row>
    <row r="3115" spans="2:26" x14ac:dyDescent="0.25">
      <c r="B3115"/>
      <c r="Z3115"/>
    </row>
    <row r="3116" spans="2:26" x14ac:dyDescent="0.25">
      <c r="B3116"/>
      <c r="Z3116"/>
    </row>
    <row r="3117" spans="2:26" x14ac:dyDescent="0.25">
      <c r="B3117"/>
      <c r="Z3117"/>
    </row>
    <row r="3118" spans="2:26" x14ac:dyDescent="0.25">
      <c r="B3118"/>
      <c r="Z3118"/>
    </row>
    <row r="3119" spans="2:26" x14ac:dyDescent="0.25">
      <c r="B3119"/>
      <c r="Z3119"/>
    </row>
    <row r="3120" spans="2:26" x14ac:dyDescent="0.25">
      <c r="B3120"/>
      <c r="Z3120"/>
    </row>
    <row r="3121" spans="2:26" x14ac:dyDescent="0.25">
      <c r="B3121"/>
      <c r="Z3121"/>
    </row>
    <row r="3122" spans="2:26" x14ac:dyDescent="0.25">
      <c r="B3122"/>
      <c r="Z3122"/>
    </row>
    <row r="3123" spans="2:26" x14ac:dyDescent="0.25">
      <c r="B3123"/>
      <c r="Z3123"/>
    </row>
    <row r="3124" spans="2:26" x14ac:dyDescent="0.25">
      <c r="B3124"/>
      <c r="Z3124"/>
    </row>
    <row r="3125" spans="2:26" x14ac:dyDescent="0.25">
      <c r="B3125"/>
      <c r="Z3125"/>
    </row>
    <row r="3126" spans="2:26" x14ac:dyDescent="0.25">
      <c r="B3126"/>
      <c r="Z3126"/>
    </row>
    <row r="3127" spans="2:26" x14ac:dyDescent="0.25">
      <c r="B3127"/>
      <c r="Z3127"/>
    </row>
    <row r="3128" spans="2:26" x14ac:dyDescent="0.25">
      <c r="B3128"/>
      <c r="Z3128"/>
    </row>
    <row r="3129" spans="2:26" x14ac:dyDescent="0.25">
      <c r="B3129"/>
      <c r="Z3129"/>
    </row>
    <row r="3130" spans="2:26" x14ac:dyDescent="0.25">
      <c r="B3130"/>
      <c r="Z3130"/>
    </row>
    <row r="3131" spans="2:26" x14ac:dyDescent="0.25">
      <c r="B3131"/>
      <c r="Z3131"/>
    </row>
    <row r="3132" spans="2:26" x14ac:dyDescent="0.25">
      <c r="B3132"/>
      <c r="Z3132"/>
    </row>
    <row r="3133" spans="2:26" x14ac:dyDescent="0.25">
      <c r="B3133"/>
      <c r="Z3133"/>
    </row>
    <row r="3134" spans="2:26" x14ac:dyDescent="0.25">
      <c r="B3134"/>
      <c r="Z3134"/>
    </row>
    <row r="3135" spans="2:26" x14ac:dyDescent="0.25">
      <c r="B3135"/>
      <c r="Z3135"/>
    </row>
    <row r="3136" spans="2:26" x14ac:dyDescent="0.25">
      <c r="B3136"/>
      <c r="Z3136"/>
    </row>
    <row r="3137" spans="2:26" x14ac:dyDescent="0.25">
      <c r="B3137"/>
      <c r="Z3137"/>
    </row>
    <row r="3138" spans="2:26" x14ac:dyDescent="0.25">
      <c r="B3138"/>
      <c r="Z3138"/>
    </row>
    <row r="3139" spans="2:26" x14ac:dyDescent="0.25">
      <c r="B3139"/>
      <c r="Z3139"/>
    </row>
    <row r="3140" spans="2:26" x14ac:dyDescent="0.25">
      <c r="B3140"/>
      <c r="Z3140"/>
    </row>
    <row r="3141" spans="2:26" x14ac:dyDescent="0.25">
      <c r="B3141"/>
      <c r="Z3141"/>
    </row>
    <row r="3142" spans="2:26" x14ac:dyDescent="0.25">
      <c r="B3142"/>
      <c r="Z3142"/>
    </row>
    <row r="3143" spans="2:26" x14ac:dyDescent="0.25">
      <c r="B3143"/>
      <c r="Z3143"/>
    </row>
    <row r="3144" spans="2:26" x14ac:dyDescent="0.25">
      <c r="B3144"/>
      <c r="Z3144"/>
    </row>
    <row r="3145" spans="2:26" x14ac:dyDescent="0.25">
      <c r="B3145"/>
      <c r="Z3145"/>
    </row>
    <row r="3146" spans="2:26" x14ac:dyDescent="0.25">
      <c r="B3146"/>
      <c r="Z3146"/>
    </row>
    <row r="3147" spans="2:26" x14ac:dyDescent="0.25">
      <c r="B3147"/>
      <c r="Z3147"/>
    </row>
    <row r="3148" spans="2:26" x14ac:dyDescent="0.25">
      <c r="B3148"/>
      <c r="Z3148"/>
    </row>
    <row r="3149" spans="2:26" x14ac:dyDescent="0.25">
      <c r="B3149"/>
      <c r="Z3149"/>
    </row>
    <row r="3150" spans="2:26" x14ac:dyDescent="0.25">
      <c r="B3150"/>
      <c r="Z3150"/>
    </row>
    <row r="3151" spans="2:26" x14ac:dyDescent="0.25">
      <c r="B3151"/>
      <c r="Z3151"/>
    </row>
    <row r="3152" spans="2:26" x14ac:dyDescent="0.25">
      <c r="B3152"/>
      <c r="Z3152"/>
    </row>
    <row r="3153" spans="2:26" x14ac:dyDescent="0.25">
      <c r="B3153"/>
      <c r="Z3153"/>
    </row>
    <row r="3154" spans="2:26" x14ac:dyDescent="0.25">
      <c r="B3154"/>
      <c r="Z3154"/>
    </row>
    <row r="3155" spans="2:26" x14ac:dyDescent="0.25">
      <c r="B3155"/>
      <c r="Z3155"/>
    </row>
    <row r="3156" spans="2:26" x14ac:dyDescent="0.25">
      <c r="B3156"/>
      <c r="Z3156"/>
    </row>
    <row r="3157" spans="2:26" x14ac:dyDescent="0.25">
      <c r="B3157"/>
      <c r="Z3157"/>
    </row>
    <row r="3158" spans="2:26" x14ac:dyDescent="0.25">
      <c r="B3158"/>
      <c r="Z3158"/>
    </row>
    <row r="3159" spans="2:26" x14ac:dyDescent="0.25">
      <c r="B3159"/>
      <c r="Z3159"/>
    </row>
    <row r="3160" spans="2:26" x14ac:dyDescent="0.25">
      <c r="B3160"/>
      <c r="Z3160"/>
    </row>
    <row r="3161" spans="2:26" x14ac:dyDescent="0.25">
      <c r="B3161"/>
      <c r="Z3161"/>
    </row>
    <row r="3162" spans="2:26" x14ac:dyDescent="0.25">
      <c r="B3162"/>
      <c r="Z3162"/>
    </row>
    <row r="3163" spans="2:26" x14ac:dyDescent="0.25">
      <c r="B3163"/>
      <c r="Z3163"/>
    </row>
    <row r="3164" spans="2:26" x14ac:dyDescent="0.25">
      <c r="B3164"/>
      <c r="Z3164"/>
    </row>
    <row r="3165" spans="2:26" x14ac:dyDescent="0.25">
      <c r="B3165"/>
      <c r="Z3165"/>
    </row>
    <row r="3166" spans="2:26" x14ac:dyDescent="0.25">
      <c r="B3166"/>
      <c r="Z3166"/>
    </row>
    <row r="3167" spans="2:26" x14ac:dyDescent="0.25">
      <c r="B3167"/>
      <c r="Z3167"/>
    </row>
    <row r="3168" spans="2:26" x14ac:dyDescent="0.25">
      <c r="B3168"/>
      <c r="Z3168"/>
    </row>
    <row r="3169" spans="2:26" x14ac:dyDescent="0.25">
      <c r="B3169"/>
      <c r="Z3169"/>
    </row>
    <row r="3170" spans="2:26" x14ac:dyDescent="0.25">
      <c r="B3170"/>
      <c r="Z3170"/>
    </row>
    <row r="3171" spans="2:26" x14ac:dyDescent="0.25">
      <c r="B3171"/>
      <c r="Z3171"/>
    </row>
    <row r="3172" spans="2:26" x14ac:dyDescent="0.25">
      <c r="B3172"/>
      <c r="Z3172"/>
    </row>
    <row r="3173" spans="2:26" x14ac:dyDescent="0.25">
      <c r="B3173"/>
      <c r="Z3173"/>
    </row>
    <row r="3174" spans="2:26" x14ac:dyDescent="0.25">
      <c r="B3174"/>
      <c r="Z3174"/>
    </row>
    <row r="3175" spans="2:26" x14ac:dyDescent="0.25">
      <c r="B3175"/>
      <c r="Z3175"/>
    </row>
    <row r="3176" spans="2:26" x14ac:dyDescent="0.25">
      <c r="B3176"/>
      <c r="Z3176"/>
    </row>
    <row r="3177" spans="2:26" x14ac:dyDescent="0.25">
      <c r="B3177"/>
      <c r="Z3177"/>
    </row>
    <row r="3178" spans="2:26" x14ac:dyDescent="0.25">
      <c r="B3178"/>
      <c r="Z3178"/>
    </row>
    <row r="3179" spans="2:26" x14ac:dyDescent="0.25">
      <c r="B3179"/>
      <c r="Z3179"/>
    </row>
    <row r="3180" spans="2:26" x14ac:dyDescent="0.25">
      <c r="B3180"/>
      <c r="Z3180"/>
    </row>
    <row r="3181" spans="2:26" x14ac:dyDescent="0.25">
      <c r="B3181"/>
      <c r="Z3181"/>
    </row>
    <row r="3182" spans="2:26" x14ac:dyDescent="0.25">
      <c r="B3182"/>
      <c r="Z3182"/>
    </row>
    <row r="3183" spans="2:26" x14ac:dyDescent="0.25">
      <c r="B3183"/>
      <c r="Z3183"/>
    </row>
    <row r="3184" spans="2:26" x14ac:dyDescent="0.25">
      <c r="B3184"/>
      <c r="Z3184"/>
    </row>
    <row r="3185" spans="2:26" x14ac:dyDescent="0.25">
      <c r="B3185"/>
      <c r="Z3185"/>
    </row>
    <row r="3186" spans="2:26" x14ac:dyDescent="0.25">
      <c r="B3186"/>
      <c r="Z3186"/>
    </row>
    <row r="3187" spans="2:26" x14ac:dyDescent="0.25">
      <c r="B3187"/>
      <c r="Z3187"/>
    </row>
    <row r="3188" spans="2:26" x14ac:dyDescent="0.25">
      <c r="B3188"/>
      <c r="Z3188"/>
    </row>
    <row r="3189" spans="2:26" x14ac:dyDescent="0.25">
      <c r="B3189"/>
      <c r="Z3189"/>
    </row>
    <row r="3190" spans="2:26" x14ac:dyDescent="0.25">
      <c r="B3190"/>
      <c r="Z3190"/>
    </row>
    <row r="3191" spans="2:26" x14ac:dyDescent="0.25">
      <c r="B3191"/>
      <c r="Z3191"/>
    </row>
    <row r="3192" spans="2:26" x14ac:dyDescent="0.25">
      <c r="B3192"/>
      <c r="Z3192"/>
    </row>
    <row r="3193" spans="2:26" x14ac:dyDescent="0.25">
      <c r="B3193"/>
      <c r="Z3193"/>
    </row>
    <row r="3194" spans="2:26" x14ac:dyDescent="0.25">
      <c r="B3194"/>
      <c r="Z3194"/>
    </row>
    <row r="3195" spans="2:26" x14ac:dyDescent="0.25">
      <c r="B3195"/>
      <c r="Z3195"/>
    </row>
    <row r="3196" spans="2:26" x14ac:dyDescent="0.25">
      <c r="B3196"/>
      <c r="Z3196"/>
    </row>
    <row r="3197" spans="2:26" x14ac:dyDescent="0.25">
      <c r="B3197"/>
      <c r="Z3197"/>
    </row>
    <row r="3198" spans="2:26" x14ac:dyDescent="0.25">
      <c r="B3198"/>
      <c r="Z3198"/>
    </row>
    <row r="3199" spans="2:26" x14ac:dyDescent="0.25">
      <c r="B3199"/>
      <c r="Z3199"/>
    </row>
    <row r="3200" spans="2:26" x14ac:dyDescent="0.25">
      <c r="B3200"/>
      <c r="Z3200"/>
    </row>
    <row r="3201" spans="2:26" x14ac:dyDescent="0.25">
      <c r="B3201"/>
      <c r="Z3201"/>
    </row>
    <row r="3202" spans="2:26" x14ac:dyDescent="0.25">
      <c r="B3202"/>
      <c r="Z3202"/>
    </row>
    <row r="3203" spans="2:26" x14ac:dyDescent="0.25">
      <c r="B3203"/>
      <c r="Z3203"/>
    </row>
    <row r="3204" spans="2:26" x14ac:dyDescent="0.25">
      <c r="B3204"/>
      <c r="Z3204"/>
    </row>
    <row r="3205" spans="2:26" x14ac:dyDescent="0.25">
      <c r="B3205"/>
      <c r="Z3205"/>
    </row>
    <row r="3206" spans="2:26" x14ac:dyDescent="0.25">
      <c r="B3206"/>
      <c r="Z3206"/>
    </row>
    <row r="3207" spans="2:26" x14ac:dyDescent="0.25">
      <c r="B3207"/>
      <c r="Z3207"/>
    </row>
    <row r="3208" spans="2:26" x14ac:dyDescent="0.25">
      <c r="B3208"/>
      <c r="Z3208"/>
    </row>
    <row r="3209" spans="2:26" x14ac:dyDescent="0.25">
      <c r="B3209"/>
      <c r="Z3209"/>
    </row>
    <row r="3210" spans="2:26" x14ac:dyDescent="0.25">
      <c r="B3210"/>
      <c r="Z3210"/>
    </row>
    <row r="3211" spans="2:26" x14ac:dyDescent="0.25">
      <c r="B3211"/>
      <c r="Z3211"/>
    </row>
    <row r="3212" spans="2:26" x14ac:dyDescent="0.25">
      <c r="B3212"/>
      <c r="Z3212"/>
    </row>
    <row r="3213" spans="2:26" x14ac:dyDescent="0.25">
      <c r="B3213"/>
      <c r="Z3213"/>
    </row>
    <row r="3214" spans="2:26" x14ac:dyDescent="0.25">
      <c r="B3214"/>
      <c r="Z3214"/>
    </row>
    <row r="3215" spans="2:26" x14ac:dyDescent="0.25">
      <c r="B3215"/>
      <c r="Z3215"/>
    </row>
    <row r="3216" spans="2:26" x14ac:dyDescent="0.25">
      <c r="B3216"/>
      <c r="Z3216"/>
    </row>
    <row r="3217" spans="2:26" x14ac:dyDescent="0.25">
      <c r="B3217"/>
      <c r="Z3217"/>
    </row>
    <row r="3218" spans="2:26" x14ac:dyDescent="0.25">
      <c r="B3218"/>
      <c r="Z3218"/>
    </row>
    <row r="3219" spans="2:26" x14ac:dyDescent="0.25">
      <c r="B3219"/>
      <c r="Z3219"/>
    </row>
    <row r="3220" spans="2:26" x14ac:dyDescent="0.25">
      <c r="B3220"/>
      <c r="Z3220"/>
    </row>
    <row r="3221" spans="2:26" x14ac:dyDescent="0.25">
      <c r="B3221"/>
      <c r="Z3221"/>
    </row>
    <row r="3222" spans="2:26" x14ac:dyDescent="0.25">
      <c r="B3222"/>
      <c r="Z3222"/>
    </row>
    <row r="3223" spans="2:26" x14ac:dyDescent="0.25">
      <c r="B3223"/>
      <c r="Z3223"/>
    </row>
    <row r="3224" spans="2:26" x14ac:dyDescent="0.25">
      <c r="B3224"/>
      <c r="Z3224"/>
    </row>
    <row r="3225" spans="2:26" x14ac:dyDescent="0.25">
      <c r="B3225"/>
      <c r="Z3225"/>
    </row>
    <row r="3226" spans="2:26" x14ac:dyDescent="0.25">
      <c r="B3226"/>
      <c r="Z3226"/>
    </row>
    <row r="3227" spans="2:26" x14ac:dyDescent="0.25">
      <c r="B3227"/>
      <c r="Z3227"/>
    </row>
    <row r="3228" spans="2:26" x14ac:dyDescent="0.25">
      <c r="B3228"/>
      <c r="Z3228"/>
    </row>
    <row r="3229" spans="2:26" x14ac:dyDescent="0.25">
      <c r="B3229"/>
      <c r="Z3229"/>
    </row>
    <row r="3230" spans="2:26" x14ac:dyDescent="0.25">
      <c r="B3230"/>
      <c r="Z3230"/>
    </row>
    <row r="3231" spans="2:26" x14ac:dyDescent="0.25">
      <c r="B3231"/>
      <c r="Z3231"/>
    </row>
    <row r="3232" spans="2:26" x14ac:dyDescent="0.25">
      <c r="B3232"/>
      <c r="Z3232"/>
    </row>
    <row r="3233" spans="2:26" x14ac:dyDescent="0.25">
      <c r="B3233"/>
      <c r="Z3233"/>
    </row>
    <row r="3234" spans="2:26" x14ac:dyDescent="0.25">
      <c r="B3234"/>
      <c r="Z3234"/>
    </row>
    <row r="3235" spans="2:26" x14ac:dyDescent="0.25">
      <c r="B3235"/>
      <c r="Z3235"/>
    </row>
    <row r="3236" spans="2:26" x14ac:dyDescent="0.25">
      <c r="B3236"/>
      <c r="Z3236"/>
    </row>
    <row r="3237" spans="2:26" x14ac:dyDescent="0.25">
      <c r="B3237"/>
      <c r="Z3237"/>
    </row>
    <row r="3238" spans="2:26" x14ac:dyDescent="0.25">
      <c r="B3238"/>
      <c r="Z3238"/>
    </row>
    <row r="3239" spans="2:26" x14ac:dyDescent="0.25">
      <c r="B3239"/>
      <c r="Z3239"/>
    </row>
    <row r="3240" spans="2:26" x14ac:dyDescent="0.25">
      <c r="B3240"/>
      <c r="Z3240"/>
    </row>
    <row r="3241" spans="2:26" x14ac:dyDescent="0.25">
      <c r="B3241"/>
      <c r="Z3241"/>
    </row>
    <row r="3242" spans="2:26" x14ac:dyDescent="0.25">
      <c r="B3242"/>
      <c r="Z3242"/>
    </row>
    <row r="3243" spans="2:26" x14ac:dyDescent="0.25">
      <c r="B3243"/>
      <c r="Z3243"/>
    </row>
    <row r="3244" spans="2:26" x14ac:dyDescent="0.25">
      <c r="B3244"/>
      <c r="Z3244"/>
    </row>
    <row r="3245" spans="2:26" x14ac:dyDescent="0.25">
      <c r="B3245"/>
      <c r="Z3245"/>
    </row>
    <row r="3246" spans="2:26" x14ac:dyDescent="0.25">
      <c r="B3246"/>
      <c r="Z3246"/>
    </row>
    <row r="3247" spans="2:26" x14ac:dyDescent="0.25">
      <c r="B3247"/>
      <c r="Z3247"/>
    </row>
    <row r="3248" spans="2:26" x14ac:dyDescent="0.25">
      <c r="B3248"/>
      <c r="Z3248"/>
    </row>
    <row r="3249" spans="2:26" x14ac:dyDescent="0.25">
      <c r="B3249"/>
      <c r="Z3249"/>
    </row>
    <row r="3250" spans="2:26" x14ac:dyDescent="0.25">
      <c r="B3250"/>
      <c r="Z3250"/>
    </row>
    <row r="3251" spans="2:26" x14ac:dyDescent="0.25">
      <c r="B3251"/>
      <c r="Z3251"/>
    </row>
    <row r="3252" spans="2:26" x14ac:dyDescent="0.25">
      <c r="B3252"/>
      <c r="Z3252"/>
    </row>
    <row r="3253" spans="2:26" x14ac:dyDescent="0.25">
      <c r="B3253"/>
      <c r="Z3253"/>
    </row>
    <row r="3254" spans="2:26" x14ac:dyDescent="0.25">
      <c r="B3254"/>
      <c r="Z3254"/>
    </row>
    <row r="3255" spans="2:26" x14ac:dyDescent="0.25">
      <c r="B3255"/>
      <c r="Z3255"/>
    </row>
    <row r="3256" spans="2:26" x14ac:dyDescent="0.25">
      <c r="B3256"/>
      <c r="Z3256"/>
    </row>
    <row r="3257" spans="2:26" x14ac:dyDescent="0.25">
      <c r="B3257"/>
      <c r="Z3257"/>
    </row>
    <row r="3258" spans="2:26" x14ac:dyDescent="0.25">
      <c r="B3258"/>
      <c r="Z3258"/>
    </row>
    <row r="3259" spans="2:26" x14ac:dyDescent="0.25">
      <c r="B3259"/>
      <c r="Z3259"/>
    </row>
    <row r="3260" spans="2:26" x14ac:dyDescent="0.25">
      <c r="B3260"/>
      <c r="Z3260"/>
    </row>
    <row r="3261" spans="2:26" x14ac:dyDescent="0.25">
      <c r="B3261"/>
      <c r="Z3261"/>
    </row>
    <row r="3262" spans="2:26" x14ac:dyDescent="0.25">
      <c r="B3262"/>
      <c r="Z3262"/>
    </row>
    <row r="3263" spans="2:26" x14ac:dyDescent="0.25">
      <c r="B3263"/>
      <c r="Z3263"/>
    </row>
    <row r="3264" spans="2:26" x14ac:dyDescent="0.25">
      <c r="B3264"/>
      <c r="Z3264"/>
    </row>
    <row r="3265" spans="2:26" x14ac:dyDescent="0.25">
      <c r="B3265"/>
      <c r="Z3265"/>
    </row>
    <row r="3266" spans="2:26" x14ac:dyDescent="0.25">
      <c r="B3266"/>
      <c r="Z3266"/>
    </row>
    <row r="3267" spans="2:26" x14ac:dyDescent="0.25">
      <c r="B3267"/>
      <c r="Z3267"/>
    </row>
    <row r="3268" spans="2:26" x14ac:dyDescent="0.25">
      <c r="B3268"/>
      <c r="Z3268"/>
    </row>
    <row r="3269" spans="2:26" x14ac:dyDescent="0.25">
      <c r="B3269"/>
      <c r="Z3269"/>
    </row>
    <row r="3270" spans="2:26" x14ac:dyDescent="0.25">
      <c r="B3270"/>
      <c r="Z3270"/>
    </row>
    <row r="3271" spans="2:26" x14ac:dyDescent="0.25">
      <c r="B3271"/>
      <c r="Z3271"/>
    </row>
    <row r="3272" spans="2:26" x14ac:dyDescent="0.25">
      <c r="B3272"/>
      <c r="Z3272"/>
    </row>
    <row r="3273" spans="2:26" x14ac:dyDescent="0.25">
      <c r="B3273"/>
      <c r="Z3273"/>
    </row>
    <row r="3274" spans="2:26" x14ac:dyDescent="0.25">
      <c r="B3274"/>
      <c r="Z3274"/>
    </row>
    <row r="3275" spans="2:26" x14ac:dyDescent="0.25">
      <c r="B3275"/>
      <c r="Z3275"/>
    </row>
    <row r="3276" spans="2:26" x14ac:dyDescent="0.25">
      <c r="B3276"/>
      <c r="Z3276"/>
    </row>
    <row r="3277" spans="2:26" x14ac:dyDescent="0.25">
      <c r="B3277"/>
      <c r="Z3277"/>
    </row>
    <row r="3278" spans="2:26" x14ac:dyDescent="0.25">
      <c r="B3278"/>
      <c r="Z3278"/>
    </row>
    <row r="3279" spans="2:26" x14ac:dyDescent="0.25">
      <c r="B3279"/>
      <c r="Z3279"/>
    </row>
    <row r="3280" spans="2:26" x14ac:dyDescent="0.25">
      <c r="B3280"/>
      <c r="Z3280"/>
    </row>
    <row r="3281" spans="2:26" x14ac:dyDescent="0.25">
      <c r="B3281"/>
      <c r="Z3281"/>
    </row>
    <row r="3282" spans="2:26" x14ac:dyDescent="0.25">
      <c r="B3282"/>
      <c r="Z3282"/>
    </row>
    <row r="3283" spans="2:26" x14ac:dyDescent="0.25">
      <c r="B3283"/>
      <c r="Z3283"/>
    </row>
    <row r="3284" spans="2:26" x14ac:dyDescent="0.25">
      <c r="B3284"/>
      <c r="Z3284"/>
    </row>
    <row r="3285" spans="2:26" x14ac:dyDescent="0.25">
      <c r="B3285"/>
      <c r="Z3285"/>
    </row>
    <row r="3286" spans="2:26" x14ac:dyDescent="0.25">
      <c r="B3286"/>
      <c r="Z3286"/>
    </row>
    <row r="3287" spans="2:26" x14ac:dyDescent="0.25">
      <c r="B3287"/>
      <c r="Z3287"/>
    </row>
    <row r="3288" spans="2:26" x14ac:dyDescent="0.25">
      <c r="B3288"/>
      <c r="Z3288"/>
    </row>
    <row r="3289" spans="2:26" x14ac:dyDescent="0.25">
      <c r="B3289"/>
      <c r="Z3289"/>
    </row>
    <row r="3290" spans="2:26" x14ac:dyDescent="0.25">
      <c r="B3290"/>
      <c r="Z3290"/>
    </row>
    <row r="3291" spans="2:26" x14ac:dyDescent="0.25">
      <c r="B3291"/>
      <c r="Z3291"/>
    </row>
    <row r="3292" spans="2:26" x14ac:dyDescent="0.25">
      <c r="B3292"/>
      <c r="Z3292"/>
    </row>
    <row r="3293" spans="2:26" x14ac:dyDescent="0.25">
      <c r="B3293"/>
      <c r="Z3293"/>
    </row>
    <row r="3294" spans="2:26" x14ac:dyDescent="0.25">
      <c r="B3294"/>
      <c r="Z3294"/>
    </row>
    <row r="3295" spans="2:26" x14ac:dyDescent="0.25">
      <c r="B3295"/>
      <c r="Z3295"/>
    </row>
    <row r="3296" spans="2:26" x14ac:dyDescent="0.25">
      <c r="B3296"/>
      <c r="Z3296"/>
    </row>
    <row r="3297" spans="1:33" x14ac:dyDescent="0.25">
      <c r="B3297"/>
      <c r="Z3297"/>
    </row>
    <row r="3298" spans="1:33" x14ac:dyDescent="0.25">
      <c r="B3298"/>
      <c r="Z3298"/>
    </row>
    <row r="3299" spans="1:33" x14ac:dyDescent="0.25">
      <c r="B3299"/>
      <c r="Z3299"/>
    </row>
    <row r="3300" spans="1:33" x14ac:dyDescent="0.25">
      <c r="B3300"/>
      <c r="Z3300"/>
    </row>
    <row r="3301" spans="1:33" x14ac:dyDescent="0.25">
      <c r="B3301"/>
      <c r="Z3301"/>
    </row>
    <row r="3302" spans="1:33" x14ac:dyDescent="0.25">
      <c r="B3302"/>
      <c r="K3302" s="6"/>
      <c r="Z3302"/>
    </row>
    <row r="3303" spans="1:33" x14ac:dyDescent="0.25">
      <c r="B3303"/>
      <c r="Z3303"/>
    </row>
    <row r="3304" spans="1:33" x14ac:dyDescent="0.25">
      <c r="B3304"/>
      <c r="Z3304"/>
    </row>
    <row r="3305" spans="1:33" x14ac:dyDescent="0.25">
      <c r="B3305"/>
      <c r="Z3305"/>
    </row>
    <row r="3306" spans="1:33" x14ac:dyDescent="0.25">
      <c r="A3306" s="6"/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  <c r="V3306" s="6"/>
      <c r="W3306" s="6"/>
      <c r="X3306" s="6"/>
      <c r="Y3306" s="6"/>
      <c r="Z3306" s="6"/>
      <c r="AA3306" s="6"/>
      <c r="AB3306" s="6"/>
      <c r="AC3306" s="6"/>
      <c r="AD3306" s="6"/>
      <c r="AE3306" s="6"/>
      <c r="AF3306" s="6"/>
      <c r="AG3306" s="6"/>
    </row>
    <row r="3307" spans="1:33" x14ac:dyDescent="0.25">
      <c r="B3307"/>
      <c r="Z3307"/>
    </row>
    <row r="3308" spans="1:33" x14ac:dyDescent="0.25">
      <c r="B3308"/>
      <c r="Z3308"/>
    </row>
    <row r="3309" spans="1:33" x14ac:dyDescent="0.25">
      <c r="B3309"/>
      <c r="Z3309"/>
    </row>
    <row r="3310" spans="1:33" x14ac:dyDescent="0.25">
      <c r="B3310"/>
      <c r="Z3310"/>
    </row>
    <row r="3311" spans="1:33" x14ac:dyDescent="0.25">
      <c r="B3311"/>
      <c r="Z3311"/>
    </row>
    <row r="3312" spans="1:33" x14ac:dyDescent="0.25">
      <c r="B3312"/>
      <c r="Z3312"/>
    </row>
    <row r="3313" spans="2:26" x14ac:dyDescent="0.25">
      <c r="B3313"/>
      <c r="Z3313"/>
    </row>
    <row r="3314" spans="2:26" x14ac:dyDescent="0.25">
      <c r="B3314"/>
      <c r="Z3314"/>
    </row>
    <row r="3315" spans="2:26" x14ac:dyDescent="0.25">
      <c r="B3315"/>
      <c r="Z3315"/>
    </row>
    <row r="3316" spans="2:26" x14ac:dyDescent="0.25">
      <c r="B3316"/>
      <c r="Z3316"/>
    </row>
    <row r="3317" spans="2:26" x14ac:dyDescent="0.25">
      <c r="B3317"/>
      <c r="Z3317"/>
    </row>
    <row r="3318" spans="2:26" x14ac:dyDescent="0.25">
      <c r="B3318"/>
      <c r="Z3318"/>
    </row>
    <row r="3319" spans="2:26" x14ac:dyDescent="0.25">
      <c r="B3319"/>
      <c r="Z3319"/>
    </row>
    <row r="3320" spans="2:26" x14ac:dyDescent="0.25">
      <c r="B3320"/>
      <c r="Z3320"/>
    </row>
    <row r="3321" spans="2:26" x14ac:dyDescent="0.25">
      <c r="B3321"/>
      <c r="Z3321"/>
    </row>
    <row r="3322" spans="2:26" x14ac:dyDescent="0.25">
      <c r="B3322"/>
      <c r="Z3322"/>
    </row>
    <row r="3323" spans="2:26" x14ac:dyDescent="0.25">
      <c r="B3323"/>
      <c r="Z3323"/>
    </row>
    <row r="3324" spans="2:26" x14ac:dyDescent="0.25">
      <c r="B3324"/>
      <c r="Z3324"/>
    </row>
    <row r="3325" spans="2:26" x14ac:dyDescent="0.25">
      <c r="B3325"/>
      <c r="Z3325"/>
    </row>
    <row r="3326" spans="2:26" x14ac:dyDescent="0.25">
      <c r="B3326"/>
      <c r="Z3326"/>
    </row>
    <row r="3327" spans="2:26" x14ac:dyDescent="0.25">
      <c r="B3327"/>
      <c r="Z3327"/>
    </row>
    <row r="3328" spans="2:26" x14ac:dyDescent="0.25">
      <c r="B3328"/>
      <c r="Z3328"/>
    </row>
    <row r="3329" spans="2:26" x14ac:dyDescent="0.25">
      <c r="B3329"/>
      <c r="Z3329"/>
    </row>
    <row r="3330" spans="2:26" x14ac:dyDescent="0.25">
      <c r="B3330"/>
      <c r="Z3330"/>
    </row>
    <row r="3331" spans="2:26" x14ac:dyDescent="0.25">
      <c r="B3331"/>
      <c r="Z3331"/>
    </row>
    <row r="3332" spans="2:26" x14ac:dyDescent="0.25">
      <c r="B3332"/>
      <c r="Z3332"/>
    </row>
    <row r="3333" spans="2:26" x14ac:dyDescent="0.25">
      <c r="B3333"/>
      <c r="Z3333"/>
    </row>
    <row r="3334" spans="2:26" x14ac:dyDescent="0.25">
      <c r="B3334"/>
      <c r="Z3334"/>
    </row>
    <row r="3335" spans="2:26" x14ac:dyDescent="0.25">
      <c r="B3335"/>
      <c r="Z3335"/>
    </row>
    <row r="3336" spans="2:26" x14ac:dyDescent="0.25">
      <c r="B3336"/>
      <c r="Z3336"/>
    </row>
    <row r="3337" spans="2:26" x14ac:dyDescent="0.25">
      <c r="B3337"/>
      <c r="Z3337"/>
    </row>
    <row r="3338" spans="2:26" x14ac:dyDescent="0.25">
      <c r="B3338"/>
      <c r="Z3338"/>
    </row>
    <row r="3339" spans="2:26" x14ac:dyDescent="0.25">
      <c r="B3339"/>
      <c r="Z3339"/>
    </row>
    <row r="3340" spans="2:26" x14ac:dyDescent="0.25">
      <c r="B3340"/>
      <c r="Z3340"/>
    </row>
    <row r="3341" spans="2:26" x14ac:dyDescent="0.25">
      <c r="B3341"/>
      <c r="Z3341"/>
    </row>
    <row r="3342" spans="2:26" x14ac:dyDescent="0.25">
      <c r="B3342"/>
      <c r="Z3342"/>
    </row>
    <row r="3343" spans="2:26" x14ac:dyDescent="0.25">
      <c r="B3343"/>
      <c r="Z3343"/>
    </row>
    <row r="3344" spans="2:26" x14ac:dyDescent="0.25">
      <c r="B3344"/>
      <c r="Z3344"/>
    </row>
    <row r="3345" spans="2:26" x14ac:dyDescent="0.25">
      <c r="B3345"/>
      <c r="Z3345"/>
    </row>
    <row r="3346" spans="2:26" x14ac:dyDescent="0.25">
      <c r="B3346"/>
      <c r="Z3346"/>
    </row>
    <row r="3347" spans="2:26" x14ac:dyDescent="0.25">
      <c r="B3347"/>
      <c r="Z3347"/>
    </row>
    <row r="3348" spans="2:26" x14ac:dyDescent="0.25">
      <c r="B3348"/>
      <c r="Z3348"/>
    </row>
    <row r="3349" spans="2:26" x14ac:dyDescent="0.25">
      <c r="B3349"/>
      <c r="Z3349"/>
    </row>
    <row r="3350" spans="2:26" x14ac:dyDescent="0.25">
      <c r="B3350"/>
      <c r="Z3350"/>
    </row>
    <row r="3351" spans="2:26" x14ac:dyDescent="0.25">
      <c r="B3351"/>
      <c r="Z3351"/>
    </row>
    <row r="3352" spans="2:26" x14ac:dyDescent="0.25">
      <c r="B3352"/>
      <c r="Z3352"/>
    </row>
    <row r="3353" spans="2:26" x14ac:dyDescent="0.25">
      <c r="B3353"/>
      <c r="Z3353"/>
    </row>
    <row r="3354" spans="2:26" x14ac:dyDescent="0.25">
      <c r="B3354"/>
      <c r="Z3354"/>
    </row>
    <row r="3355" spans="2:26" x14ac:dyDescent="0.25">
      <c r="B3355"/>
      <c r="Z3355"/>
    </row>
    <row r="3356" spans="2:26" x14ac:dyDescent="0.25">
      <c r="B3356"/>
      <c r="Z3356"/>
    </row>
    <row r="3357" spans="2:26" x14ac:dyDescent="0.25">
      <c r="B3357"/>
      <c r="Z3357"/>
    </row>
    <row r="3358" spans="2:26" x14ac:dyDescent="0.25">
      <c r="B3358"/>
      <c r="Z3358"/>
    </row>
    <row r="3359" spans="2:26" x14ac:dyDescent="0.25">
      <c r="B3359"/>
      <c r="Z3359"/>
    </row>
    <row r="3360" spans="2:26" x14ac:dyDescent="0.25">
      <c r="B3360"/>
      <c r="Z3360"/>
    </row>
    <row r="3361" spans="2:26" x14ac:dyDescent="0.25">
      <c r="B3361"/>
      <c r="Z3361"/>
    </row>
    <row r="3362" spans="2:26" x14ac:dyDescent="0.25">
      <c r="B3362"/>
      <c r="Z3362"/>
    </row>
    <row r="3363" spans="2:26" x14ac:dyDescent="0.25">
      <c r="B3363"/>
      <c r="Z3363"/>
    </row>
    <row r="3364" spans="2:26" x14ac:dyDescent="0.25">
      <c r="B3364"/>
      <c r="Z3364"/>
    </row>
    <row r="3365" spans="2:26" x14ac:dyDescent="0.25">
      <c r="B3365"/>
      <c r="Z3365"/>
    </row>
    <row r="3366" spans="2:26" x14ac:dyDescent="0.25">
      <c r="B3366"/>
      <c r="Z3366"/>
    </row>
    <row r="3367" spans="2:26" x14ac:dyDescent="0.25">
      <c r="B3367"/>
      <c r="Z3367"/>
    </row>
    <row r="3368" spans="2:26" x14ac:dyDescent="0.25">
      <c r="B3368"/>
      <c r="Z3368"/>
    </row>
    <row r="3369" spans="2:26" x14ac:dyDescent="0.25">
      <c r="B3369"/>
      <c r="Z3369"/>
    </row>
    <row r="3370" spans="2:26" x14ac:dyDescent="0.25">
      <c r="B3370"/>
      <c r="Z3370"/>
    </row>
    <row r="3371" spans="2:26" x14ac:dyDescent="0.25">
      <c r="B3371"/>
      <c r="Z3371"/>
    </row>
    <row r="3372" spans="2:26" x14ac:dyDescent="0.25">
      <c r="B3372"/>
      <c r="Z3372"/>
    </row>
    <row r="3373" spans="2:26" x14ac:dyDescent="0.25">
      <c r="B3373"/>
      <c r="Z3373"/>
    </row>
    <row r="3374" spans="2:26" x14ac:dyDescent="0.25">
      <c r="B3374"/>
      <c r="Z3374"/>
    </row>
    <row r="3375" spans="2:26" x14ac:dyDescent="0.25">
      <c r="B3375"/>
      <c r="Z3375"/>
    </row>
    <row r="3376" spans="2:26" x14ac:dyDescent="0.25">
      <c r="B3376"/>
      <c r="Z3376"/>
    </row>
    <row r="3377" spans="2:26" x14ac:dyDescent="0.25">
      <c r="B3377"/>
      <c r="Z3377"/>
    </row>
    <row r="3378" spans="2:26" x14ac:dyDescent="0.25">
      <c r="B3378"/>
      <c r="Z3378"/>
    </row>
    <row r="3379" spans="2:26" x14ac:dyDescent="0.25">
      <c r="B3379"/>
      <c r="Z3379"/>
    </row>
    <row r="3380" spans="2:26" x14ac:dyDescent="0.25">
      <c r="B3380"/>
      <c r="Z3380"/>
    </row>
    <row r="3381" spans="2:26" x14ac:dyDescent="0.25">
      <c r="B3381"/>
      <c r="Z3381"/>
    </row>
    <row r="3382" spans="2:26" x14ac:dyDescent="0.25">
      <c r="B3382"/>
      <c r="Z3382"/>
    </row>
    <row r="3383" spans="2:26" x14ac:dyDescent="0.25">
      <c r="B3383"/>
      <c r="Z3383"/>
    </row>
    <row r="3384" spans="2:26" x14ac:dyDescent="0.25">
      <c r="B3384"/>
      <c r="Z3384"/>
    </row>
    <row r="3385" spans="2:26" x14ac:dyDescent="0.25">
      <c r="B3385"/>
      <c r="Z3385"/>
    </row>
    <row r="3386" spans="2:26" x14ac:dyDescent="0.25">
      <c r="B3386"/>
      <c r="Z3386"/>
    </row>
    <row r="3387" spans="2:26" x14ac:dyDescent="0.25">
      <c r="B3387"/>
      <c r="Z3387"/>
    </row>
    <row r="3388" spans="2:26" x14ac:dyDescent="0.25">
      <c r="B3388"/>
      <c r="Z3388"/>
    </row>
    <row r="3389" spans="2:26" x14ac:dyDescent="0.25">
      <c r="B3389"/>
      <c r="Z3389"/>
    </row>
    <row r="3390" spans="2:26" x14ac:dyDescent="0.25">
      <c r="B3390"/>
      <c r="Z3390"/>
    </row>
    <row r="3391" spans="2:26" x14ac:dyDescent="0.25">
      <c r="B3391"/>
      <c r="Z3391"/>
    </row>
    <row r="3392" spans="2:26" x14ac:dyDescent="0.25">
      <c r="B3392"/>
      <c r="Z3392"/>
    </row>
    <row r="3393" spans="2:26" x14ac:dyDescent="0.25">
      <c r="B3393"/>
      <c r="Z3393"/>
    </row>
    <row r="3394" spans="2:26" x14ac:dyDescent="0.25">
      <c r="B3394"/>
      <c r="Z3394"/>
    </row>
    <row r="3395" spans="2:26" x14ac:dyDescent="0.25">
      <c r="B3395"/>
      <c r="Z3395"/>
    </row>
    <row r="3396" spans="2:26" x14ac:dyDescent="0.25">
      <c r="B3396"/>
      <c r="Z3396"/>
    </row>
    <row r="3397" spans="2:26" x14ac:dyDescent="0.25">
      <c r="B3397"/>
      <c r="Z3397"/>
    </row>
    <row r="3398" spans="2:26" x14ac:dyDescent="0.25">
      <c r="B3398"/>
      <c r="Z3398"/>
    </row>
    <row r="3399" spans="2:26" x14ac:dyDescent="0.25">
      <c r="B3399"/>
      <c r="Z3399"/>
    </row>
    <row r="3400" spans="2:26" x14ac:dyDescent="0.25">
      <c r="B3400"/>
      <c r="Z3400"/>
    </row>
    <row r="3401" spans="2:26" x14ac:dyDescent="0.25">
      <c r="B3401"/>
      <c r="Z3401"/>
    </row>
    <row r="3402" spans="2:26" x14ac:dyDescent="0.25">
      <c r="B3402"/>
      <c r="Z3402"/>
    </row>
    <row r="3403" spans="2:26" x14ac:dyDescent="0.25">
      <c r="B3403"/>
      <c r="Z3403"/>
    </row>
    <row r="3404" spans="2:26" x14ac:dyDescent="0.25">
      <c r="B3404"/>
      <c r="Z3404"/>
    </row>
    <row r="3405" spans="2:26" x14ac:dyDescent="0.25">
      <c r="B3405"/>
      <c r="Z3405"/>
    </row>
    <row r="3406" spans="2:26" x14ac:dyDescent="0.25">
      <c r="B3406"/>
      <c r="Z3406"/>
    </row>
    <row r="3407" spans="2:26" x14ac:dyDescent="0.25">
      <c r="B3407"/>
      <c r="Z3407"/>
    </row>
    <row r="3408" spans="2:26" x14ac:dyDescent="0.25">
      <c r="B3408"/>
      <c r="Z3408"/>
    </row>
    <row r="3409" spans="2:26" x14ac:dyDescent="0.25">
      <c r="B3409"/>
      <c r="Z3409"/>
    </row>
    <row r="3410" spans="2:26" x14ac:dyDescent="0.25">
      <c r="B3410"/>
      <c r="Z3410"/>
    </row>
    <row r="3411" spans="2:26" x14ac:dyDescent="0.25">
      <c r="B3411"/>
      <c r="Z3411"/>
    </row>
    <row r="3412" spans="2:26" x14ac:dyDescent="0.25">
      <c r="B3412"/>
      <c r="Z3412"/>
    </row>
    <row r="3413" spans="2:26" x14ac:dyDescent="0.25">
      <c r="B3413"/>
      <c r="Z3413"/>
    </row>
    <row r="3414" spans="2:26" x14ac:dyDescent="0.25">
      <c r="B3414"/>
      <c r="Z3414"/>
    </row>
    <row r="3415" spans="2:26" x14ac:dyDescent="0.25">
      <c r="B3415"/>
      <c r="Z3415"/>
    </row>
    <row r="3416" spans="2:26" x14ac:dyDescent="0.25">
      <c r="B3416"/>
      <c r="Z3416"/>
    </row>
    <row r="3417" spans="2:26" x14ac:dyDescent="0.25">
      <c r="B3417"/>
      <c r="Z3417"/>
    </row>
    <row r="3418" spans="2:26" x14ac:dyDescent="0.25">
      <c r="B3418"/>
      <c r="Z3418"/>
    </row>
    <row r="3419" spans="2:26" x14ac:dyDescent="0.25">
      <c r="B3419"/>
      <c r="Z3419"/>
    </row>
    <row r="3420" spans="2:26" x14ac:dyDescent="0.25">
      <c r="B3420"/>
      <c r="Z3420"/>
    </row>
    <row r="3421" spans="2:26" x14ac:dyDescent="0.25">
      <c r="B3421"/>
      <c r="Z3421"/>
    </row>
    <row r="3422" spans="2:26" x14ac:dyDescent="0.25">
      <c r="B3422"/>
      <c r="Z3422"/>
    </row>
    <row r="3423" spans="2:26" x14ac:dyDescent="0.25">
      <c r="B3423"/>
      <c r="Z3423"/>
    </row>
    <row r="3424" spans="2:26" x14ac:dyDescent="0.25">
      <c r="B3424"/>
      <c r="Z3424"/>
    </row>
    <row r="3425" spans="2:26" x14ac:dyDescent="0.25">
      <c r="B3425"/>
      <c r="Z3425"/>
    </row>
    <row r="3426" spans="2:26" x14ac:dyDescent="0.25">
      <c r="B3426"/>
      <c r="Z3426"/>
    </row>
    <row r="3427" spans="2:26" x14ac:dyDescent="0.25">
      <c r="B3427"/>
      <c r="Z3427"/>
    </row>
    <row r="3428" spans="2:26" x14ac:dyDescent="0.25">
      <c r="B3428"/>
      <c r="Z3428"/>
    </row>
    <row r="3429" spans="2:26" x14ac:dyDescent="0.25">
      <c r="B3429"/>
      <c r="Z3429"/>
    </row>
    <row r="3430" spans="2:26" x14ac:dyDescent="0.25">
      <c r="B3430"/>
      <c r="Z3430"/>
    </row>
    <row r="3431" spans="2:26" x14ac:dyDescent="0.25">
      <c r="B3431"/>
      <c r="Z3431"/>
    </row>
    <row r="3432" spans="2:26" x14ac:dyDescent="0.25">
      <c r="B3432"/>
      <c r="Z3432"/>
    </row>
    <row r="3433" spans="2:26" x14ac:dyDescent="0.25">
      <c r="B3433"/>
      <c r="Z3433"/>
    </row>
    <row r="3434" spans="2:26" x14ac:dyDescent="0.25">
      <c r="B3434"/>
      <c r="Z3434"/>
    </row>
    <row r="3435" spans="2:26" x14ac:dyDescent="0.25">
      <c r="B3435"/>
      <c r="Z3435"/>
    </row>
    <row r="3436" spans="2:26" x14ac:dyDescent="0.25">
      <c r="B3436"/>
      <c r="Z3436"/>
    </row>
    <row r="3437" spans="2:26" x14ac:dyDescent="0.25">
      <c r="B3437"/>
      <c r="Z3437"/>
    </row>
    <row r="3438" spans="2:26" x14ac:dyDescent="0.25">
      <c r="B3438"/>
      <c r="Z3438"/>
    </row>
    <row r="3439" spans="2:26" x14ac:dyDescent="0.25">
      <c r="B3439"/>
      <c r="Z3439"/>
    </row>
    <row r="3440" spans="2:26" x14ac:dyDescent="0.25">
      <c r="B3440"/>
      <c r="Z3440"/>
    </row>
    <row r="3441" spans="2:26" x14ac:dyDescent="0.25">
      <c r="B3441"/>
      <c r="Z3441"/>
    </row>
    <row r="3442" spans="2:26" x14ac:dyDescent="0.25">
      <c r="B3442"/>
      <c r="Z3442"/>
    </row>
    <row r="3443" spans="2:26" x14ac:dyDescent="0.25">
      <c r="B3443"/>
      <c r="Z3443"/>
    </row>
    <row r="3444" spans="2:26" x14ac:dyDescent="0.25">
      <c r="B3444"/>
      <c r="Z3444"/>
    </row>
    <row r="3445" spans="2:26" x14ac:dyDescent="0.25">
      <c r="B3445"/>
      <c r="Z3445"/>
    </row>
    <row r="3446" spans="2:26" x14ac:dyDescent="0.25">
      <c r="B3446"/>
      <c r="Z3446"/>
    </row>
    <row r="3447" spans="2:26" x14ac:dyDescent="0.25">
      <c r="B3447"/>
      <c r="Z3447"/>
    </row>
    <row r="3448" spans="2:26" x14ac:dyDescent="0.25">
      <c r="B3448"/>
      <c r="Z3448"/>
    </row>
    <row r="3449" spans="2:26" x14ac:dyDescent="0.25">
      <c r="B3449"/>
      <c r="Z3449"/>
    </row>
    <row r="3450" spans="2:26" x14ac:dyDescent="0.25">
      <c r="B3450"/>
      <c r="Z3450"/>
    </row>
    <row r="3451" spans="2:26" x14ac:dyDescent="0.25">
      <c r="B3451"/>
      <c r="Z3451"/>
    </row>
    <row r="3452" spans="2:26" x14ac:dyDescent="0.25">
      <c r="B3452"/>
      <c r="Z3452"/>
    </row>
    <row r="3453" spans="2:26" x14ac:dyDescent="0.25">
      <c r="B3453"/>
      <c r="Z3453"/>
    </row>
    <row r="3454" spans="2:26" x14ac:dyDescent="0.25">
      <c r="B3454"/>
      <c r="Z3454"/>
    </row>
    <row r="3455" spans="2:26" x14ac:dyDescent="0.25">
      <c r="B3455"/>
      <c r="Z3455"/>
    </row>
    <row r="3456" spans="2:26" x14ac:dyDescent="0.25">
      <c r="B3456"/>
      <c r="Z3456"/>
    </row>
    <row r="3457" spans="2:26" x14ac:dyDescent="0.25">
      <c r="B3457"/>
      <c r="Z3457"/>
    </row>
    <row r="3458" spans="2:26" x14ac:dyDescent="0.25">
      <c r="B3458"/>
      <c r="Z3458"/>
    </row>
    <row r="3459" spans="2:26" x14ac:dyDescent="0.25">
      <c r="B3459"/>
      <c r="Z3459"/>
    </row>
    <row r="3460" spans="2:26" x14ac:dyDescent="0.25">
      <c r="B3460"/>
      <c r="Z3460"/>
    </row>
    <row r="3461" spans="2:26" x14ac:dyDescent="0.25">
      <c r="B3461"/>
      <c r="Z3461"/>
    </row>
    <row r="3462" spans="2:26" x14ac:dyDescent="0.25">
      <c r="B3462"/>
      <c r="Z3462"/>
    </row>
    <row r="3463" spans="2:26" x14ac:dyDescent="0.25">
      <c r="B3463"/>
      <c r="Z3463"/>
    </row>
    <row r="3464" spans="2:26" x14ac:dyDescent="0.25">
      <c r="B3464"/>
      <c r="Z3464"/>
    </row>
    <row r="3465" spans="2:26" x14ac:dyDescent="0.25">
      <c r="B3465"/>
      <c r="Z3465"/>
    </row>
    <row r="3466" spans="2:26" x14ac:dyDescent="0.25">
      <c r="B3466"/>
      <c r="Z3466"/>
    </row>
    <row r="3467" spans="2:26" x14ac:dyDescent="0.25">
      <c r="B3467"/>
      <c r="Z3467"/>
    </row>
    <row r="3468" spans="2:26" x14ac:dyDescent="0.25">
      <c r="B3468"/>
      <c r="Z3468"/>
    </row>
    <row r="3469" spans="2:26" x14ac:dyDescent="0.25">
      <c r="B3469"/>
      <c r="Z3469"/>
    </row>
    <row r="3470" spans="2:26" x14ac:dyDescent="0.25">
      <c r="B3470"/>
      <c r="Z3470"/>
    </row>
    <row r="3471" spans="2:26" x14ac:dyDescent="0.25">
      <c r="B3471"/>
      <c r="Z3471"/>
    </row>
    <row r="3472" spans="2:26" x14ac:dyDescent="0.25">
      <c r="B3472"/>
      <c r="Z3472"/>
    </row>
    <row r="3473" spans="2:26" x14ac:dyDescent="0.25">
      <c r="B3473"/>
      <c r="Z3473"/>
    </row>
    <row r="3474" spans="2:26" x14ac:dyDescent="0.25">
      <c r="B3474"/>
      <c r="Z3474"/>
    </row>
    <row r="3475" spans="2:26" x14ac:dyDescent="0.25">
      <c r="B3475"/>
      <c r="Z3475"/>
    </row>
    <row r="3476" spans="2:26" x14ac:dyDescent="0.25">
      <c r="B3476"/>
      <c r="Z3476"/>
    </row>
    <row r="3477" spans="2:26" x14ac:dyDescent="0.25">
      <c r="B3477"/>
      <c r="Z3477"/>
    </row>
    <row r="3478" spans="2:26" x14ac:dyDescent="0.25">
      <c r="B3478"/>
      <c r="Z3478"/>
    </row>
    <row r="3479" spans="2:26" x14ac:dyDescent="0.25">
      <c r="B3479"/>
      <c r="Z3479"/>
    </row>
    <row r="3480" spans="2:26" x14ac:dyDescent="0.25">
      <c r="B3480"/>
      <c r="Z3480"/>
    </row>
    <row r="3481" spans="2:26" x14ac:dyDescent="0.25">
      <c r="B3481"/>
      <c r="Z3481"/>
    </row>
    <row r="3482" spans="2:26" x14ac:dyDescent="0.25">
      <c r="B3482"/>
      <c r="Z3482"/>
    </row>
    <row r="3483" spans="2:26" x14ac:dyDescent="0.25">
      <c r="B3483"/>
      <c r="Z3483"/>
    </row>
    <row r="3484" spans="2:26" x14ac:dyDescent="0.25">
      <c r="B3484"/>
      <c r="Z3484"/>
    </row>
    <row r="3485" spans="2:26" x14ac:dyDescent="0.25">
      <c r="B3485"/>
      <c r="Z3485"/>
    </row>
    <row r="3486" spans="2:26" x14ac:dyDescent="0.25">
      <c r="B3486"/>
      <c r="Z3486"/>
    </row>
    <row r="3487" spans="2:26" x14ac:dyDescent="0.25">
      <c r="B3487"/>
      <c r="Z3487"/>
    </row>
    <row r="3488" spans="2:26" x14ac:dyDescent="0.25">
      <c r="B3488"/>
      <c r="Z3488"/>
    </row>
    <row r="3489" spans="2:26" x14ac:dyDescent="0.25">
      <c r="B3489"/>
      <c r="Z3489"/>
    </row>
    <row r="3490" spans="2:26" x14ac:dyDescent="0.25">
      <c r="B3490"/>
      <c r="Z3490"/>
    </row>
    <row r="3491" spans="2:26" x14ac:dyDescent="0.25">
      <c r="B3491"/>
      <c r="Z3491"/>
    </row>
    <row r="3492" spans="2:26" x14ac:dyDescent="0.25">
      <c r="B3492"/>
      <c r="Z3492"/>
    </row>
    <row r="3493" spans="2:26" x14ac:dyDescent="0.25">
      <c r="B3493"/>
      <c r="Z3493"/>
    </row>
    <row r="3494" spans="2:26" x14ac:dyDescent="0.25">
      <c r="B3494"/>
      <c r="Z3494"/>
    </row>
    <row r="3495" spans="2:26" x14ac:dyDescent="0.25">
      <c r="B3495"/>
      <c r="Z3495"/>
    </row>
    <row r="3496" spans="2:26" x14ac:dyDescent="0.25">
      <c r="B3496"/>
      <c r="Z3496"/>
    </row>
    <row r="3497" spans="2:26" x14ac:dyDescent="0.25">
      <c r="B3497"/>
      <c r="Z3497"/>
    </row>
    <row r="3498" spans="2:26" x14ac:dyDescent="0.25">
      <c r="B3498"/>
      <c r="Z3498"/>
    </row>
    <row r="3499" spans="2:26" x14ac:dyDescent="0.25">
      <c r="B3499"/>
      <c r="Z3499"/>
    </row>
    <row r="3500" spans="2:26" x14ac:dyDescent="0.25">
      <c r="B3500"/>
      <c r="Z3500"/>
    </row>
    <row r="3501" spans="2:26" x14ac:dyDescent="0.25">
      <c r="B3501"/>
      <c r="Z3501"/>
    </row>
    <row r="3502" spans="2:26" x14ac:dyDescent="0.25">
      <c r="B3502"/>
      <c r="Z3502"/>
    </row>
    <row r="3503" spans="2:26" x14ac:dyDescent="0.25">
      <c r="B3503"/>
      <c r="Z3503"/>
    </row>
    <row r="3504" spans="2:26" x14ac:dyDescent="0.25">
      <c r="B3504"/>
      <c r="Z3504"/>
    </row>
    <row r="3505" spans="2:26" x14ac:dyDescent="0.25">
      <c r="B3505"/>
      <c r="Z3505"/>
    </row>
    <row r="3506" spans="2:26" x14ac:dyDescent="0.25">
      <c r="B3506"/>
      <c r="Z3506"/>
    </row>
    <row r="3507" spans="2:26" x14ac:dyDescent="0.25">
      <c r="B3507"/>
      <c r="Z3507"/>
    </row>
    <row r="3508" spans="2:26" x14ac:dyDescent="0.25">
      <c r="B3508"/>
      <c r="Z3508"/>
    </row>
    <row r="3509" spans="2:26" x14ac:dyDescent="0.25">
      <c r="B3509"/>
      <c r="Z3509"/>
    </row>
    <row r="3510" spans="2:26" x14ac:dyDescent="0.25">
      <c r="B3510"/>
      <c r="Z3510"/>
    </row>
    <row r="3511" spans="2:26" x14ac:dyDescent="0.25">
      <c r="B3511"/>
      <c r="Z3511"/>
    </row>
    <row r="3512" spans="2:26" x14ac:dyDescent="0.25">
      <c r="B3512"/>
      <c r="Z3512"/>
    </row>
    <row r="3513" spans="2:26" x14ac:dyDescent="0.25">
      <c r="B3513"/>
      <c r="Z3513"/>
    </row>
    <row r="3514" spans="2:26" x14ac:dyDescent="0.25">
      <c r="B3514"/>
      <c r="Z3514"/>
    </row>
    <row r="3515" spans="2:26" x14ac:dyDescent="0.25">
      <c r="B3515"/>
      <c r="Z3515"/>
    </row>
    <row r="3516" spans="2:26" x14ac:dyDescent="0.25">
      <c r="B3516"/>
      <c r="Z3516"/>
    </row>
    <row r="3517" spans="2:26" x14ac:dyDescent="0.25">
      <c r="B3517"/>
      <c r="Z3517"/>
    </row>
    <row r="3518" spans="2:26" x14ac:dyDescent="0.25">
      <c r="B3518"/>
      <c r="Z3518"/>
    </row>
    <row r="3519" spans="2:26" x14ac:dyDescent="0.25">
      <c r="B3519"/>
      <c r="Z3519"/>
    </row>
    <row r="3520" spans="2:26" x14ac:dyDescent="0.25">
      <c r="B3520"/>
      <c r="Z3520"/>
    </row>
    <row r="3521" spans="2:26" x14ac:dyDescent="0.25">
      <c r="B3521"/>
      <c r="Z3521"/>
    </row>
    <row r="3522" spans="2:26" x14ac:dyDescent="0.25">
      <c r="B3522"/>
      <c r="Z3522"/>
    </row>
    <row r="3523" spans="2:26" x14ac:dyDescent="0.25">
      <c r="B3523"/>
      <c r="Z3523"/>
    </row>
    <row r="3524" spans="2:26" x14ac:dyDescent="0.25">
      <c r="B3524"/>
      <c r="Z3524"/>
    </row>
    <row r="3525" spans="2:26" x14ac:dyDescent="0.25">
      <c r="B3525"/>
      <c r="Z3525"/>
    </row>
    <row r="3526" spans="2:26" x14ac:dyDescent="0.25">
      <c r="B3526"/>
      <c r="Z3526"/>
    </row>
    <row r="3527" spans="2:26" x14ac:dyDescent="0.25">
      <c r="B3527"/>
      <c r="Z3527"/>
    </row>
    <row r="3528" spans="2:26" x14ac:dyDescent="0.25">
      <c r="B3528"/>
      <c r="Z3528"/>
    </row>
    <row r="3529" spans="2:26" x14ac:dyDescent="0.25">
      <c r="B3529"/>
      <c r="Z3529"/>
    </row>
    <row r="3530" spans="2:26" x14ac:dyDescent="0.25">
      <c r="B3530"/>
      <c r="Z3530"/>
    </row>
    <row r="3531" spans="2:26" x14ac:dyDescent="0.25">
      <c r="B3531"/>
      <c r="Z3531"/>
    </row>
    <row r="3532" spans="2:26" x14ac:dyDescent="0.25">
      <c r="B3532"/>
      <c r="Z3532"/>
    </row>
    <row r="3533" spans="2:26" x14ac:dyDescent="0.25">
      <c r="B3533"/>
      <c r="Z3533"/>
    </row>
    <row r="3534" spans="2:26" x14ac:dyDescent="0.25">
      <c r="B3534"/>
      <c r="Z3534"/>
    </row>
    <row r="3535" spans="2:26" x14ac:dyDescent="0.25">
      <c r="B3535"/>
      <c r="Z3535"/>
    </row>
    <row r="3536" spans="2:26" x14ac:dyDescent="0.25">
      <c r="B3536"/>
      <c r="Z3536"/>
    </row>
    <row r="3537" spans="2:26" x14ac:dyDescent="0.25">
      <c r="B3537"/>
      <c r="Z3537"/>
    </row>
    <row r="3538" spans="2:26" x14ac:dyDescent="0.25">
      <c r="B3538"/>
      <c r="Z3538"/>
    </row>
    <row r="3539" spans="2:26" x14ac:dyDescent="0.25">
      <c r="B3539"/>
      <c r="Z3539"/>
    </row>
    <row r="3540" spans="2:26" x14ac:dyDescent="0.25">
      <c r="B3540"/>
      <c r="Z3540"/>
    </row>
    <row r="3541" spans="2:26" x14ac:dyDescent="0.25">
      <c r="B3541"/>
      <c r="Z3541"/>
    </row>
    <row r="3542" spans="2:26" x14ac:dyDescent="0.25">
      <c r="B3542"/>
      <c r="Z3542"/>
    </row>
    <row r="3543" spans="2:26" x14ac:dyDescent="0.25">
      <c r="B3543"/>
      <c r="Z3543"/>
    </row>
    <row r="3544" spans="2:26" x14ac:dyDescent="0.25">
      <c r="B3544"/>
      <c r="Z3544"/>
    </row>
    <row r="3545" spans="2:26" x14ac:dyDescent="0.25">
      <c r="B3545"/>
      <c r="Z3545"/>
    </row>
    <row r="3546" spans="2:26" x14ac:dyDescent="0.25">
      <c r="B3546"/>
      <c r="Z3546"/>
    </row>
    <row r="3547" spans="2:26" x14ac:dyDescent="0.25">
      <c r="B3547"/>
      <c r="Z3547"/>
    </row>
    <row r="3548" spans="2:26" x14ac:dyDescent="0.25">
      <c r="B3548"/>
      <c r="Z3548"/>
    </row>
    <row r="3549" spans="2:26" x14ac:dyDescent="0.25">
      <c r="B3549"/>
      <c r="Z3549"/>
    </row>
    <row r="3550" spans="2:26" x14ac:dyDescent="0.25">
      <c r="B3550"/>
      <c r="Z3550"/>
    </row>
    <row r="3551" spans="2:26" x14ac:dyDescent="0.25">
      <c r="B3551"/>
      <c r="Z3551"/>
    </row>
    <row r="3552" spans="2:26" x14ac:dyDescent="0.25">
      <c r="B3552"/>
      <c r="Z3552"/>
    </row>
    <row r="3553" spans="2:26" x14ac:dyDescent="0.25">
      <c r="B3553"/>
      <c r="Z3553"/>
    </row>
    <row r="3554" spans="2:26" x14ac:dyDescent="0.25">
      <c r="B3554"/>
      <c r="Z3554"/>
    </row>
    <row r="3555" spans="2:26" x14ac:dyDescent="0.25">
      <c r="B3555"/>
      <c r="Z3555"/>
    </row>
    <row r="3556" spans="2:26" x14ac:dyDescent="0.25">
      <c r="B3556"/>
      <c r="Z3556"/>
    </row>
    <row r="3557" spans="2:26" x14ac:dyDescent="0.25">
      <c r="B3557"/>
      <c r="Z3557"/>
    </row>
    <row r="3558" spans="2:26" x14ac:dyDescent="0.25">
      <c r="B3558"/>
      <c r="Z3558"/>
    </row>
    <row r="3559" spans="2:26" x14ac:dyDescent="0.25">
      <c r="B3559"/>
      <c r="Z3559"/>
    </row>
    <row r="3560" spans="2:26" x14ac:dyDescent="0.25">
      <c r="B3560"/>
      <c r="Z3560"/>
    </row>
    <row r="3561" spans="2:26" x14ac:dyDescent="0.25">
      <c r="B3561"/>
      <c r="Z3561"/>
    </row>
    <row r="3562" spans="2:26" x14ac:dyDescent="0.25">
      <c r="B3562"/>
      <c r="Z3562"/>
    </row>
    <row r="3563" spans="2:26" x14ac:dyDescent="0.25">
      <c r="B3563"/>
      <c r="Z3563"/>
    </row>
    <row r="3564" spans="2:26" x14ac:dyDescent="0.25">
      <c r="B3564"/>
      <c r="Z3564"/>
    </row>
    <row r="3565" spans="2:26" x14ac:dyDescent="0.25">
      <c r="B3565"/>
      <c r="Z3565"/>
    </row>
    <row r="3566" spans="2:26" x14ac:dyDescent="0.25">
      <c r="B3566"/>
      <c r="Z3566"/>
    </row>
    <row r="3567" spans="2:26" x14ac:dyDescent="0.25">
      <c r="B3567"/>
      <c r="Z3567"/>
    </row>
    <row r="3568" spans="2:26" x14ac:dyDescent="0.25">
      <c r="B3568"/>
      <c r="Z3568"/>
    </row>
    <row r="3569" spans="2:26" x14ac:dyDescent="0.25">
      <c r="B3569"/>
      <c r="Z3569"/>
    </row>
    <row r="3570" spans="2:26" x14ac:dyDescent="0.25">
      <c r="B3570"/>
      <c r="Z3570"/>
    </row>
    <row r="3571" spans="2:26" x14ac:dyDescent="0.25">
      <c r="B3571"/>
      <c r="Z3571"/>
    </row>
    <row r="3572" spans="2:26" x14ac:dyDescent="0.25">
      <c r="B3572"/>
      <c r="Z3572"/>
    </row>
    <row r="3573" spans="2:26" x14ac:dyDescent="0.25">
      <c r="B3573"/>
      <c r="Z3573"/>
    </row>
    <row r="3574" spans="2:26" x14ac:dyDescent="0.25">
      <c r="B3574"/>
      <c r="Z3574"/>
    </row>
    <row r="3575" spans="2:26" x14ac:dyDescent="0.25">
      <c r="B3575"/>
      <c r="Z3575"/>
    </row>
    <row r="3576" spans="2:26" x14ac:dyDescent="0.25">
      <c r="B3576"/>
      <c r="Z3576"/>
    </row>
    <row r="3577" spans="2:26" x14ac:dyDescent="0.25">
      <c r="B3577"/>
      <c r="Z3577"/>
    </row>
    <row r="3578" spans="2:26" x14ac:dyDescent="0.25">
      <c r="B3578"/>
      <c r="Z3578"/>
    </row>
    <row r="3579" spans="2:26" x14ac:dyDescent="0.25">
      <c r="B3579"/>
      <c r="Z3579"/>
    </row>
    <row r="3580" spans="2:26" x14ac:dyDescent="0.25">
      <c r="B3580"/>
      <c r="Z3580"/>
    </row>
    <row r="3581" spans="2:26" x14ac:dyDescent="0.25">
      <c r="B3581"/>
      <c r="Z3581"/>
    </row>
    <row r="3582" spans="2:26" x14ac:dyDescent="0.25">
      <c r="B3582"/>
      <c r="Z3582"/>
    </row>
    <row r="3583" spans="2:26" x14ac:dyDescent="0.25">
      <c r="B3583"/>
      <c r="Z3583"/>
    </row>
    <row r="3584" spans="2:26" x14ac:dyDescent="0.25">
      <c r="B3584"/>
      <c r="Z3584"/>
    </row>
    <row r="3585" spans="2:26" x14ac:dyDescent="0.25">
      <c r="B3585"/>
      <c r="Z3585"/>
    </row>
    <row r="3586" spans="2:26" x14ac:dyDescent="0.25">
      <c r="B3586"/>
      <c r="Z3586"/>
    </row>
    <row r="3587" spans="2:26" x14ac:dyDescent="0.25">
      <c r="B3587"/>
      <c r="Z3587"/>
    </row>
    <row r="3588" spans="2:26" x14ac:dyDescent="0.25">
      <c r="B3588"/>
      <c r="Z3588"/>
    </row>
    <row r="3589" spans="2:26" x14ac:dyDescent="0.25">
      <c r="B3589"/>
      <c r="Z3589"/>
    </row>
    <row r="3590" spans="2:26" x14ac:dyDescent="0.25">
      <c r="B3590"/>
      <c r="Z3590"/>
    </row>
    <row r="3591" spans="2:26" x14ac:dyDescent="0.25">
      <c r="B3591"/>
      <c r="Z3591"/>
    </row>
    <row r="3592" spans="2:26" x14ac:dyDescent="0.25">
      <c r="B3592"/>
      <c r="Z3592"/>
    </row>
    <row r="3593" spans="2:26" x14ac:dyDescent="0.25">
      <c r="B3593"/>
      <c r="Z3593"/>
    </row>
    <row r="3594" spans="2:26" x14ac:dyDescent="0.25">
      <c r="B3594"/>
      <c r="Z3594"/>
    </row>
    <row r="3595" spans="2:26" x14ac:dyDescent="0.25">
      <c r="B3595"/>
      <c r="Z3595"/>
    </row>
    <row r="3596" spans="2:26" x14ac:dyDescent="0.25">
      <c r="B3596"/>
      <c r="Z3596"/>
    </row>
    <row r="3597" spans="2:26" x14ac:dyDescent="0.25">
      <c r="B3597"/>
      <c r="Z3597"/>
    </row>
    <row r="3598" spans="2:26" x14ac:dyDescent="0.25">
      <c r="B3598"/>
      <c r="Z3598"/>
    </row>
    <row r="3599" spans="2:26" x14ac:dyDescent="0.25">
      <c r="B3599"/>
      <c r="Z3599"/>
    </row>
    <row r="3600" spans="2:26" x14ac:dyDescent="0.25">
      <c r="B3600"/>
      <c r="Z3600"/>
    </row>
    <row r="3601" spans="2:26" x14ac:dyDescent="0.25">
      <c r="B3601"/>
      <c r="Z3601"/>
    </row>
    <row r="3602" spans="2:26" x14ac:dyDescent="0.25">
      <c r="B3602"/>
      <c r="Z3602"/>
    </row>
    <row r="3603" spans="2:26" x14ac:dyDescent="0.25">
      <c r="B3603"/>
      <c r="Z3603"/>
    </row>
    <row r="3604" spans="2:26" x14ac:dyDescent="0.25">
      <c r="B3604"/>
      <c r="Z3604"/>
    </row>
    <row r="3605" spans="2:26" x14ac:dyDescent="0.25">
      <c r="B3605"/>
      <c r="Z3605"/>
    </row>
    <row r="3606" spans="2:26" x14ac:dyDescent="0.25">
      <c r="B3606"/>
      <c r="Z3606"/>
    </row>
    <row r="3607" spans="2:26" x14ac:dyDescent="0.25">
      <c r="B3607"/>
      <c r="Z3607"/>
    </row>
    <row r="3608" spans="2:26" x14ac:dyDescent="0.25">
      <c r="B3608"/>
      <c r="Z3608"/>
    </row>
    <row r="3609" spans="2:26" x14ac:dyDescent="0.25">
      <c r="B3609"/>
      <c r="Z3609"/>
    </row>
    <row r="3610" spans="2:26" x14ac:dyDescent="0.25">
      <c r="B3610"/>
      <c r="Z3610"/>
    </row>
    <row r="3611" spans="2:26" x14ac:dyDescent="0.25">
      <c r="B3611"/>
      <c r="Z3611"/>
    </row>
    <row r="3612" spans="2:26" x14ac:dyDescent="0.25">
      <c r="B3612"/>
      <c r="Z3612"/>
    </row>
    <row r="3613" spans="2:26" x14ac:dyDescent="0.25">
      <c r="B3613"/>
      <c r="Z3613"/>
    </row>
    <row r="3614" spans="2:26" x14ac:dyDescent="0.25">
      <c r="B3614"/>
      <c r="Z3614"/>
    </row>
    <row r="3615" spans="2:26" x14ac:dyDescent="0.25">
      <c r="B3615"/>
      <c r="Z3615"/>
    </row>
    <row r="3616" spans="2:26" x14ac:dyDescent="0.25">
      <c r="B3616"/>
      <c r="Z3616"/>
    </row>
    <row r="3617" spans="2:26" x14ac:dyDescent="0.25">
      <c r="B3617"/>
      <c r="Z3617"/>
    </row>
    <row r="3618" spans="2:26" x14ac:dyDescent="0.25">
      <c r="B3618"/>
      <c r="Z3618"/>
    </row>
    <row r="3619" spans="2:26" x14ac:dyDescent="0.25">
      <c r="B3619"/>
      <c r="Z3619"/>
    </row>
    <row r="3620" spans="2:26" x14ac:dyDescent="0.25">
      <c r="B3620"/>
      <c r="Z3620"/>
    </row>
    <row r="3621" spans="2:26" x14ac:dyDescent="0.25">
      <c r="B3621"/>
      <c r="Z3621"/>
    </row>
    <row r="3622" spans="2:26" x14ac:dyDescent="0.25">
      <c r="B3622"/>
      <c r="Z3622"/>
    </row>
    <row r="3623" spans="2:26" x14ac:dyDescent="0.25">
      <c r="B3623"/>
      <c r="Z3623"/>
    </row>
    <row r="3624" spans="2:26" x14ac:dyDescent="0.25">
      <c r="B3624"/>
      <c r="Z3624"/>
    </row>
    <row r="3625" spans="2:26" x14ac:dyDescent="0.25">
      <c r="B3625"/>
      <c r="Z3625"/>
    </row>
    <row r="3626" spans="2:26" x14ac:dyDescent="0.25">
      <c r="B3626"/>
      <c r="Z3626"/>
    </row>
    <row r="3627" spans="2:26" x14ac:dyDescent="0.25">
      <c r="B3627"/>
      <c r="Z3627"/>
    </row>
    <row r="3628" spans="2:26" x14ac:dyDescent="0.25">
      <c r="B3628"/>
      <c r="Z3628"/>
    </row>
    <row r="3629" spans="2:26" x14ac:dyDescent="0.25">
      <c r="B3629"/>
      <c r="Z3629"/>
    </row>
    <row r="3630" spans="2:26" x14ac:dyDescent="0.25">
      <c r="B3630"/>
      <c r="Z3630"/>
    </row>
    <row r="3631" spans="2:26" x14ac:dyDescent="0.25">
      <c r="B3631"/>
      <c r="Z3631"/>
    </row>
    <row r="3632" spans="2:26" x14ac:dyDescent="0.25">
      <c r="B3632"/>
      <c r="Z3632"/>
    </row>
    <row r="3633" spans="2:26" x14ac:dyDescent="0.25">
      <c r="B3633"/>
      <c r="Z3633"/>
    </row>
    <row r="3634" spans="2:26" x14ac:dyDescent="0.25">
      <c r="B3634"/>
      <c r="Z3634"/>
    </row>
    <row r="3635" spans="2:26" x14ac:dyDescent="0.25">
      <c r="B3635"/>
      <c r="Z3635"/>
    </row>
    <row r="3636" spans="2:26" x14ac:dyDescent="0.25">
      <c r="B3636"/>
      <c r="Z3636"/>
    </row>
    <row r="3637" spans="2:26" x14ac:dyDescent="0.25">
      <c r="B3637"/>
      <c r="Z3637"/>
    </row>
    <row r="3638" spans="2:26" x14ac:dyDescent="0.25">
      <c r="B3638"/>
      <c r="Z3638"/>
    </row>
    <row r="3639" spans="2:26" x14ac:dyDescent="0.25">
      <c r="B3639"/>
      <c r="Z3639"/>
    </row>
    <row r="3640" spans="2:26" x14ac:dyDescent="0.25">
      <c r="B3640"/>
      <c r="Z3640"/>
    </row>
    <row r="3641" spans="2:26" x14ac:dyDescent="0.25">
      <c r="B3641"/>
      <c r="Z3641"/>
    </row>
    <row r="3642" spans="2:26" x14ac:dyDescent="0.25">
      <c r="B3642"/>
      <c r="Z3642"/>
    </row>
    <row r="3643" spans="2:26" x14ac:dyDescent="0.25">
      <c r="B3643"/>
      <c r="Z3643"/>
    </row>
    <row r="3644" spans="2:26" x14ac:dyDescent="0.25">
      <c r="B3644"/>
      <c r="Z3644"/>
    </row>
    <row r="3645" spans="2:26" x14ac:dyDescent="0.25">
      <c r="B3645"/>
      <c r="Z3645"/>
    </row>
    <row r="3646" spans="2:26" x14ac:dyDescent="0.25">
      <c r="B3646"/>
      <c r="Z3646"/>
    </row>
    <row r="3647" spans="2:26" x14ac:dyDescent="0.25">
      <c r="B3647"/>
      <c r="Z3647"/>
    </row>
    <row r="3648" spans="2:26" x14ac:dyDescent="0.25">
      <c r="B3648"/>
      <c r="Z3648"/>
    </row>
    <row r="3649" spans="2:26" x14ac:dyDescent="0.25">
      <c r="B3649"/>
      <c r="Z3649"/>
    </row>
    <row r="3650" spans="2:26" x14ac:dyDescent="0.25">
      <c r="B3650"/>
      <c r="Z3650"/>
    </row>
    <row r="3651" spans="2:26" x14ac:dyDescent="0.25">
      <c r="B3651"/>
      <c r="Z3651"/>
    </row>
    <row r="3652" spans="2:26" x14ac:dyDescent="0.25">
      <c r="B3652"/>
      <c r="Z3652"/>
    </row>
    <row r="3653" spans="2:26" x14ac:dyDescent="0.25">
      <c r="B3653"/>
      <c r="Z3653"/>
    </row>
    <row r="3654" spans="2:26" x14ac:dyDescent="0.25">
      <c r="B3654"/>
      <c r="Z3654"/>
    </row>
    <row r="3655" spans="2:26" x14ac:dyDescent="0.25">
      <c r="B3655"/>
      <c r="Z3655"/>
    </row>
    <row r="3656" spans="2:26" x14ac:dyDescent="0.25">
      <c r="B3656"/>
      <c r="Z3656"/>
    </row>
    <row r="3657" spans="2:26" x14ac:dyDescent="0.25">
      <c r="B3657"/>
      <c r="Z3657"/>
    </row>
    <row r="3658" spans="2:26" x14ac:dyDescent="0.25">
      <c r="B3658"/>
      <c r="Z3658"/>
    </row>
    <row r="3659" spans="2:26" x14ac:dyDescent="0.25">
      <c r="B3659"/>
      <c r="Z3659"/>
    </row>
    <row r="3660" spans="2:26" x14ac:dyDescent="0.25">
      <c r="B3660"/>
      <c r="Z3660"/>
    </row>
    <row r="3661" spans="2:26" x14ac:dyDescent="0.25">
      <c r="B3661"/>
      <c r="Z3661"/>
    </row>
    <row r="3662" spans="2:26" x14ac:dyDescent="0.25">
      <c r="B3662"/>
      <c r="Z3662"/>
    </row>
    <row r="3663" spans="2:26" x14ac:dyDescent="0.25">
      <c r="B3663"/>
      <c r="Z3663"/>
    </row>
    <row r="3664" spans="2:26" x14ac:dyDescent="0.25">
      <c r="B3664"/>
      <c r="Z3664"/>
    </row>
    <row r="3665" spans="2:26" x14ac:dyDescent="0.25">
      <c r="B3665"/>
      <c r="Z3665"/>
    </row>
    <row r="3666" spans="2:26" x14ac:dyDescent="0.25">
      <c r="B3666"/>
      <c r="Z3666"/>
    </row>
    <row r="3667" spans="2:26" x14ac:dyDescent="0.25">
      <c r="B3667"/>
      <c r="Z3667"/>
    </row>
    <row r="3668" spans="2:26" x14ac:dyDescent="0.25">
      <c r="B3668"/>
      <c r="Z3668"/>
    </row>
    <row r="3669" spans="2:26" x14ac:dyDescent="0.25">
      <c r="B3669"/>
      <c r="Z3669"/>
    </row>
    <row r="3670" spans="2:26" x14ac:dyDescent="0.25">
      <c r="B3670"/>
      <c r="Z3670"/>
    </row>
    <row r="3671" spans="2:26" x14ac:dyDescent="0.25">
      <c r="B3671"/>
      <c r="Z3671"/>
    </row>
    <row r="3672" spans="2:26" x14ac:dyDescent="0.25">
      <c r="B3672"/>
      <c r="Z3672"/>
    </row>
    <row r="3673" spans="2:26" x14ac:dyDescent="0.25">
      <c r="B3673"/>
      <c r="Z3673"/>
    </row>
    <row r="3674" spans="2:26" x14ac:dyDescent="0.25">
      <c r="B3674"/>
      <c r="Z3674"/>
    </row>
    <row r="3675" spans="2:26" x14ac:dyDescent="0.25">
      <c r="B3675"/>
      <c r="Z3675"/>
    </row>
    <row r="3676" spans="2:26" x14ac:dyDescent="0.25">
      <c r="B3676"/>
      <c r="Z3676"/>
    </row>
    <row r="3677" spans="2:26" x14ac:dyDescent="0.25">
      <c r="B3677"/>
      <c r="Z3677"/>
    </row>
    <row r="3678" spans="2:26" x14ac:dyDescent="0.25">
      <c r="B3678"/>
      <c r="Z3678"/>
    </row>
    <row r="3679" spans="2:26" x14ac:dyDescent="0.25">
      <c r="B3679"/>
      <c r="Z3679"/>
    </row>
    <row r="3680" spans="2:26" x14ac:dyDescent="0.25">
      <c r="B3680"/>
      <c r="Z3680"/>
    </row>
    <row r="3681" spans="2:26" x14ac:dyDescent="0.25">
      <c r="B3681"/>
      <c r="Z3681"/>
    </row>
    <row r="3682" spans="2:26" x14ac:dyDescent="0.25">
      <c r="B3682"/>
      <c r="Z3682"/>
    </row>
    <row r="3683" spans="2:26" x14ac:dyDescent="0.25">
      <c r="B3683"/>
      <c r="Z3683"/>
    </row>
    <row r="3684" spans="2:26" x14ac:dyDescent="0.25">
      <c r="B3684"/>
      <c r="Z3684"/>
    </row>
    <row r="3685" spans="2:26" x14ac:dyDescent="0.25">
      <c r="B3685"/>
      <c r="Z3685"/>
    </row>
    <row r="3686" spans="2:26" x14ac:dyDescent="0.25">
      <c r="B3686"/>
      <c r="Z3686"/>
    </row>
    <row r="3687" spans="2:26" x14ac:dyDescent="0.25">
      <c r="B3687"/>
      <c r="Z3687"/>
    </row>
    <row r="3688" spans="2:26" x14ac:dyDescent="0.25">
      <c r="B3688"/>
      <c r="Z3688"/>
    </row>
    <row r="3689" spans="2:26" x14ac:dyDescent="0.25">
      <c r="B3689"/>
      <c r="Z3689"/>
    </row>
    <row r="3690" spans="2:26" x14ac:dyDescent="0.25">
      <c r="B3690"/>
      <c r="Z3690"/>
    </row>
    <row r="3691" spans="2:26" x14ac:dyDescent="0.25">
      <c r="B3691"/>
      <c r="Z3691"/>
    </row>
    <row r="3692" spans="2:26" x14ac:dyDescent="0.25">
      <c r="B3692"/>
      <c r="Z3692"/>
    </row>
    <row r="3693" spans="2:26" x14ac:dyDescent="0.25">
      <c r="B3693"/>
      <c r="Z3693"/>
    </row>
    <row r="3694" spans="2:26" x14ac:dyDescent="0.25">
      <c r="B3694"/>
      <c r="Z3694"/>
    </row>
    <row r="3695" spans="2:26" x14ac:dyDescent="0.25">
      <c r="B3695"/>
      <c r="Z3695"/>
    </row>
    <row r="3696" spans="2:26" x14ac:dyDescent="0.25">
      <c r="B3696"/>
      <c r="Z3696"/>
    </row>
    <row r="3697" spans="2:26" x14ac:dyDescent="0.25">
      <c r="B3697"/>
      <c r="Z3697"/>
    </row>
    <row r="3698" spans="2:26" x14ac:dyDescent="0.25">
      <c r="B3698"/>
      <c r="Z3698"/>
    </row>
    <row r="3699" spans="2:26" x14ac:dyDescent="0.25">
      <c r="B3699"/>
      <c r="Z3699"/>
    </row>
    <row r="3700" spans="2:26" x14ac:dyDescent="0.25">
      <c r="B3700"/>
      <c r="Z3700"/>
    </row>
    <row r="3701" spans="2:26" x14ac:dyDescent="0.25">
      <c r="B3701"/>
      <c r="Z3701"/>
    </row>
    <row r="3702" spans="2:26" x14ac:dyDescent="0.25">
      <c r="B3702"/>
      <c r="Z3702"/>
    </row>
    <row r="3703" spans="2:26" x14ac:dyDescent="0.25">
      <c r="B3703"/>
      <c r="Z3703"/>
    </row>
    <row r="3704" spans="2:26" x14ac:dyDescent="0.25">
      <c r="B3704"/>
      <c r="Z3704"/>
    </row>
    <row r="3705" spans="2:26" x14ac:dyDescent="0.25">
      <c r="B3705"/>
      <c r="Z3705"/>
    </row>
    <row r="3706" spans="2:26" x14ac:dyDescent="0.25">
      <c r="B3706"/>
      <c r="Z3706"/>
    </row>
    <row r="3707" spans="2:26" x14ac:dyDescent="0.25">
      <c r="B3707"/>
      <c r="Z3707"/>
    </row>
    <row r="3708" spans="2:26" x14ac:dyDescent="0.25">
      <c r="B3708"/>
      <c r="Z3708"/>
    </row>
    <row r="3709" spans="2:26" x14ac:dyDescent="0.25">
      <c r="B3709"/>
      <c r="Z3709"/>
    </row>
    <row r="3710" spans="2:26" x14ac:dyDescent="0.25">
      <c r="B3710"/>
      <c r="Z3710"/>
    </row>
    <row r="3711" spans="2:26" x14ac:dyDescent="0.25">
      <c r="B3711"/>
      <c r="Z3711"/>
    </row>
    <row r="3712" spans="2:26" x14ac:dyDescent="0.25">
      <c r="B3712"/>
      <c r="Z3712"/>
    </row>
    <row r="3713" spans="2:26" x14ac:dyDescent="0.25">
      <c r="B3713"/>
      <c r="Z3713"/>
    </row>
    <row r="3714" spans="2:26" x14ac:dyDescent="0.25">
      <c r="B3714"/>
      <c r="Z3714"/>
    </row>
    <row r="3715" spans="2:26" x14ac:dyDescent="0.25">
      <c r="B3715"/>
      <c r="Z3715"/>
    </row>
    <row r="3716" spans="2:26" x14ac:dyDescent="0.25">
      <c r="B3716"/>
      <c r="Z3716"/>
    </row>
    <row r="3717" spans="2:26" x14ac:dyDescent="0.25">
      <c r="B3717"/>
      <c r="Z3717"/>
    </row>
    <row r="3718" spans="2:26" x14ac:dyDescent="0.25">
      <c r="B3718"/>
      <c r="Z3718"/>
    </row>
    <row r="3719" spans="2:26" x14ac:dyDescent="0.25">
      <c r="B3719"/>
      <c r="Z3719"/>
    </row>
    <row r="3720" spans="2:26" x14ac:dyDescent="0.25">
      <c r="B3720"/>
      <c r="Z3720"/>
    </row>
    <row r="3721" spans="2:26" x14ac:dyDescent="0.25">
      <c r="B3721"/>
      <c r="Z3721"/>
    </row>
    <row r="3722" spans="2:26" x14ac:dyDescent="0.25">
      <c r="B3722"/>
      <c r="Z3722"/>
    </row>
    <row r="3723" spans="2:26" x14ac:dyDescent="0.25">
      <c r="B3723"/>
      <c r="Z3723"/>
    </row>
    <row r="3724" spans="2:26" x14ac:dyDescent="0.25">
      <c r="B3724"/>
      <c r="Z3724"/>
    </row>
    <row r="3725" spans="2:26" x14ac:dyDescent="0.25">
      <c r="B3725"/>
      <c r="Z3725"/>
    </row>
    <row r="3726" spans="2:26" x14ac:dyDescent="0.25">
      <c r="B3726"/>
      <c r="Z3726"/>
    </row>
    <row r="3727" spans="2:26" x14ac:dyDescent="0.25">
      <c r="B3727"/>
      <c r="Z3727"/>
    </row>
    <row r="3728" spans="2:26" x14ac:dyDescent="0.25">
      <c r="B3728"/>
      <c r="Z3728"/>
    </row>
    <row r="3729" spans="2:26" x14ac:dyDescent="0.25">
      <c r="B3729"/>
      <c r="Z3729"/>
    </row>
    <row r="3730" spans="2:26" x14ac:dyDescent="0.25">
      <c r="B3730"/>
      <c r="Z3730"/>
    </row>
    <row r="3731" spans="2:26" x14ac:dyDescent="0.25">
      <c r="B3731"/>
      <c r="Z3731"/>
    </row>
    <row r="3732" spans="2:26" x14ac:dyDescent="0.25">
      <c r="B3732"/>
      <c r="Z3732"/>
    </row>
    <row r="3733" spans="2:26" x14ac:dyDescent="0.25">
      <c r="B3733"/>
      <c r="Z3733"/>
    </row>
    <row r="3734" spans="2:26" x14ac:dyDescent="0.25">
      <c r="B3734"/>
      <c r="Z3734"/>
    </row>
    <row r="3735" spans="2:26" x14ac:dyDescent="0.25">
      <c r="B3735"/>
      <c r="Z3735"/>
    </row>
    <row r="3736" spans="2:26" x14ac:dyDescent="0.25">
      <c r="B3736"/>
      <c r="Z3736"/>
    </row>
    <row r="3737" spans="2:26" x14ac:dyDescent="0.25">
      <c r="B3737"/>
      <c r="Z3737"/>
    </row>
    <row r="3738" spans="2:26" x14ac:dyDescent="0.25">
      <c r="B3738"/>
      <c r="Z3738"/>
    </row>
    <row r="3739" spans="2:26" x14ac:dyDescent="0.25">
      <c r="B3739"/>
      <c r="Z3739"/>
    </row>
    <row r="3740" spans="2:26" x14ac:dyDescent="0.25">
      <c r="B3740"/>
      <c r="Z3740"/>
    </row>
    <row r="3741" spans="2:26" x14ac:dyDescent="0.25">
      <c r="B3741"/>
      <c r="Z3741"/>
    </row>
    <row r="3742" spans="2:26" x14ac:dyDescent="0.25">
      <c r="B3742"/>
      <c r="Z3742"/>
    </row>
    <row r="3743" spans="2:26" x14ac:dyDescent="0.25">
      <c r="B3743"/>
      <c r="Z3743"/>
    </row>
    <row r="3744" spans="2:26" x14ac:dyDescent="0.25">
      <c r="B3744"/>
      <c r="Z3744"/>
    </row>
    <row r="3745" spans="2:26" x14ac:dyDescent="0.25">
      <c r="B3745"/>
      <c r="Z3745"/>
    </row>
    <row r="3746" spans="2:26" x14ac:dyDescent="0.25">
      <c r="B3746"/>
      <c r="Z3746"/>
    </row>
    <row r="3747" spans="2:26" x14ac:dyDescent="0.25">
      <c r="B3747"/>
      <c r="Z3747"/>
    </row>
    <row r="3748" spans="2:26" x14ac:dyDescent="0.25">
      <c r="B3748"/>
      <c r="Z3748"/>
    </row>
    <row r="3749" spans="2:26" x14ac:dyDescent="0.25">
      <c r="B3749"/>
      <c r="Z3749"/>
    </row>
    <row r="3750" spans="2:26" x14ac:dyDescent="0.25">
      <c r="B3750"/>
      <c r="Z3750"/>
    </row>
    <row r="3751" spans="2:26" x14ac:dyDescent="0.25">
      <c r="B3751"/>
      <c r="Z3751"/>
    </row>
    <row r="3752" spans="2:26" x14ac:dyDescent="0.25">
      <c r="B3752"/>
      <c r="Z3752"/>
    </row>
    <row r="3753" spans="2:26" x14ac:dyDescent="0.25">
      <c r="B3753"/>
      <c r="Z3753"/>
    </row>
    <row r="3754" spans="2:26" x14ac:dyDescent="0.25">
      <c r="B3754"/>
      <c r="Z3754"/>
    </row>
    <row r="3755" spans="2:26" x14ac:dyDescent="0.25">
      <c r="B3755"/>
      <c r="Z3755"/>
    </row>
    <row r="3756" spans="2:26" x14ac:dyDescent="0.25">
      <c r="B3756"/>
      <c r="Z3756"/>
    </row>
    <row r="3757" spans="2:26" x14ac:dyDescent="0.25">
      <c r="B3757"/>
      <c r="Z3757"/>
    </row>
    <row r="3758" spans="2:26" x14ac:dyDescent="0.25">
      <c r="B3758"/>
      <c r="Z3758"/>
    </row>
    <row r="3759" spans="2:26" x14ac:dyDescent="0.25">
      <c r="B3759"/>
      <c r="Z3759"/>
    </row>
    <row r="3760" spans="2:26" x14ac:dyDescent="0.25">
      <c r="B3760"/>
      <c r="Z3760"/>
    </row>
    <row r="3761" spans="2:26" x14ac:dyDescent="0.25">
      <c r="B3761"/>
      <c r="Z3761"/>
    </row>
    <row r="3762" spans="2:26" x14ac:dyDescent="0.25">
      <c r="B3762"/>
      <c r="Z3762"/>
    </row>
    <row r="3763" spans="2:26" x14ac:dyDescent="0.25">
      <c r="B3763"/>
      <c r="Z3763"/>
    </row>
    <row r="3764" spans="2:26" x14ac:dyDescent="0.25">
      <c r="B3764"/>
      <c r="Z3764"/>
    </row>
    <row r="3765" spans="2:26" x14ac:dyDescent="0.25">
      <c r="B3765"/>
      <c r="Z3765"/>
    </row>
    <row r="3766" spans="2:26" x14ac:dyDescent="0.25">
      <c r="B3766"/>
      <c r="Z3766"/>
    </row>
    <row r="3767" spans="2:26" x14ac:dyDescent="0.25">
      <c r="B3767"/>
      <c r="Z3767"/>
    </row>
    <row r="3768" spans="2:26" x14ac:dyDescent="0.25">
      <c r="B3768"/>
      <c r="Z3768"/>
    </row>
    <row r="3769" spans="2:26" x14ac:dyDescent="0.25">
      <c r="B3769"/>
      <c r="Z3769"/>
    </row>
    <row r="3770" spans="2:26" x14ac:dyDescent="0.25">
      <c r="B3770"/>
      <c r="Z3770"/>
    </row>
    <row r="3771" spans="2:26" x14ac:dyDescent="0.25">
      <c r="B3771"/>
      <c r="Z3771"/>
    </row>
    <row r="3772" spans="2:26" x14ac:dyDescent="0.25">
      <c r="B3772"/>
      <c r="Z3772"/>
    </row>
    <row r="3773" spans="2:26" x14ac:dyDescent="0.25">
      <c r="B3773"/>
      <c r="Z3773"/>
    </row>
    <row r="3774" spans="2:26" x14ac:dyDescent="0.25">
      <c r="B3774"/>
      <c r="Z3774"/>
    </row>
    <row r="3775" spans="2:26" x14ac:dyDescent="0.25">
      <c r="B3775"/>
      <c r="Z3775"/>
    </row>
    <row r="3776" spans="2:26" x14ac:dyDescent="0.25">
      <c r="B3776"/>
      <c r="Z3776"/>
    </row>
    <row r="3777" spans="2:26" x14ac:dyDescent="0.25">
      <c r="B3777"/>
      <c r="Z3777"/>
    </row>
    <row r="3778" spans="2:26" x14ac:dyDescent="0.25">
      <c r="B3778"/>
      <c r="Z3778"/>
    </row>
    <row r="3779" spans="2:26" x14ac:dyDescent="0.25">
      <c r="B3779"/>
      <c r="Z3779"/>
    </row>
    <row r="3780" spans="2:26" x14ac:dyDescent="0.25">
      <c r="B3780"/>
      <c r="Z3780"/>
    </row>
    <row r="3781" spans="2:26" x14ac:dyDescent="0.25">
      <c r="B3781"/>
      <c r="Z3781"/>
    </row>
    <row r="3782" spans="2:26" x14ac:dyDescent="0.25">
      <c r="B3782"/>
      <c r="Z3782"/>
    </row>
    <row r="3783" spans="2:26" x14ac:dyDescent="0.25">
      <c r="B3783"/>
      <c r="Z3783"/>
    </row>
    <row r="3784" spans="2:26" x14ac:dyDescent="0.25">
      <c r="B3784"/>
      <c r="Z3784"/>
    </row>
    <row r="3785" spans="2:26" x14ac:dyDescent="0.25">
      <c r="B3785"/>
      <c r="Z3785"/>
    </row>
    <row r="3786" spans="2:26" x14ac:dyDescent="0.25">
      <c r="B3786"/>
      <c r="Z3786"/>
    </row>
    <row r="3787" spans="2:26" x14ac:dyDescent="0.25">
      <c r="B3787"/>
      <c r="Z3787"/>
    </row>
    <row r="3788" spans="2:26" x14ac:dyDescent="0.25">
      <c r="B3788"/>
      <c r="Z3788"/>
    </row>
    <row r="3789" spans="2:26" x14ac:dyDescent="0.25">
      <c r="B3789"/>
      <c r="Z3789"/>
    </row>
    <row r="3790" spans="2:26" x14ac:dyDescent="0.25">
      <c r="B3790"/>
      <c r="Z3790"/>
    </row>
    <row r="3791" spans="2:26" x14ac:dyDescent="0.25">
      <c r="B3791"/>
      <c r="Z3791"/>
    </row>
    <row r="3792" spans="2:26" x14ac:dyDescent="0.25">
      <c r="B3792"/>
      <c r="Z3792"/>
    </row>
    <row r="3793" spans="1:33" x14ac:dyDescent="0.25">
      <c r="B3793"/>
      <c r="Z3793"/>
    </row>
    <row r="3794" spans="1:33" x14ac:dyDescent="0.25">
      <c r="B3794"/>
      <c r="Z3794"/>
    </row>
    <row r="3795" spans="1:33" x14ac:dyDescent="0.25">
      <c r="B3795"/>
      <c r="K3795" s="6"/>
      <c r="Z3795"/>
    </row>
    <row r="3796" spans="1:33" x14ac:dyDescent="0.25">
      <c r="B3796"/>
      <c r="Z3796"/>
    </row>
    <row r="3797" spans="1:33" x14ac:dyDescent="0.25">
      <c r="A3797" s="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  <c r="V3797" s="6"/>
      <c r="W3797" s="6"/>
      <c r="X3797" s="6"/>
      <c r="Y3797" s="6"/>
      <c r="Z3797" s="6"/>
      <c r="AA3797" s="6"/>
      <c r="AB3797" s="6"/>
      <c r="AC3797" s="6"/>
      <c r="AD3797" s="6"/>
      <c r="AE3797" s="6"/>
      <c r="AF3797" s="6"/>
      <c r="AG3797" s="6"/>
    </row>
    <row r="3798" spans="1:33" x14ac:dyDescent="0.25">
      <c r="B3798"/>
      <c r="Z3798"/>
    </row>
    <row r="3799" spans="1:33" x14ac:dyDescent="0.25">
      <c r="B3799"/>
      <c r="Z3799"/>
    </row>
    <row r="3800" spans="1:33" x14ac:dyDescent="0.25">
      <c r="B3800"/>
      <c r="Z3800"/>
    </row>
    <row r="3801" spans="1:33" x14ac:dyDescent="0.25">
      <c r="B3801"/>
      <c r="Z3801"/>
    </row>
    <row r="3802" spans="1:33" x14ac:dyDescent="0.25">
      <c r="B3802"/>
      <c r="Z3802"/>
    </row>
    <row r="3803" spans="1:33" x14ac:dyDescent="0.25">
      <c r="B3803"/>
      <c r="Z3803"/>
    </row>
    <row r="3804" spans="1:33" x14ac:dyDescent="0.25">
      <c r="B3804"/>
      <c r="Z3804"/>
    </row>
    <row r="3805" spans="1:33" x14ac:dyDescent="0.25">
      <c r="B3805"/>
      <c r="Z3805"/>
    </row>
    <row r="3806" spans="1:33" x14ac:dyDescent="0.25">
      <c r="B3806"/>
      <c r="Z3806"/>
    </row>
    <row r="3807" spans="1:33" x14ac:dyDescent="0.25">
      <c r="B3807"/>
      <c r="Z3807"/>
    </row>
    <row r="3808" spans="1:33" x14ac:dyDescent="0.25">
      <c r="B3808"/>
      <c r="Z3808"/>
    </row>
    <row r="3809" spans="2:26" x14ac:dyDescent="0.25">
      <c r="B3809"/>
      <c r="Z3809"/>
    </row>
    <row r="3810" spans="2:26" x14ac:dyDescent="0.25">
      <c r="B3810"/>
      <c r="Z3810"/>
    </row>
    <row r="3811" spans="2:26" x14ac:dyDescent="0.25">
      <c r="B3811"/>
      <c r="Z3811"/>
    </row>
    <row r="3812" spans="2:26" x14ac:dyDescent="0.25">
      <c r="B3812"/>
      <c r="Z3812"/>
    </row>
    <row r="3813" spans="2:26" x14ac:dyDescent="0.25">
      <c r="B3813"/>
      <c r="Z3813"/>
    </row>
    <row r="3814" spans="2:26" x14ac:dyDescent="0.25">
      <c r="B3814"/>
      <c r="Z3814"/>
    </row>
    <row r="3815" spans="2:26" x14ac:dyDescent="0.25">
      <c r="B3815"/>
      <c r="Z3815"/>
    </row>
    <row r="3816" spans="2:26" x14ac:dyDescent="0.25">
      <c r="B3816"/>
      <c r="Z3816"/>
    </row>
    <row r="3817" spans="2:26" x14ac:dyDescent="0.25">
      <c r="B3817"/>
      <c r="Z3817"/>
    </row>
    <row r="3818" spans="2:26" x14ac:dyDescent="0.25">
      <c r="B3818"/>
      <c r="Z3818"/>
    </row>
    <row r="3819" spans="2:26" x14ac:dyDescent="0.25">
      <c r="B3819"/>
      <c r="Z3819"/>
    </row>
    <row r="3820" spans="2:26" x14ac:dyDescent="0.25">
      <c r="B3820"/>
      <c r="Z3820"/>
    </row>
    <row r="3821" spans="2:26" x14ac:dyDescent="0.25">
      <c r="B3821"/>
      <c r="Z3821"/>
    </row>
    <row r="3822" spans="2:26" x14ac:dyDescent="0.25">
      <c r="B3822"/>
      <c r="Z3822"/>
    </row>
    <row r="3823" spans="2:26" x14ac:dyDescent="0.25">
      <c r="B3823"/>
      <c r="Z3823"/>
    </row>
    <row r="3824" spans="2:26" x14ac:dyDescent="0.25">
      <c r="B3824"/>
      <c r="Z3824"/>
    </row>
    <row r="3825" spans="2:26" x14ac:dyDescent="0.25">
      <c r="B3825"/>
      <c r="Z3825"/>
    </row>
    <row r="3826" spans="2:26" x14ac:dyDescent="0.25">
      <c r="B3826"/>
      <c r="Z3826"/>
    </row>
    <row r="3827" spans="2:26" x14ac:dyDescent="0.25">
      <c r="B3827"/>
      <c r="Z3827"/>
    </row>
    <row r="3828" spans="2:26" x14ac:dyDescent="0.25">
      <c r="B3828"/>
      <c r="Z3828"/>
    </row>
    <row r="3829" spans="2:26" x14ac:dyDescent="0.25">
      <c r="B3829"/>
      <c r="Z3829"/>
    </row>
    <row r="3830" spans="2:26" x14ac:dyDescent="0.25">
      <c r="B3830"/>
      <c r="Z3830"/>
    </row>
    <row r="3831" spans="2:26" x14ac:dyDescent="0.25">
      <c r="B3831"/>
      <c r="Z3831"/>
    </row>
    <row r="3832" spans="2:26" x14ac:dyDescent="0.25">
      <c r="B3832"/>
      <c r="Z3832"/>
    </row>
    <row r="3833" spans="2:26" x14ac:dyDescent="0.25">
      <c r="B3833"/>
      <c r="Z3833"/>
    </row>
    <row r="3834" spans="2:26" x14ac:dyDescent="0.25">
      <c r="B3834"/>
      <c r="Z3834"/>
    </row>
    <row r="3835" spans="2:26" x14ac:dyDescent="0.25">
      <c r="B3835"/>
      <c r="Z3835"/>
    </row>
    <row r="3836" spans="2:26" x14ac:dyDescent="0.25">
      <c r="B3836"/>
      <c r="Z3836"/>
    </row>
    <row r="3837" spans="2:26" x14ac:dyDescent="0.25">
      <c r="B3837"/>
      <c r="Z3837"/>
    </row>
    <row r="3838" spans="2:26" x14ac:dyDescent="0.25">
      <c r="B3838"/>
      <c r="Z3838"/>
    </row>
    <row r="3839" spans="2:26" x14ac:dyDescent="0.25">
      <c r="B3839"/>
      <c r="Z3839"/>
    </row>
    <row r="3840" spans="2:26" x14ac:dyDescent="0.25">
      <c r="B3840"/>
      <c r="Z3840"/>
    </row>
    <row r="3841" spans="2:26" x14ac:dyDescent="0.25">
      <c r="B3841"/>
      <c r="Z3841"/>
    </row>
    <row r="3842" spans="2:26" x14ac:dyDescent="0.25">
      <c r="B3842"/>
      <c r="Z3842"/>
    </row>
    <row r="3843" spans="2:26" x14ac:dyDescent="0.25">
      <c r="B3843"/>
      <c r="Z3843"/>
    </row>
    <row r="3844" spans="2:26" x14ac:dyDescent="0.25">
      <c r="B3844"/>
      <c r="Z3844"/>
    </row>
    <row r="3845" spans="2:26" x14ac:dyDescent="0.25">
      <c r="B3845"/>
      <c r="Z3845"/>
    </row>
    <row r="3846" spans="2:26" x14ac:dyDescent="0.25">
      <c r="B3846"/>
      <c r="Z3846"/>
    </row>
    <row r="3847" spans="2:26" x14ac:dyDescent="0.25">
      <c r="B3847"/>
      <c r="Z3847"/>
    </row>
    <row r="3848" spans="2:26" x14ac:dyDescent="0.25">
      <c r="B3848"/>
      <c r="Z3848"/>
    </row>
    <row r="3849" spans="2:26" x14ac:dyDescent="0.25">
      <c r="B3849"/>
      <c r="Z3849"/>
    </row>
    <row r="3850" spans="2:26" x14ac:dyDescent="0.25">
      <c r="B3850"/>
      <c r="Z3850"/>
    </row>
    <row r="3851" spans="2:26" x14ac:dyDescent="0.25">
      <c r="B3851"/>
      <c r="Z3851"/>
    </row>
    <row r="3852" spans="2:26" x14ac:dyDescent="0.25">
      <c r="B3852"/>
      <c r="Z3852"/>
    </row>
    <row r="3853" spans="2:26" x14ac:dyDescent="0.25">
      <c r="B3853"/>
      <c r="Z3853"/>
    </row>
    <row r="3854" spans="2:26" x14ac:dyDescent="0.25">
      <c r="B3854"/>
      <c r="Z3854"/>
    </row>
    <row r="3855" spans="2:26" x14ac:dyDescent="0.25">
      <c r="B3855"/>
      <c r="Z3855"/>
    </row>
    <row r="3856" spans="2:26" x14ac:dyDescent="0.25">
      <c r="B3856"/>
      <c r="Z3856"/>
    </row>
    <row r="3857" spans="2:26" x14ac:dyDescent="0.25">
      <c r="B3857"/>
      <c r="Z3857"/>
    </row>
    <row r="3858" spans="2:26" x14ac:dyDescent="0.25">
      <c r="B3858"/>
      <c r="Z3858"/>
    </row>
    <row r="3859" spans="2:26" x14ac:dyDescent="0.25">
      <c r="B3859"/>
      <c r="Z3859"/>
    </row>
    <row r="3860" spans="2:26" x14ac:dyDescent="0.25">
      <c r="B3860"/>
      <c r="Z3860"/>
    </row>
    <row r="3861" spans="2:26" x14ac:dyDescent="0.25">
      <c r="B3861"/>
      <c r="Z3861"/>
    </row>
    <row r="3862" spans="2:26" x14ac:dyDescent="0.25">
      <c r="B3862"/>
      <c r="Z3862"/>
    </row>
    <row r="3863" spans="2:26" x14ac:dyDescent="0.25">
      <c r="B3863"/>
      <c r="Z3863"/>
    </row>
    <row r="3864" spans="2:26" x14ac:dyDescent="0.25">
      <c r="B3864"/>
      <c r="Z3864"/>
    </row>
    <row r="3865" spans="2:26" x14ac:dyDescent="0.25">
      <c r="B3865"/>
      <c r="Z3865"/>
    </row>
    <row r="3866" spans="2:26" x14ac:dyDescent="0.25">
      <c r="B3866"/>
      <c r="Z3866"/>
    </row>
    <row r="3867" spans="2:26" x14ac:dyDescent="0.25">
      <c r="B3867"/>
      <c r="Z3867"/>
    </row>
    <row r="3868" spans="2:26" x14ac:dyDescent="0.25">
      <c r="B3868"/>
      <c r="Z3868"/>
    </row>
    <row r="3869" spans="2:26" x14ac:dyDescent="0.25">
      <c r="B3869"/>
      <c r="Z3869"/>
    </row>
    <row r="3870" spans="2:26" x14ac:dyDescent="0.25">
      <c r="B3870"/>
      <c r="Z3870"/>
    </row>
    <row r="3871" spans="2:26" x14ac:dyDescent="0.25">
      <c r="B3871"/>
      <c r="Z3871"/>
    </row>
    <row r="3872" spans="2:26" x14ac:dyDescent="0.25">
      <c r="B3872"/>
      <c r="Z3872"/>
    </row>
    <row r="3873" spans="2:26" x14ac:dyDescent="0.25">
      <c r="B3873"/>
      <c r="Z3873"/>
    </row>
    <row r="3874" spans="2:26" x14ac:dyDescent="0.25">
      <c r="B3874"/>
      <c r="Z3874"/>
    </row>
    <row r="3875" spans="2:26" x14ac:dyDescent="0.25">
      <c r="B3875"/>
      <c r="Z3875"/>
    </row>
    <row r="3876" spans="2:26" x14ac:dyDescent="0.25">
      <c r="B3876"/>
      <c r="Z3876"/>
    </row>
    <row r="3877" spans="2:26" x14ac:dyDescent="0.25">
      <c r="B3877"/>
      <c r="Z3877"/>
    </row>
    <row r="3878" spans="2:26" x14ac:dyDescent="0.25">
      <c r="B3878"/>
      <c r="Z3878"/>
    </row>
    <row r="3879" spans="2:26" x14ac:dyDescent="0.25">
      <c r="B3879"/>
      <c r="Z3879"/>
    </row>
    <row r="3880" spans="2:26" x14ac:dyDescent="0.25">
      <c r="B3880"/>
      <c r="Z3880"/>
    </row>
    <row r="3881" spans="2:26" x14ac:dyDescent="0.25">
      <c r="B3881"/>
      <c r="Z3881"/>
    </row>
    <row r="3882" spans="2:26" x14ac:dyDescent="0.25">
      <c r="B3882"/>
      <c r="Z3882"/>
    </row>
    <row r="3883" spans="2:26" x14ac:dyDescent="0.25">
      <c r="B3883"/>
      <c r="Z3883"/>
    </row>
    <row r="3884" spans="2:26" x14ac:dyDescent="0.25">
      <c r="B3884"/>
      <c r="Z3884"/>
    </row>
    <row r="3885" spans="2:26" x14ac:dyDescent="0.25">
      <c r="B3885"/>
      <c r="Z3885"/>
    </row>
    <row r="3886" spans="2:26" x14ac:dyDescent="0.25">
      <c r="B3886"/>
      <c r="Z3886"/>
    </row>
    <row r="3887" spans="2:26" x14ac:dyDescent="0.25">
      <c r="B3887"/>
      <c r="Z3887"/>
    </row>
    <row r="3888" spans="2:26" x14ac:dyDescent="0.25">
      <c r="B3888"/>
      <c r="Z3888"/>
    </row>
    <row r="3889" spans="2:26" x14ac:dyDescent="0.25">
      <c r="B3889"/>
      <c r="Z3889"/>
    </row>
    <row r="3890" spans="2:26" x14ac:dyDescent="0.25">
      <c r="B3890"/>
      <c r="Z3890"/>
    </row>
    <row r="3891" spans="2:26" x14ac:dyDescent="0.25">
      <c r="B3891"/>
      <c r="Z3891"/>
    </row>
    <row r="3892" spans="2:26" x14ac:dyDescent="0.25">
      <c r="B3892"/>
      <c r="Z3892"/>
    </row>
    <row r="3893" spans="2:26" x14ac:dyDescent="0.25">
      <c r="B3893"/>
      <c r="Z3893"/>
    </row>
    <row r="3894" spans="2:26" x14ac:dyDescent="0.25">
      <c r="B3894"/>
      <c r="Z3894"/>
    </row>
    <row r="3895" spans="2:26" x14ac:dyDescent="0.25">
      <c r="B3895"/>
      <c r="G3895" s="6"/>
      <c r="Z3895"/>
    </row>
    <row r="3896" spans="2:26" x14ac:dyDescent="0.25">
      <c r="B3896"/>
      <c r="Z3896"/>
    </row>
    <row r="3897" spans="2:26" x14ac:dyDescent="0.25">
      <c r="B3897"/>
      <c r="Z3897"/>
    </row>
    <row r="3898" spans="2:26" x14ac:dyDescent="0.25">
      <c r="B3898"/>
      <c r="Z3898"/>
    </row>
    <row r="3899" spans="2:26" x14ac:dyDescent="0.25">
      <c r="B3899"/>
      <c r="Z3899"/>
    </row>
    <row r="3900" spans="2:26" x14ac:dyDescent="0.25">
      <c r="B3900"/>
      <c r="Z3900"/>
    </row>
    <row r="3901" spans="2:26" x14ac:dyDescent="0.25">
      <c r="B3901"/>
      <c r="Z3901"/>
    </row>
    <row r="3902" spans="2:26" x14ac:dyDescent="0.25">
      <c r="B3902"/>
      <c r="Z3902"/>
    </row>
    <row r="3903" spans="2:26" x14ac:dyDescent="0.25">
      <c r="B3903"/>
      <c r="Z3903"/>
    </row>
    <row r="3904" spans="2:26" x14ac:dyDescent="0.25">
      <c r="B3904"/>
      <c r="Z3904"/>
    </row>
    <row r="3905" spans="2:26" x14ac:dyDescent="0.25">
      <c r="B3905"/>
      <c r="Z3905"/>
    </row>
    <row r="3906" spans="2:26" x14ac:dyDescent="0.25">
      <c r="B3906"/>
      <c r="Z3906"/>
    </row>
    <row r="3907" spans="2:26" x14ac:dyDescent="0.25">
      <c r="B3907"/>
      <c r="Z3907"/>
    </row>
    <row r="3908" spans="2:26" x14ac:dyDescent="0.25">
      <c r="B3908"/>
      <c r="Z3908"/>
    </row>
    <row r="3909" spans="2:26" x14ac:dyDescent="0.25">
      <c r="B3909"/>
      <c r="Z3909"/>
    </row>
    <row r="3910" spans="2:26" x14ac:dyDescent="0.25">
      <c r="B3910"/>
      <c r="Z3910"/>
    </row>
    <row r="3911" spans="2:26" x14ac:dyDescent="0.25">
      <c r="B3911"/>
      <c r="Z3911"/>
    </row>
    <row r="3912" spans="2:26" x14ac:dyDescent="0.25">
      <c r="B3912"/>
      <c r="Z3912"/>
    </row>
    <row r="3913" spans="2:26" x14ac:dyDescent="0.25">
      <c r="B3913"/>
      <c r="Z3913"/>
    </row>
    <row r="3914" spans="2:26" x14ac:dyDescent="0.25">
      <c r="B3914"/>
      <c r="Z3914"/>
    </row>
    <row r="3915" spans="2:26" x14ac:dyDescent="0.25">
      <c r="B3915"/>
      <c r="Z3915"/>
    </row>
    <row r="3916" spans="2:26" x14ac:dyDescent="0.25">
      <c r="B3916"/>
      <c r="Z3916"/>
    </row>
    <row r="3917" spans="2:26" x14ac:dyDescent="0.25">
      <c r="B3917"/>
      <c r="Z3917"/>
    </row>
    <row r="3918" spans="2:26" x14ac:dyDescent="0.25">
      <c r="B3918"/>
      <c r="Z3918"/>
    </row>
    <row r="3919" spans="2:26" x14ac:dyDescent="0.25">
      <c r="B3919"/>
      <c r="Z3919"/>
    </row>
    <row r="3920" spans="2:26" x14ac:dyDescent="0.25">
      <c r="B3920"/>
      <c r="Z3920"/>
    </row>
    <row r="3921" spans="2:26" x14ac:dyDescent="0.25">
      <c r="B3921"/>
      <c r="Z3921"/>
    </row>
    <row r="3922" spans="2:26" x14ac:dyDescent="0.25">
      <c r="B3922"/>
      <c r="Z3922"/>
    </row>
    <row r="3923" spans="2:26" x14ac:dyDescent="0.25">
      <c r="B3923"/>
      <c r="Z3923"/>
    </row>
    <row r="3924" spans="2:26" x14ac:dyDescent="0.25">
      <c r="B3924"/>
      <c r="Z3924"/>
    </row>
    <row r="3925" spans="2:26" x14ac:dyDescent="0.25">
      <c r="B3925"/>
      <c r="Z3925"/>
    </row>
    <row r="3926" spans="2:26" x14ac:dyDescent="0.25">
      <c r="B3926"/>
      <c r="Z3926"/>
    </row>
    <row r="3927" spans="2:26" x14ac:dyDescent="0.25">
      <c r="B3927"/>
      <c r="Z3927"/>
    </row>
    <row r="3928" spans="2:26" x14ac:dyDescent="0.25">
      <c r="B3928"/>
      <c r="Z3928"/>
    </row>
    <row r="3929" spans="2:26" x14ac:dyDescent="0.25">
      <c r="B3929"/>
      <c r="Z3929"/>
    </row>
    <row r="3930" spans="2:26" x14ac:dyDescent="0.25">
      <c r="B3930"/>
      <c r="Z3930"/>
    </row>
    <row r="3931" spans="2:26" x14ac:dyDescent="0.25">
      <c r="B3931"/>
      <c r="Z3931"/>
    </row>
    <row r="3932" spans="2:26" x14ac:dyDescent="0.25">
      <c r="B3932"/>
      <c r="Z3932"/>
    </row>
    <row r="3933" spans="2:26" x14ac:dyDescent="0.25">
      <c r="B3933"/>
      <c r="Z3933"/>
    </row>
    <row r="3934" spans="2:26" x14ac:dyDescent="0.25">
      <c r="B3934"/>
      <c r="Z3934"/>
    </row>
    <row r="3935" spans="2:26" x14ac:dyDescent="0.25">
      <c r="B3935"/>
      <c r="Z3935"/>
    </row>
    <row r="3936" spans="2:26" x14ac:dyDescent="0.25">
      <c r="B3936"/>
      <c r="Z3936"/>
    </row>
    <row r="3937" spans="2:26" x14ac:dyDescent="0.25">
      <c r="B3937"/>
      <c r="Z3937"/>
    </row>
    <row r="3938" spans="2:26" x14ac:dyDescent="0.25">
      <c r="B3938"/>
      <c r="Z3938"/>
    </row>
    <row r="3939" spans="2:26" x14ac:dyDescent="0.25">
      <c r="B3939"/>
      <c r="Z3939"/>
    </row>
    <row r="3940" spans="2:26" x14ac:dyDescent="0.25">
      <c r="B3940"/>
      <c r="Z3940"/>
    </row>
    <row r="3941" spans="2:26" x14ac:dyDescent="0.25">
      <c r="B3941"/>
      <c r="Z3941"/>
    </row>
    <row r="3942" spans="2:26" x14ac:dyDescent="0.25">
      <c r="B3942"/>
      <c r="Z3942"/>
    </row>
    <row r="3943" spans="2:26" x14ac:dyDescent="0.25">
      <c r="B3943"/>
      <c r="Z3943"/>
    </row>
    <row r="3944" spans="2:26" x14ac:dyDescent="0.25">
      <c r="B3944"/>
      <c r="Z3944"/>
    </row>
    <row r="3945" spans="2:26" x14ac:dyDescent="0.25">
      <c r="B3945"/>
      <c r="Z3945"/>
    </row>
    <row r="3946" spans="2:26" x14ac:dyDescent="0.25">
      <c r="B3946"/>
      <c r="Z3946"/>
    </row>
    <row r="3947" spans="2:26" x14ac:dyDescent="0.25">
      <c r="B3947"/>
      <c r="Z3947"/>
    </row>
    <row r="3948" spans="2:26" x14ac:dyDescent="0.25">
      <c r="B3948"/>
      <c r="Z3948"/>
    </row>
    <row r="3949" spans="2:26" x14ac:dyDescent="0.25">
      <c r="B3949"/>
      <c r="Z3949"/>
    </row>
    <row r="3950" spans="2:26" x14ac:dyDescent="0.25">
      <c r="B3950"/>
      <c r="Z3950"/>
    </row>
    <row r="3951" spans="2:26" x14ac:dyDescent="0.25">
      <c r="B3951"/>
      <c r="Z3951"/>
    </row>
    <row r="3952" spans="2:26" x14ac:dyDescent="0.25">
      <c r="B3952"/>
      <c r="Z3952"/>
    </row>
    <row r="3953" spans="2:26" x14ac:dyDescent="0.25">
      <c r="B3953"/>
      <c r="Z3953"/>
    </row>
    <row r="3954" spans="2:26" x14ac:dyDescent="0.25">
      <c r="B3954"/>
      <c r="Z3954"/>
    </row>
    <row r="3955" spans="2:26" x14ac:dyDescent="0.25">
      <c r="B3955"/>
      <c r="Z3955"/>
    </row>
    <row r="3956" spans="2:26" x14ac:dyDescent="0.25">
      <c r="B3956"/>
      <c r="Z3956"/>
    </row>
    <row r="3957" spans="2:26" x14ac:dyDescent="0.25">
      <c r="B3957"/>
      <c r="Z3957"/>
    </row>
    <row r="3958" spans="2:26" x14ac:dyDescent="0.25">
      <c r="B3958"/>
      <c r="Z3958"/>
    </row>
    <row r="3959" spans="2:26" x14ac:dyDescent="0.25">
      <c r="B3959"/>
      <c r="Z3959"/>
    </row>
    <row r="3960" spans="2:26" x14ac:dyDescent="0.25">
      <c r="B3960"/>
      <c r="Z3960"/>
    </row>
    <row r="3961" spans="2:26" x14ac:dyDescent="0.25">
      <c r="B3961"/>
      <c r="Z3961"/>
    </row>
    <row r="3962" spans="2:26" x14ac:dyDescent="0.25">
      <c r="B3962"/>
      <c r="Z3962"/>
    </row>
    <row r="3963" spans="2:26" x14ac:dyDescent="0.25">
      <c r="B3963"/>
      <c r="Z3963"/>
    </row>
    <row r="3964" spans="2:26" x14ac:dyDescent="0.25">
      <c r="B3964"/>
      <c r="Z3964"/>
    </row>
    <row r="3965" spans="2:26" x14ac:dyDescent="0.25">
      <c r="B3965"/>
      <c r="Z3965"/>
    </row>
    <row r="3966" spans="2:26" x14ac:dyDescent="0.25">
      <c r="B3966"/>
      <c r="Z3966"/>
    </row>
    <row r="3967" spans="2:26" x14ac:dyDescent="0.25">
      <c r="B3967"/>
      <c r="Z3967"/>
    </row>
    <row r="3968" spans="2:26" x14ac:dyDescent="0.25">
      <c r="B3968"/>
      <c r="Z3968"/>
    </row>
    <row r="3969" spans="2:26" x14ac:dyDescent="0.25">
      <c r="B3969"/>
      <c r="Z3969"/>
    </row>
    <row r="3970" spans="2:26" x14ac:dyDescent="0.25">
      <c r="B3970"/>
      <c r="Z3970"/>
    </row>
    <row r="3971" spans="2:26" x14ac:dyDescent="0.25">
      <c r="B3971"/>
      <c r="Z3971"/>
    </row>
    <row r="3972" spans="2:26" x14ac:dyDescent="0.25">
      <c r="B3972"/>
      <c r="Z3972"/>
    </row>
    <row r="3973" spans="2:26" x14ac:dyDescent="0.25">
      <c r="B3973"/>
      <c r="Z3973"/>
    </row>
    <row r="3974" spans="2:26" x14ac:dyDescent="0.25">
      <c r="B3974"/>
      <c r="Z3974"/>
    </row>
    <row r="3975" spans="2:26" x14ac:dyDescent="0.25">
      <c r="B3975"/>
      <c r="Z3975"/>
    </row>
    <row r="3976" spans="2:26" x14ac:dyDescent="0.25">
      <c r="B3976"/>
      <c r="Z3976"/>
    </row>
    <row r="3977" spans="2:26" x14ac:dyDescent="0.25">
      <c r="B3977"/>
      <c r="Z3977"/>
    </row>
    <row r="3978" spans="2:26" x14ac:dyDescent="0.25">
      <c r="B3978"/>
      <c r="Z3978"/>
    </row>
    <row r="3979" spans="2:26" x14ac:dyDescent="0.25">
      <c r="B3979"/>
      <c r="Z3979"/>
    </row>
    <row r="3980" spans="2:26" x14ac:dyDescent="0.25">
      <c r="B3980"/>
      <c r="Z3980"/>
    </row>
    <row r="3981" spans="2:26" x14ac:dyDescent="0.25">
      <c r="B3981"/>
      <c r="Z3981"/>
    </row>
    <row r="3982" spans="2:26" x14ac:dyDescent="0.25">
      <c r="B3982"/>
      <c r="Z3982"/>
    </row>
    <row r="3983" spans="2:26" x14ac:dyDescent="0.25">
      <c r="B3983"/>
      <c r="Z3983"/>
    </row>
    <row r="3984" spans="2:26" x14ac:dyDescent="0.25">
      <c r="B3984"/>
      <c r="Z3984"/>
    </row>
    <row r="3985" spans="2:26" x14ac:dyDescent="0.25">
      <c r="B3985"/>
      <c r="Z3985"/>
    </row>
    <row r="3986" spans="2:26" x14ac:dyDescent="0.25">
      <c r="B3986"/>
      <c r="Z3986"/>
    </row>
    <row r="3987" spans="2:26" x14ac:dyDescent="0.25">
      <c r="B3987"/>
      <c r="Z3987"/>
    </row>
    <row r="3988" spans="2:26" x14ac:dyDescent="0.25">
      <c r="B3988"/>
      <c r="Z3988"/>
    </row>
    <row r="3989" spans="2:26" x14ac:dyDescent="0.25">
      <c r="B3989"/>
      <c r="Z3989"/>
    </row>
    <row r="3990" spans="2:26" x14ac:dyDescent="0.25">
      <c r="B3990"/>
      <c r="Z3990"/>
    </row>
    <row r="3991" spans="2:26" x14ac:dyDescent="0.25">
      <c r="B3991"/>
      <c r="Z3991"/>
    </row>
    <row r="3992" spans="2:26" x14ac:dyDescent="0.25">
      <c r="B3992"/>
      <c r="Z3992"/>
    </row>
    <row r="3993" spans="2:26" x14ac:dyDescent="0.25">
      <c r="B3993"/>
      <c r="Z3993"/>
    </row>
    <row r="3994" spans="2:26" x14ac:dyDescent="0.25">
      <c r="B3994"/>
      <c r="Z3994"/>
    </row>
    <row r="3995" spans="2:26" x14ac:dyDescent="0.25">
      <c r="B3995"/>
      <c r="Z3995"/>
    </row>
    <row r="3996" spans="2:26" x14ac:dyDescent="0.25">
      <c r="B3996"/>
      <c r="Z3996"/>
    </row>
    <row r="3997" spans="2:26" x14ac:dyDescent="0.25">
      <c r="B3997"/>
      <c r="Z3997"/>
    </row>
    <row r="3998" spans="2:26" x14ac:dyDescent="0.25">
      <c r="B3998"/>
      <c r="Z3998"/>
    </row>
    <row r="3999" spans="2:26" x14ac:dyDescent="0.25">
      <c r="B3999"/>
      <c r="Z3999"/>
    </row>
    <row r="4000" spans="2:26" x14ac:dyDescent="0.25">
      <c r="B4000"/>
      <c r="Z4000"/>
    </row>
    <row r="4001" spans="2:26" x14ac:dyDescent="0.25">
      <c r="B4001"/>
      <c r="Z4001"/>
    </row>
    <row r="4002" spans="2:26" x14ac:dyDescent="0.25">
      <c r="B4002"/>
      <c r="Z4002"/>
    </row>
    <row r="4003" spans="2:26" x14ac:dyDescent="0.25">
      <c r="B4003"/>
      <c r="Z4003"/>
    </row>
    <row r="4004" spans="2:26" x14ac:dyDescent="0.25">
      <c r="B4004"/>
      <c r="Z4004"/>
    </row>
    <row r="4005" spans="2:26" x14ac:dyDescent="0.25">
      <c r="B4005"/>
      <c r="Z4005"/>
    </row>
    <row r="4006" spans="2:26" x14ac:dyDescent="0.25">
      <c r="B4006"/>
      <c r="Z4006"/>
    </row>
    <row r="4007" spans="2:26" x14ac:dyDescent="0.25">
      <c r="B4007"/>
      <c r="Z4007"/>
    </row>
    <row r="4008" spans="2:26" x14ac:dyDescent="0.25">
      <c r="B4008"/>
      <c r="Z4008"/>
    </row>
    <row r="4009" spans="2:26" x14ac:dyDescent="0.25">
      <c r="B4009"/>
      <c r="Z4009"/>
    </row>
    <row r="4010" spans="2:26" x14ac:dyDescent="0.25">
      <c r="B4010"/>
      <c r="Z4010"/>
    </row>
    <row r="4011" spans="2:26" x14ac:dyDescent="0.25">
      <c r="B4011"/>
      <c r="Z4011"/>
    </row>
    <row r="4012" spans="2:26" x14ac:dyDescent="0.25">
      <c r="B4012"/>
      <c r="Z4012"/>
    </row>
    <row r="4013" spans="2:26" x14ac:dyDescent="0.25">
      <c r="B4013"/>
      <c r="Z4013"/>
    </row>
    <row r="4014" spans="2:26" x14ac:dyDescent="0.25">
      <c r="B4014"/>
      <c r="Z4014"/>
    </row>
    <row r="4015" spans="2:26" x14ac:dyDescent="0.25">
      <c r="B4015"/>
      <c r="Z4015"/>
    </row>
    <row r="4016" spans="2:26" x14ac:dyDescent="0.25">
      <c r="B4016"/>
      <c r="Z4016"/>
    </row>
    <row r="4017" spans="2:26" x14ac:dyDescent="0.25">
      <c r="B4017"/>
      <c r="Z4017"/>
    </row>
    <row r="4018" spans="2:26" x14ac:dyDescent="0.25">
      <c r="B4018"/>
      <c r="Z4018"/>
    </row>
    <row r="4019" spans="2:26" x14ac:dyDescent="0.25">
      <c r="B4019"/>
      <c r="Z4019"/>
    </row>
    <row r="4020" spans="2:26" x14ac:dyDescent="0.25">
      <c r="B4020"/>
      <c r="Z4020"/>
    </row>
    <row r="4021" spans="2:26" x14ac:dyDescent="0.25">
      <c r="B4021"/>
      <c r="Z4021"/>
    </row>
    <row r="4022" spans="2:26" x14ac:dyDescent="0.25">
      <c r="B4022"/>
      <c r="Z4022"/>
    </row>
    <row r="4023" spans="2:26" x14ac:dyDescent="0.25">
      <c r="B4023"/>
      <c r="Z4023"/>
    </row>
    <row r="4024" spans="2:26" x14ac:dyDescent="0.25">
      <c r="B4024"/>
      <c r="Z4024"/>
    </row>
    <row r="4025" spans="2:26" x14ac:dyDescent="0.25">
      <c r="B4025"/>
      <c r="Z4025"/>
    </row>
    <row r="4026" spans="2:26" x14ac:dyDescent="0.25">
      <c r="B4026"/>
      <c r="Z4026"/>
    </row>
    <row r="4027" spans="2:26" x14ac:dyDescent="0.25">
      <c r="B4027"/>
      <c r="Z4027"/>
    </row>
    <row r="4028" spans="2:26" x14ac:dyDescent="0.25">
      <c r="B4028"/>
      <c r="Z4028"/>
    </row>
    <row r="4029" spans="2:26" x14ac:dyDescent="0.25">
      <c r="B4029"/>
      <c r="Z4029"/>
    </row>
    <row r="4030" spans="2:26" x14ac:dyDescent="0.25">
      <c r="B4030"/>
      <c r="Z4030"/>
    </row>
    <row r="4031" spans="2:26" x14ac:dyDescent="0.25">
      <c r="B4031"/>
      <c r="Z4031"/>
    </row>
    <row r="4032" spans="2:26" x14ac:dyDescent="0.25">
      <c r="B4032"/>
      <c r="Z4032"/>
    </row>
    <row r="4033" spans="2:26" x14ac:dyDescent="0.25">
      <c r="B4033"/>
      <c r="Z4033"/>
    </row>
    <row r="4034" spans="2:26" x14ac:dyDescent="0.25">
      <c r="B4034"/>
      <c r="Z4034"/>
    </row>
    <row r="4035" spans="2:26" x14ac:dyDescent="0.25">
      <c r="B4035"/>
      <c r="Z4035"/>
    </row>
    <row r="4036" spans="2:26" x14ac:dyDescent="0.25">
      <c r="B4036"/>
      <c r="Z4036"/>
    </row>
    <row r="4037" spans="2:26" x14ac:dyDescent="0.25">
      <c r="B4037"/>
      <c r="Z4037"/>
    </row>
    <row r="4038" spans="2:26" x14ac:dyDescent="0.25">
      <c r="B4038"/>
      <c r="Z4038"/>
    </row>
    <row r="4039" spans="2:26" x14ac:dyDescent="0.25">
      <c r="B4039"/>
      <c r="Z4039"/>
    </row>
    <row r="4040" spans="2:26" x14ac:dyDescent="0.25">
      <c r="B4040"/>
      <c r="Z4040"/>
    </row>
    <row r="4041" spans="2:26" x14ac:dyDescent="0.25">
      <c r="B4041"/>
      <c r="Z4041"/>
    </row>
    <row r="4042" spans="2:26" x14ac:dyDescent="0.25">
      <c r="B4042"/>
      <c r="Z4042"/>
    </row>
    <row r="4043" spans="2:26" x14ac:dyDescent="0.25">
      <c r="B4043"/>
      <c r="Z4043"/>
    </row>
    <row r="4044" spans="2:26" x14ac:dyDescent="0.25">
      <c r="B4044"/>
      <c r="Z4044"/>
    </row>
    <row r="4045" spans="2:26" x14ac:dyDescent="0.25">
      <c r="B4045"/>
      <c r="Z4045"/>
    </row>
    <row r="4046" spans="2:26" x14ac:dyDescent="0.25">
      <c r="B4046"/>
      <c r="Z4046"/>
    </row>
    <row r="4047" spans="2:26" x14ac:dyDescent="0.25">
      <c r="B4047"/>
      <c r="Z4047"/>
    </row>
    <row r="4048" spans="2:26" x14ac:dyDescent="0.25">
      <c r="B4048"/>
      <c r="Z4048"/>
    </row>
    <row r="4049" spans="2:26" x14ac:dyDescent="0.25">
      <c r="B4049"/>
      <c r="Z4049"/>
    </row>
    <row r="4050" spans="2:26" x14ac:dyDescent="0.25">
      <c r="B4050"/>
      <c r="Z4050"/>
    </row>
    <row r="4051" spans="2:26" x14ac:dyDescent="0.25">
      <c r="B4051"/>
      <c r="Z4051"/>
    </row>
    <row r="4052" spans="2:26" x14ac:dyDescent="0.25">
      <c r="B4052"/>
      <c r="Z4052"/>
    </row>
    <row r="4053" spans="2:26" x14ac:dyDescent="0.25">
      <c r="B4053"/>
      <c r="Z4053"/>
    </row>
    <row r="4054" spans="2:26" x14ac:dyDescent="0.25">
      <c r="B4054"/>
      <c r="Z4054"/>
    </row>
    <row r="4055" spans="2:26" x14ac:dyDescent="0.25">
      <c r="B4055"/>
      <c r="Z4055"/>
    </row>
    <row r="4056" spans="2:26" x14ac:dyDescent="0.25">
      <c r="B4056"/>
      <c r="Z4056"/>
    </row>
    <row r="4057" spans="2:26" x14ac:dyDescent="0.25">
      <c r="B4057"/>
      <c r="Z4057"/>
    </row>
    <row r="4058" spans="2:26" x14ac:dyDescent="0.25">
      <c r="B4058"/>
      <c r="Z4058"/>
    </row>
    <row r="4059" spans="2:26" x14ac:dyDescent="0.25">
      <c r="B4059"/>
      <c r="Z4059"/>
    </row>
    <row r="4060" spans="2:26" x14ac:dyDescent="0.25">
      <c r="B4060"/>
      <c r="Z4060"/>
    </row>
    <row r="4061" spans="2:26" x14ac:dyDescent="0.25">
      <c r="B4061"/>
      <c r="Z4061"/>
    </row>
    <row r="4062" spans="2:26" x14ac:dyDescent="0.25">
      <c r="B4062"/>
      <c r="Z4062"/>
    </row>
    <row r="4063" spans="2:26" x14ac:dyDescent="0.25">
      <c r="B4063"/>
      <c r="Z4063"/>
    </row>
    <row r="4064" spans="2:26" x14ac:dyDescent="0.25">
      <c r="B4064"/>
      <c r="Z4064"/>
    </row>
    <row r="4065" spans="2:26" x14ac:dyDescent="0.25">
      <c r="B4065"/>
      <c r="Z4065"/>
    </row>
    <row r="4066" spans="2:26" x14ac:dyDescent="0.25">
      <c r="B4066"/>
      <c r="Z4066"/>
    </row>
    <row r="4067" spans="2:26" x14ac:dyDescent="0.25">
      <c r="B4067"/>
      <c r="Z4067"/>
    </row>
    <row r="4068" spans="2:26" x14ac:dyDescent="0.25">
      <c r="B4068"/>
      <c r="Z4068"/>
    </row>
    <row r="4069" spans="2:26" x14ac:dyDescent="0.25">
      <c r="B4069"/>
      <c r="Z4069"/>
    </row>
    <row r="4070" spans="2:26" x14ac:dyDescent="0.25">
      <c r="B4070"/>
      <c r="Z4070"/>
    </row>
    <row r="4071" spans="2:26" x14ac:dyDescent="0.25">
      <c r="B4071"/>
      <c r="Z4071"/>
    </row>
    <row r="4072" spans="2:26" x14ac:dyDescent="0.25">
      <c r="B4072"/>
      <c r="Z4072"/>
    </row>
    <row r="4073" spans="2:26" x14ac:dyDescent="0.25">
      <c r="B4073"/>
      <c r="Z4073"/>
    </row>
    <row r="4074" spans="2:26" x14ac:dyDescent="0.25">
      <c r="B4074"/>
      <c r="Z4074"/>
    </row>
    <row r="4075" spans="2:26" x14ac:dyDescent="0.25">
      <c r="B4075"/>
      <c r="Z4075"/>
    </row>
    <row r="4076" spans="2:26" x14ac:dyDescent="0.25">
      <c r="B4076"/>
      <c r="Z4076"/>
    </row>
    <row r="4077" spans="2:26" x14ac:dyDescent="0.25">
      <c r="B4077"/>
      <c r="Z4077"/>
    </row>
    <row r="4078" spans="2:26" x14ac:dyDescent="0.25">
      <c r="B4078"/>
      <c r="Z4078"/>
    </row>
    <row r="4079" spans="2:26" x14ac:dyDescent="0.25">
      <c r="B4079"/>
      <c r="Z4079"/>
    </row>
    <row r="4080" spans="2:26" x14ac:dyDescent="0.25">
      <c r="B4080"/>
      <c r="Z4080"/>
    </row>
    <row r="4081" spans="2:26" x14ac:dyDescent="0.25">
      <c r="B4081"/>
      <c r="Z4081"/>
    </row>
    <row r="4082" spans="2:26" x14ac:dyDescent="0.25">
      <c r="B4082"/>
      <c r="Z4082"/>
    </row>
    <row r="4083" spans="2:26" x14ac:dyDescent="0.25">
      <c r="B4083"/>
      <c r="Z4083"/>
    </row>
    <row r="4084" spans="2:26" x14ac:dyDescent="0.25">
      <c r="B4084"/>
      <c r="Z4084"/>
    </row>
    <row r="4085" spans="2:26" x14ac:dyDescent="0.25">
      <c r="B4085"/>
      <c r="Z4085"/>
    </row>
    <row r="4086" spans="2:26" x14ac:dyDescent="0.25">
      <c r="B4086"/>
      <c r="Z4086"/>
    </row>
    <row r="4087" spans="2:26" x14ac:dyDescent="0.25">
      <c r="B4087"/>
      <c r="Z4087"/>
    </row>
    <row r="4088" spans="2:26" x14ac:dyDescent="0.25">
      <c r="B4088"/>
      <c r="Z4088"/>
    </row>
    <row r="4089" spans="2:26" x14ac:dyDescent="0.25">
      <c r="B4089"/>
      <c r="Z4089"/>
    </row>
    <row r="4090" spans="2:26" x14ac:dyDescent="0.25">
      <c r="B4090"/>
      <c r="Z4090"/>
    </row>
    <row r="4091" spans="2:26" x14ac:dyDescent="0.25">
      <c r="B4091"/>
      <c r="Z4091"/>
    </row>
    <row r="4092" spans="2:26" x14ac:dyDescent="0.25">
      <c r="B4092"/>
      <c r="Z4092"/>
    </row>
    <row r="4093" spans="2:26" x14ac:dyDescent="0.25">
      <c r="B4093"/>
      <c r="Z4093"/>
    </row>
    <row r="4094" spans="2:26" x14ac:dyDescent="0.25">
      <c r="B4094"/>
      <c r="Z4094"/>
    </row>
    <row r="4095" spans="2:26" x14ac:dyDescent="0.25">
      <c r="B4095"/>
      <c r="Z4095"/>
    </row>
    <row r="4096" spans="2:26" x14ac:dyDescent="0.25">
      <c r="B4096"/>
      <c r="Z4096"/>
    </row>
    <row r="4097" spans="2:26" x14ac:dyDescent="0.25">
      <c r="B4097"/>
      <c r="Z4097"/>
    </row>
    <row r="4098" spans="2:26" x14ac:dyDescent="0.25">
      <c r="B4098"/>
      <c r="Z4098"/>
    </row>
    <row r="4099" spans="2:26" x14ac:dyDescent="0.25">
      <c r="B4099"/>
      <c r="Z4099"/>
    </row>
    <row r="4100" spans="2:26" x14ac:dyDescent="0.25">
      <c r="B4100"/>
      <c r="Z4100"/>
    </row>
    <row r="4101" spans="2:26" x14ac:dyDescent="0.25">
      <c r="B4101"/>
      <c r="Z4101"/>
    </row>
    <row r="4102" spans="2:26" x14ac:dyDescent="0.25">
      <c r="B4102"/>
      <c r="Z4102"/>
    </row>
    <row r="4103" spans="2:26" x14ac:dyDescent="0.25">
      <c r="B4103"/>
      <c r="Z4103"/>
    </row>
    <row r="4104" spans="2:26" x14ac:dyDescent="0.25">
      <c r="B4104"/>
      <c r="Z4104"/>
    </row>
    <row r="4105" spans="2:26" x14ac:dyDescent="0.25">
      <c r="B4105"/>
      <c r="Z4105"/>
    </row>
    <row r="4106" spans="2:26" x14ac:dyDescent="0.25">
      <c r="B4106"/>
      <c r="Z4106"/>
    </row>
    <row r="4107" spans="2:26" x14ac:dyDescent="0.25">
      <c r="B4107"/>
      <c r="Z4107"/>
    </row>
    <row r="4108" spans="2:26" x14ac:dyDescent="0.25">
      <c r="B4108"/>
      <c r="Z4108"/>
    </row>
    <row r="4109" spans="2:26" x14ac:dyDescent="0.25">
      <c r="B4109"/>
      <c r="Z4109"/>
    </row>
    <row r="4110" spans="2:26" x14ac:dyDescent="0.25">
      <c r="B4110"/>
      <c r="Z4110"/>
    </row>
    <row r="4111" spans="2:26" x14ac:dyDescent="0.25">
      <c r="B4111"/>
      <c r="Z4111"/>
    </row>
    <row r="4112" spans="2:26" x14ac:dyDescent="0.25">
      <c r="B4112"/>
      <c r="Z4112"/>
    </row>
    <row r="4113" spans="2:26" x14ac:dyDescent="0.25">
      <c r="B4113"/>
      <c r="Z4113"/>
    </row>
    <row r="4114" spans="2:26" x14ac:dyDescent="0.25">
      <c r="B4114"/>
      <c r="Z4114"/>
    </row>
    <row r="4115" spans="2:26" x14ac:dyDescent="0.25">
      <c r="B4115"/>
      <c r="Z4115"/>
    </row>
    <row r="4116" spans="2:26" x14ac:dyDescent="0.25">
      <c r="B4116"/>
      <c r="Z4116"/>
    </row>
    <row r="4117" spans="2:26" x14ac:dyDescent="0.25">
      <c r="B4117"/>
      <c r="Z4117"/>
    </row>
    <row r="4118" spans="2:26" x14ac:dyDescent="0.25">
      <c r="B4118"/>
      <c r="Z4118"/>
    </row>
    <row r="4119" spans="2:26" x14ac:dyDescent="0.25">
      <c r="B4119"/>
      <c r="Z4119"/>
    </row>
    <row r="4120" spans="2:26" x14ac:dyDescent="0.25">
      <c r="B4120"/>
      <c r="Z4120"/>
    </row>
    <row r="4121" spans="2:26" x14ac:dyDescent="0.25">
      <c r="B4121"/>
      <c r="Z4121"/>
    </row>
    <row r="4122" spans="2:26" x14ac:dyDescent="0.25">
      <c r="B4122"/>
      <c r="Z4122"/>
    </row>
    <row r="4123" spans="2:26" x14ac:dyDescent="0.25">
      <c r="B4123"/>
      <c r="Z4123"/>
    </row>
    <row r="4124" spans="2:26" x14ac:dyDescent="0.25">
      <c r="B4124"/>
      <c r="Z4124"/>
    </row>
    <row r="4125" spans="2:26" x14ac:dyDescent="0.25">
      <c r="B4125"/>
      <c r="Z4125"/>
    </row>
    <row r="4126" spans="2:26" x14ac:dyDescent="0.25">
      <c r="B4126"/>
      <c r="Z4126"/>
    </row>
    <row r="4127" spans="2:26" x14ac:dyDescent="0.25">
      <c r="B4127"/>
      <c r="Z4127"/>
    </row>
    <row r="4128" spans="2:26" x14ac:dyDescent="0.25">
      <c r="B4128"/>
      <c r="Z4128"/>
    </row>
    <row r="4129" spans="2:26" x14ac:dyDescent="0.25">
      <c r="B4129"/>
      <c r="Z4129"/>
    </row>
    <row r="4130" spans="2:26" x14ac:dyDescent="0.25">
      <c r="B4130"/>
      <c r="Z4130"/>
    </row>
    <row r="4131" spans="2:26" x14ac:dyDescent="0.25">
      <c r="B4131"/>
      <c r="Z4131"/>
    </row>
    <row r="4132" spans="2:26" x14ac:dyDescent="0.25">
      <c r="B4132"/>
      <c r="Z4132"/>
    </row>
    <row r="4133" spans="2:26" x14ac:dyDescent="0.25">
      <c r="B4133"/>
      <c r="Z4133"/>
    </row>
    <row r="4134" spans="2:26" x14ac:dyDescent="0.25">
      <c r="B4134"/>
      <c r="Z4134"/>
    </row>
    <row r="4135" spans="2:26" x14ac:dyDescent="0.25">
      <c r="B4135"/>
      <c r="Z4135"/>
    </row>
    <row r="4136" spans="2:26" x14ac:dyDescent="0.25">
      <c r="B4136"/>
      <c r="Z4136"/>
    </row>
    <row r="4137" spans="2:26" x14ac:dyDescent="0.25">
      <c r="B4137"/>
      <c r="Z4137"/>
    </row>
    <row r="4138" spans="2:26" x14ac:dyDescent="0.25">
      <c r="B4138"/>
      <c r="Z4138"/>
    </row>
    <row r="4139" spans="2:26" x14ac:dyDescent="0.25">
      <c r="B4139"/>
      <c r="Z4139"/>
    </row>
    <row r="4140" spans="2:26" x14ac:dyDescent="0.25">
      <c r="B4140"/>
      <c r="Z4140"/>
    </row>
    <row r="4141" spans="2:26" x14ac:dyDescent="0.25">
      <c r="B4141"/>
      <c r="Z4141"/>
    </row>
    <row r="4142" spans="2:26" x14ac:dyDescent="0.25">
      <c r="B4142"/>
      <c r="Z4142"/>
    </row>
    <row r="4143" spans="2:26" x14ac:dyDescent="0.25">
      <c r="B4143"/>
      <c r="Z4143"/>
    </row>
    <row r="4144" spans="2:26" x14ac:dyDescent="0.25">
      <c r="B4144"/>
      <c r="Z4144"/>
    </row>
    <row r="4145" spans="2:26" x14ac:dyDescent="0.25">
      <c r="B4145"/>
      <c r="Z4145"/>
    </row>
    <row r="4146" spans="2:26" x14ac:dyDescent="0.25">
      <c r="B4146"/>
      <c r="Z4146"/>
    </row>
    <row r="4147" spans="2:26" x14ac:dyDescent="0.25">
      <c r="B4147"/>
      <c r="Z4147"/>
    </row>
    <row r="4148" spans="2:26" x14ac:dyDescent="0.25">
      <c r="B4148"/>
      <c r="Z4148"/>
    </row>
    <row r="4149" spans="2:26" x14ac:dyDescent="0.25">
      <c r="B4149"/>
      <c r="Z4149"/>
    </row>
    <row r="4150" spans="2:26" x14ac:dyDescent="0.25">
      <c r="B4150"/>
      <c r="Z4150"/>
    </row>
    <row r="4151" spans="2:26" x14ac:dyDescent="0.25">
      <c r="B4151"/>
      <c r="Z4151"/>
    </row>
    <row r="4152" spans="2:26" x14ac:dyDescent="0.25">
      <c r="B4152"/>
      <c r="Z4152"/>
    </row>
    <row r="4153" spans="2:26" x14ac:dyDescent="0.25">
      <c r="B4153"/>
      <c r="Z4153"/>
    </row>
    <row r="4154" spans="2:26" x14ac:dyDescent="0.25">
      <c r="B4154"/>
      <c r="Z4154"/>
    </row>
    <row r="4155" spans="2:26" x14ac:dyDescent="0.25">
      <c r="B4155"/>
      <c r="Z4155"/>
    </row>
    <row r="4156" spans="2:26" x14ac:dyDescent="0.25">
      <c r="B4156"/>
      <c r="Z4156"/>
    </row>
    <row r="4157" spans="2:26" x14ac:dyDescent="0.25">
      <c r="B4157"/>
      <c r="Z4157"/>
    </row>
    <row r="4158" spans="2:26" x14ac:dyDescent="0.25">
      <c r="B4158"/>
      <c r="Z4158"/>
    </row>
    <row r="4159" spans="2:26" x14ac:dyDescent="0.25">
      <c r="B4159"/>
      <c r="Z4159"/>
    </row>
    <row r="4160" spans="2:26" x14ac:dyDescent="0.25">
      <c r="B4160"/>
      <c r="Z4160"/>
    </row>
    <row r="4161" spans="2:26" x14ac:dyDescent="0.25">
      <c r="B4161"/>
      <c r="Z4161"/>
    </row>
    <row r="4162" spans="2:26" x14ac:dyDescent="0.25">
      <c r="B4162"/>
      <c r="Z4162"/>
    </row>
    <row r="4163" spans="2:26" x14ac:dyDescent="0.25">
      <c r="B4163"/>
      <c r="Z4163"/>
    </row>
    <row r="4164" spans="2:26" x14ac:dyDescent="0.25">
      <c r="B4164"/>
      <c r="Z4164"/>
    </row>
    <row r="4165" spans="2:26" x14ac:dyDescent="0.25">
      <c r="B4165"/>
      <c r="Z4165"/>
    </row>
    <row r="4166" spans="2:26" x14ac:dyDescent="0.25">
      <c r="B4166"/>
      <c r="Z4166"/>
    </row>
    <row r="4167" spans="2:26" x14ac:dyDescent="0.25">
      <c r="B4167"/>
      <c r="Z4167"/>
    </row>
    <row r="4168" spans="2:26" x14ac:dyDescent="0.25">
      <c r="B4168"/>
      <c r="Z4168"/>
    </row>
    <row r="4169" spans="2:26" x14ac:dyDescent="0.25">
      <c r="B4169"/>
      <c r="Z4169"/>
    </row>
    <row r="4170" spans="2:26" x14ac:dyDescent="0.25">
      <c r="B4170"/>
      <c r="Z4170"/>
    </row>
    <row r="4171" spans="2:26" x14ac:dyDescent="0.25">
      <c r="B4171"/>
      <c r="Z4171"/>
    </row>
    <row r="4172" spans="2:26" x14ac:dyDescent="0.25">
      <c r="B4172"/>
      <c r="Z4172"/>
    </row>
    <row r="4173" spans="2:26" x14ac:dyDescent="0.25">
      <c r="B4173"/>
      <c r="Z4173"/>
    </row>
    <row r="4174" spans="2:26" x14ac:dyDescent="0.25">
      <c r="B4174"/>
      <c r="Z4174"/>
    </row>
    <row r="4175" spans="2:26" x14ac:dyDescent="0.25">
      <c r="B4175"/>
      <c r="Z4175"/>
    </row>
    <row r="4176" spans="2:26" x14ac:dyDescent="0.25">
      <c r="B4176"/>
      <c r="Z4176"/>
    </row>
    <row r="4177" spans="2:26" x14ac:dyDescent="0.25">
      <c r="B4177"/>
      <c r="Z4177"/>
    </row>
    <row r="4178" spans="2:26" x14ac:dyDescent="0.25">
      <c r="B4178"/>
      <c r="Z4178"/>
    </row>
    <row r="4179" spans="2:26" x14ac:dyDescent="0.25">
      <c r="B4179"/>
      <c r="Z4179"/>
    </row>
    <row r="4180" spans="2:26" x14ac:dyDescent="0.25">
      <c r="B4180"/>
      <c r="Z4180"/>
    </row>
    <row r="4181" spans="2:26" x14ac:dyDescent="0.25">
      <c r="B4181"/>
      <c r="Z4181"/>
    </row>
    <row r="4182" spans="2:26" x14ac:dyDescent="0.25">
      <c r="B4182"/>
      <c r="Z4182"/>
    </row>
    <row r="4183" spans="2:26" x14ac:dyDescent="0.25">
      <c r="B4183"/>
      <c r="Z4183"/>
    </row>
    <row r="4184" spans="2:26" x14ac:dyDescent="0.25">
      <c r="B4184"/>
      <c r="Z4184"/>
    </row>
    <row r="4185" spans="2:26" x14ac:dyDescent="0.25">
      <c r="B4185"/>
      <c r="Z4185"/>
    </row>
    <row r="4186" spans="2:26" x14ac:dyDescent="0.25">
      <c r="B4186"/>
      <c r="Z4186"/>
    </row>
    <row r="4187" spans="2:26" x14ac:dyDescent="0.25">
      <c r="B4187"/>
      <c r="Z4187"/>
    </row>
    <row r="4188" spans="2:26" x14ac:dyDescent="0.25">
      <c r="B4188"/>
      <c r="Z4188"/>
    </row>
    <row r="4189" spans="2:26" x14ac:dyDescent="0.25">
      <c r="B4189"/>
      <c r="Z4189"/>
    </row>
    <row r="4190" spans="2:26" x14ac:dyDescent="0.25">
      <c r="B4190"/>
      <c r="Z4190"/>
    </row>
    <row r="4191" spans="2:26" x14ac:dyDescent="0.25">
      <c r="B4191"/>
      <c r="Z4191"/>
    </row>
    <row r="4192" spans="2:26" x14ac:dyDescent="0.25">
      <c r="B4192"/>
      <c r="Z4192"/>
    </row>
    <row r="4193" spans="2:26" x14ac:dyDescent="0.25">
      <c r="B4193"/>
      <c r="Z4193"/>
    </row>
    <row r="4194" spans="2:26" x14ac:dyDescent="0.25">
      <c r="B4194"/>
      <c r="Z4194"/>
    </row>
    <row r="4195" spans="2:26" x14ac:dyDescent="0.25">
      <c r="B4195"/>
      <c r="Z4195"/>
    </row>
    <row r="4196" spans="2:26" x14ac:dyDescent="0.25">
      <c r="B4196"/>
      <c r="Z4196"/>
    </row>
    <row r="4197" spans="2:26" x14ac:dyDescent="0.25">
      <c r="B4197"/>
      <c r="Z4197"/>
    </row>
    <row r="4198" spans="2:26" x14ac:dyDescent="0.25">
      <c r="B4198"/>
      <c r="Z4198"/>
    </row>
    <row r="4199" spans="2:26" x14ac:dyDescent="0.25">
      <c r="B4199"/>
      <c r="Z4199"/>
    </row>
    <row r="4200" spans="2:26" x14ac:dyDescent="0.25">
      <c r="B4200"/>
      <c r="Z4200"/>
    </row>
    <row r="4201" spans="2:26" x14ac:dyDescent="0.25">
      <c r="B4201"/>
      <c r="Z4201"/>
    </row>
    <row r="4202" spans="2:26" x14ac:dyDescent="0.25">
      <c r="B4202"/>
      <c r="Z4202"/>
    </row>
    <row r="4203" spans="2:26" x14ac:dyDescent="0.25">
      <c r="B4203"/>
      <c r="Z4203"/>
    </row>
    <row r="4204" spans="2:26" x14ac:dyDescent="0.25">
      <c r="B4204"/>
      <c r="Z4204"/>
    </row>
    <row r="4205" spans="2:26" x14ac:dyDescent="0.25">
      <c r="B4205"/>
      <c r="Z4205"/>
    </row>
    <row r="4206" spans="2:26" x14ac:dyDescent="0.25">
      <c r="B4206"/>
      <c r="Z4206"/>
    </row>
    <row r="4207" spans="2:26" x14ac:dyDescent="0.25">
      <c r="B4207"/>
      <c r="Z4207"/>
    </row>
    <row r="4208" spans="2:26" x14ac:dyDescent="0.25">
      <c r="B4208"/>
      <c r="Z4208"/>
    </row>
    <row r="4209" spans="2:26" x14ac:dyDescent="0.25">
      <c r="B4209"/>
      <c r="Z4209"/>
    </row>
    <row r="4210" spans="2:26" x14ac:dyDescent="0.25">
      <c r="B4210"/>
      <c r="Z4210"/>
    </row>
    <row r="4211" spans="2:26" x14ac:dyDescent="0.25">
      <c r="B4211"/>
      <c r="Z4211"/>
    </row>
    <row r="4212" spans="2:26" x14ac:dyDescent="0.25">
      <c r="B4212"/>
      <c r="Z4212"/>
    </row>
    <row r="4213" spans="2:26" x14ac:dyDescent="0.25">
      <c r="B4213"/>
      <c r="Z4213"/>
    </row>
    <row r="4214" spans="2:26" x14ac:dyDescent="0.25">
      <c r="B4214"/>
      <c r="Z4214"/>
    </row>
    <row r="4215" spans="2:26" x14ac:dyDescent="0.25">
      <c r="B4215"/>
      <c r="Z4215"/>
    </row>
    <row r="4216" spans="2:26" x14ac:dyDescent="0.25">
      <c r="B4216"/>
      <c r="Z4216"/>
    </row>
    <row r="4217" spans="2:26" x14ac:dyDescent="0.25">
      <c r="B4217"/>
      <c r="Z4217"/>
    </row>
    <row r="4218" spans="2:26" x14ac:dyDescent="0.25">
      <c r="B4218"/>
      <c r="Z4218"/>
    </row>
    <row r="4219" spans="2:26" x14ac:dyDescent="0.25">
      <c r="B4219"/>
      <c r="Z4219"/>
    </row>
    <row r="4220" spans="2:26" x14ac:dyDescent="0.25">
      <c r="B4220"/>
      <c r="Z4220"/>
    </row>
    <row r="4221" spans="2:26" x14ac:dyDescent="0.25">
      <c r="B4221"/>
      <c r="Z4221"/>
    </row>
    <row r="4222" spans="2:26" x14ac:dyDescent="0.25">
      <c r="B4222"/>
      <c r="Z4222"/>
    </row>
    <row r="4223" spans="2:26" x14ac:dyDescent="0.25">
      <c r="B4223"/>
      <c r="Z4223"/>
    </row>
    <row r="4224" spans="2:26" x14ac:dyDescent="0.25">
      <c r="B4224"/>
      <c r="Z4224"/>
    </row>
    <row r="4225" spans="2:26" x14ac:dyDescent="0.25">
      <c r="B4225"/>
      <c r="Z4225"/>
    </row>
    <row r="4226" spans="2:26" x14ac:dyDescent="0.25">
      <c r="B4226"/>
      <c r="Z4226"/>
    </row>
    <row r="4227" spans="2:26" x14ac:dyDescent="0.25">
      <c r="B4227"/>
      <c r="Z4227"/>
    </row>
    <row r="4228" spans="2:26" x14ac:dyDescent="0.25">
      <c r="B4228"/>
      <c r="Z4228"/>
    </row>
    <row r="4229" spans="2:26" x14ac:dyDescent="0.25">
      <c r="B4229"/>
      <c r="Z4229"/>
    </row>
    <row r="4230" spans="2:26" x14ac:dyDescent="0.25">
      <c r="B4230"/>
      <c r="Z4230"/>
    </row>
    <row r="4231" spans="2:26" x14ac:dyDescent="0.25">
      <c r="B4231"/>
      <c r="Z4231"/>
    </row>
    <row r="4232" spans="2:26" x14ac:dyDescent="0.25">
      <c r="B4232"/>
      <c r="Z4232"/>
    </row>
    <row r="4233" spans="2:26" x14ac:dyDescent="0.25">
      <c r="B4233"/>
      <c r="Z4233"/>
    </row>
    <row r="4234" spans="2:26" x14ac:dyDescent="0.25">
      <c r="B4234"/>
      <c r="Z4234"/>
    </row>
    <row r="4235" spans="2:26" x14ac:dyDescent="0.25">
      <c r="B4235"/>
      <c r="Z4235"/>
    </row>
    <row r="4236" spans="2:26" x14ac:dyDescent="0.25">
      <c r="B4236"/>
      <c r="Z4236"/>
    </row>
    <row r="4237" spans="2:26" x14ac:dyDescent="0.25">
      <c r="B4237"/>
      <c r="Z4237"/>
    </row>
    <row r="4238" spans="2:26" x14ac:dyDescent="0.25">
      <c r="B4238"/>
      <c r="Z4238"/>
    </row>
    <row r="4239" spans="2:26" x14ac:dyDescent="0.25">
      <c r="B4239"/>
      <c r="Z4239"/>
    </row>
    <row r="4240" spans="2:26" x14ac:dyDescent="0.25">
      <c r="B4240"/>
      <c r="Z4240"/>
    </row>
    <row r="4241" spans="2:26" x14ac:dyDescent="0.25">
      <c r="B4241"/>
      <c r="Z4241"/>
    </row>
    <row r="4242" spans="2:26" x14ac:dyDescent="0.25">
      <c r="B4242"/>
      <c r="Z4242"/>
    </row>
    <row r="4243" spans="2:26" x14ac:dyDescent="0.25">
      <c r="B4243"/>
      <c r="Z4243"/>
    </row>
    <row r="4244" spans="2:26" x14ac:dyDescent="0.25">
      <c r="B4244"/>
      <c r="Z4244"/>
    </row>
    <row r="4245" spans="2:26" x14ac:dyDescent="0.25">
      <c r="B4245"/>
      <c r="Z4245"/>
    </row>
    <row r="4246" spans="2:26" x14ac:dyDescent="0.25">
      <c r="B4246"/>
      <c r="Z4246"/>
    </row>
    <row r="4247" spans="2:26" x14ac:dyDescent="0.25">
      <c r="B4247"/>
      <c r="Z4247"/>
    </row>
    <row r="4248" spans="2:26" x14ac:dyDescent="0.25">
      <c r="B4248"/>
      <c r="Z4248"/>
    </row>
    <row r="4249" spans="2:26" x14ac:dyDescent="0.25">
      <c r="B4249"/>
      <c r="Z4249"/>
    </row>
    <row r="4250" spans="2:26" x14ac:dyDescent="0.25">
      <c r="B4250"/>
      <c r="Z4250"/>
    </row>
    <row r="4251" spans="2:26" x14ac:dyDescent="0.25">
      <c r="B4251"/>
      <c r="Z4251"/>
    </row>
    <row r="4252" spans="2:26" x14ac:dyDescent="0.25">
      <c r="B4252"/>
      <c r="Z4252"/>
    </row>
    <row r="4253" spans="2:26" x14ac:dyDescent="0.25">
      <c r="B4253"/>
      <c r="Z4253"/>
    </row>
    <row r="4254" spans="2:26" x14ac:dyDescent="0.25">
      <c r="B4254"/>
      <c r="Z4254"/>
    </row>
    <row r="4255" spans="2:26" x14ac:dyDescent="0.25">
      <c r="B4255"/>
      <c r="Z4255"/>
    </row>
    <row r="4256" spans="2:26" x14ac:dyDescent="0.25">
      <c r="B4256"/>
      <c r="Z4256"/>
    </row>
    <row r="4257" spans="2:26" x14ac:dyDescent="0.25">
      <c r="B4257"/>
      <c r="Z4257"/>
    </row>
    <row r="4258" spans="2:26" x14ac:dyDescent="0.25">
      <c r="B4258"/>
      <c r="Z4258"/>
    </row>
    <row r="4259" spans="2:26" x14ac:dyDescent="0.25">
      <c r="B4259"/>
      <c r="Z4259"/>
    </row>
    <row r="4260" spans="2:26" x14ac:dyDescent="0.25">
      <c r="B4260"/>
      <c r="Z4260"/>
    </row>
    <row r="4261" spans="2:26" x14ac:dyDescent="0.25">
      <c r="B4261"/>
      <c r="Z4261"/>
    </row>
    <row r="4262" spans="2:26" x14ac:dyDescent="0.25">
      <c r="B4262"/>
      <c r="Z4262"/>
    </row>
    <row r="4263" spans="2:26" x14ac:dyDescent="0.25">
      <c r="B4263"/>
      <c r="Z4263"/>
    </row>
    <row r="4264" spans="2:26" x14ac:dyDescent="0.25">
      <c r="B4264"/>
      <c r="Z4264"/>
    </row>
    <row r="4265" spans="2:26" x14ac:dyDescent="0.25">
      <c r="B4265"/>
      <c r="Z4265"/>
    </row>
    <row r="4266" spans="2:26" x14ac:dyDescent="0.25">
      <c r="B4266"/>
      <c r="Z4266"/>
    </row>
    <row r="4267" spans="2:26" x14ac:dyDescent="0.25">
      <c r="B4267"/>
      <c r="Z4267"/>
    </row>
    <row r="4268" spans="2:26" x14ac:dyDescent="0.25">
      <c r="B4268"/>
      <c r="Z4268"/>
    </row>
    <row r="4269" spans="2:26" x14ac:dyDescent="0.25">
      <c r="B4269"/>
      <c r="Z4269"/>
    </row>
    <row r="4270" spans="2:26" x14ac:dyDescent="0.25">
      <c r="B4270"/>
      <c r="Z4270"/>
    </row>
    <row r="4271" spans="2:26" x14ac:dyDescent="0.25">
      <c r="B4271"/>
      <c r="Z4271"/>
    </row>
    <row r="4272" spans="2:26" x14ac:dyDescent="0.25">
      <c r="B4272"/>
      <c r="Z4272"/>
    </row>
    <row r="4273" spans="1:33" x14ac:dyDescent="0.25">
      <c r="B4273"/>
      <c r="Z4273"/>
    </row>
    <row r="4274" spans="1:33" x14ac:dyDescent="0.25">
      <c r="B4274"/>
      <c r="Z4274"/>
    </row>
    <row r="4275" spans="1:33" x14ac:dyDescent="0.25">
      <c r="B4275"/>
      <c r="Z4275"/>
    </row>
    <row r="4276" spans="1:33" x14ac:dyDescent="0.25">
      <c r="B4276"/>
      <c r="Z4276"/>
    </row>
    <row r="4277" spans="1:33" x14ac:dyDescent="0.25">
      <c r="B4277"/>
      <c r="Z4277"/>
    </row>
    <row r="4278" spans="1:33" x14ac:dyDescent="0.25">
      <c r="B4278"/>
      <c r="Z4278"/>
    </row>
    <row r="4279" spans="1:33" x14ac:dyDescent="0.25">
      <c r="B4279"/>
      <c r="Z4279"/>
    </row>
    <row r="4280" spans="1:33" x14ac:dyDescent="0.25">
      <c r="B4280"/>
      <c r="Z4280"/>
    </row>
    <row r="4281" spans="1:33" x14ac:dyDescent="0.25">
      <c r="B4281"/>
      <c r="Z4281"/>
    </row>
    <row r="4282" spans="1:33" x14ac:dyDescent="0.25">
      <c r="B4282"/>
      <c r="Z4282"/>
    </row>
    <row r="4283" spans="1:33" x14ac:dyDescent="0.25">
      <c r="B4283"/>
      <c r="Z4283"/>
    </row>
    <row r="4284" spans="1:33" x14ac:dyDescent="0.25">
      <c r="B4284"/>
      <c r="Z4284"/>
    </row>
    <row r="4285" spans="1:33" x14ac:dyDescent="0.25">
      <c r="B4285"/>
      <c r="Z4285"/>
    </row>
    <row r="4286" spans="1:33" x14ac:dyDescent="0.25">
      <c r="B4286"/>
      <c r="Z4286"/>
    </row>
    <row r="4287" spans="1:33" x14ac:dyDescent="0.25">
      <c r="B4287"/>
      <c r="Z4287"/>
    </row>
    <row r="4288" spans="1:33" x14ac:dyDescent="0.25">
      <c r="A4288" s="6"/>
      <c r="B4288" s="6"/>
      <c r="C4288" s="6"/>
      <c r="D4288" s="6"/>
      <c r="E4288" s="6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6"/>
      <c r="V4288" s="6"/>
      <c r="W4288" s="6"/>
      <c r="X4288" s="6"/>
      <c r="Y4288" s="6"/>
      <c r="Z4288" s="6"/>
      <c r="AA4288" s="6"/>
      <c r="AB4288" s="6"/>
      <c r="AC4288" s="6"/>
      <c r="AD4288" s="6"/>
      <c r="AE4288" s="6"/>
      <c r="AF4288" s="6"/>
      <c r="AG4288" s="6"/>
    </row>
    <row r="4289" spans="2:26" x14ac:dyDescent="0.25">
      <c r="B4289"/>
      <c r="Z4289"/>
    </row>
    <row r="4290" spans="2:26" x14ac:dyDescent="0.25">
      <c r="B4290"/>
      <c r="Z4290"/>
    </row>
    <row r="4291" spans="2:26" x14ac:dyDescent="0.25">
      <c r="B4291"/>
      <c r="Z4291"/>
    </row>
    <row r="4292" spans="2:26" x14ac:dyDescent="0.25">
      <c r="B4292"/>
      <c r="Z4292"/>
    </row>
    <row r="4293" spans="2:26" x14ac:dyDescent="0.25">
      <c r="B4293"/>
      <c r="Z4293"/>
    </row>
    <row r="4294" spans="2:26" x14ac:dyDescent="0.25">
      <c r="B4294"/>
      <c r="Z4294"/>
    </row>
    <row r="4295" spans="2:26" x14ac:dyDescent="0.25">
      <c r="B4295"/>
      <c r="Z4295"/>
    </row>
    <row r="4296" spans="2:26" x14ac:dyDescent="0.25">
      <c r="B4296"/>
      <c r="Z4296"/>
    </row>
    <row r="4297" spans="2:26" x14ac:dyDescent="0.25">
      <c r="B4297"/>
      <c r="Z4297"/>
    </row>
    <row r="4298" spans="2:26" x14ac:dyDescent="0.25">
      <c r="B4298"/>
      <c r="Z4298"/>
    </row>
    <row r="4299" spans="2:26" x14ac:dyDescent="0.25">
      <c r="B4299"/>
      <c r="Z4299"/>
    </row>
    <row r="4300" spans="2:26" x14ac:dyDescent="0.25">
      <c r="B4300"/>
      <c r="Z4300"/>
    </row>
    <row r="4301" spans="2:26" x14ac:dyDescent="0.25">
      <c r="B4301"/>
      <c r="Z4301"/>
    </row>
    <row r="4302" spans="2:26" x14ac:dyDescent="0.25">
      <c r="B4302"/>
      <c r="Z4302"/>
    </row>
    <row r="4303" spans="2:26" x14ac:dyDescent="0.25">
      <c r="B4303"/>
      <c r="Z4303"/>
    </row>
    <row r="4304" spans="2:26" x14ac:dyDescent="0.25">
      <c r="B4304"/>
      <c r="Z4304"/>
    </row>
    <row r="4305" spans="2:26" x14ac:dyDescent="0.25">
      <c r="B4305"/>
      <c r="Z4305"/>
    </row>
    <row r="4306" spans="2:26" x14ac:dyDescent="0.25">
      <c r="B4306"/>
      <c r="Z4306"/>
    </row>
    <row r="4307" spans="2:26" x14ac:dyDescent="0.25">
      <c r="B4307"/>
      <c r="Z4307"/>
    </row>
    <row r="4308" spans="2:26" x14ac:dyDescent="0.25">
      <c r="B4308"/>
      <c r="Z4308"/>
    </row>
    <row r="4309" spans="2:26" x14ac:dyDescent="0.25">
      <c r="B4309"/>
      <c r="Z4309"/>
    </row>
    <row r="4310" spans="2:26" x14ac:dyDescent="0.25">
      <c r="B4310"/>
      <c r="Z4310"/>
    </row>
    <row r="4311" spans="2:26" x14ac:dyDescent="0.25">
      <c r="B4311"/>
      <c r="Z4311"/>
    </row>
    <row r="4312" spans="2:26" x14ac:dyDescent="0.25">
      <c r="B4312"/>
      <c r="Z4312"/>
    </row>
    <row r="4313" spans="2:26" x14ac:dyDescent="0.25">
      <c r="B4313"/>
      <c r="Z4313"/>
    </row>
    <row r="4314" spans="2:26" x14ac:dyDescent="0.25">
      <c r="B4314"/>
      <c r="Z4314"/>
    </row>
    <row r="4315" spans="2:26" x14ac:dyDescent="0.25">
      <c r="B4315"/>
      <c r="Z4315"/>
    </row>
    <row r="4316" spans="2:26" x14ac:dyDescent="0.25">
      <c r="B4316"/>
      <c r="Z4316"/>
    </row>
    <row r="4317" spans="2:26" x14ac:dyDescent="0.25">
      <c r="B4317"/>
      <c r="Z4317"/>
    </row>
    <row r="4318" spans="2:26" x14ac:dyDescent="0.25">
      <c r="B4318"/>
      <c r="Z4318"/>
    </row>
    <row r="4319" spans="2:26" x14ac:dyDescent="0.25">
      <c r="B4319"/>
      <c r="Z4319"/>
    </row>
    <row r="4320" spans="2:26" x14ac:dyDescent="0.25">
      <c r="B4320"/>
      <c r="Z4320"/>
    </row>
    <row r="4321" spans="2:26" x14ac:dyDescent="0.25">
      <c r="B4321"/>
      <c r="Z4321"/>
    </row>
    <row r="4322" spans="2:26" x14ac:dyDescent="0.25">
      <c r="B4322"/>
      <c r="Z4322"/>
    </row>
    <row r="4323" spans="2:26" x14ac:dyDescent="0.25">
      <c r="B4323"/>
      <c r="Z4323"/>
    </row>
    <row r="4324" spans="2:26" x14ac:dyDescent="0.25">
      <c r="B4324"/>
      <c r="Z4324"/>
    </row>
    <row r="4325" spans="2:26" x14ac:dyDescent="0.25">
      <c r="B4325"/>
      <c r="Z4325"/>
    </row>
    <row r="4326" spans="2:26" x14ac:dyDescent="0.25">
      <c r="B4326"/>
      <c r="Z4326"/>
    </row>
    <row r="4327" spans="2:26" x14ac:dyDescent="0.25">
      <c r="B4327"/>
      <c r="Z4327"/>
    </row>
    <row r="4328" spans="2:26" x14ac:dyDescent="0.25">
      <c r="B4328"/>
      <c r="Z4328"/>
    </row>
    <row r="4329" spans="2:26" x14ac:dyDescent="0.25">
      <c r="B4329"/>
      <c r="Z4329"/>
    </row>
    <row r="4330" spans="2:26" x14ac:dyDescent="0.25">
      <c r="B4330"/>
      <c r="Z4330"/>
    </row>
    <row r="4331" spans="2:26" x14ac:dyDescent="0.25">
      <c r="B4331"/>
      <c r="Z4331"/>
    </row>
    <row r="4332" spans="2:26" x14ac:dyDescent="0.25">
      <c r="B4332"/>
      <c r="Z4332"/>
    </row>
    <row r="4333" spans="2:26" x14ac:dyDescent="0.25">
      <c r="B4333"/>
      <c r="Z4333"/>
    </row>
    <row r="4334" spans="2:26" x14ac:dyDescent="0.25">
      <c r="B4334"/>
      <c r="Z4334"/>
    </row>
    <row r="4335" spans="2:26" x14ac:dyDescent="0.25">
      <c r="B4335"/>
      <c r="Z4335"/>
    </row>
    <row r="4336" spans="2:26" x14ac:dyDescent="0.25">
      <c r="B4336"/>
      <c r="Z4336"/>
    </row>
    <row r="4337" spans="2:26" x14ac:dyDescent="0.25">
      <c r="B4337"/>
      <c r="Z4337"/>
    </row>
    <row r="4338" spans="2:26" x14ac:dyDescent="0.25">
      <c r="B4338"/>
      <c r="Z4338"/>
    </row>
    <row r="4339" spans="2:26" x14ac:dyDescent="0.25">
      <c r="B4339"/>
      <c r="Z4339"/>
    </row>
    <row r="4340" spans="2:26" x14ac:dyDescent="0.25">
      <c r="B4340"/>
      <c r="Z4340"/>
    </row>
    <row r="4341" spans="2:26" x14ac:dyDescent="0.25">
      <c r="B4341"/>
      <c r="Z4341"/>
    </row>
    <row r="4342" spans="2:26" x14ac:dyDescent="0.25">
      <c r="B4342"/>
      <c r="Z4342"/>
    </row>
    <row r="4343" spans="2:26" x14ac:dyDescent="0.25">
      <c r="B4343"/>
      <c r="Z4343"/>
    </row>
    <row r="4344" spans="2:26" x14ac:dyDescent="0.25">
      <c r="B4344"/>
      <c r="Z4344"/>
    </row>
    <row r="4345" spans="2:26" x14ac:dyDescent="0.25">
      <c r="B4345"/>
      <c r="Z4345"/>
    </row>
    <row r="4346" spans="2:26" x14ac:dyDescent="0.25">
      <c r="B4346"/>
      <c r="Z4346"/>
    </row>
    <row r="4347" spans="2:26" x14ac:dyDescent="0.25">
      <c r="B4347"/>
      <c r="Z4347"/>
    </row>
    <row r="4348" spans="2:26" x14ac:dyDescent="0.25">
      <c r="B4348"/>
      <c r="Z4348"/>
    </row>
    <row r="4349" spans="2:26" x14ac:dyDescent="0.25">
      <c r="B4349"/>
      <c r="Z4349"/>
    </row>
    <row r="4350" spans="2:26" x14ac:dyDescent="0.25">
      <c r="B4350"/>
      <c r="Z4350"/>
    </row>
    <row r="4351" spans="2:26" x14ac:dyDescent="0.25">
      <c r="B4351"/>
      <c r="Z4351"/>
    </row>
    <row r="4352" spans="2:26" x14ac:dyDescent="0.25">
      <c r="B4352"/>
      <c r="Z4352"/>
    </row>
    <row r="4353" spans="2:26" x14ac:dyDescent="0.25">
      <c r="B4353"/>
      <c r="Z4353"/>
    </row>
    <row r="4354" spans="2:26" x14ac:dyDescent="0.25">
      <c r="B4354"/>
      <c r="Z4354"/>
    </row>
    <row r="4355" spans="2:26" x14ac:dyDescent="0.25">
      <c r="B4355"/>
      <c r="Z4355"/>
    </row>
    <row r="4356" spans="2:26" x14ac:dyDescent="0.25">
      <c r="B4356"/>
      <c r="Z4356"/>
    </row>
    <row r="4357" spans="2:26" x14ac:dyDescent="0.25">
      <c r="B4357"/>
      <c r="Z4357"/>
    </row>
    <row r="4358" spans="2:26" x14ac:dyDescent="0.25">
      <c r="B4358"/>
      <c r="Z4358"/>
    </row>
    <row r="4359" spans="2:26" x14ac:dyDescent="0.25">
      <c r="B4359"/>
      <c r="Z4359"/>
    </row>
    <row r="4360" spans="2:26" x14ac:dyDescent="0.25">
      <c r="B4360"/>
      <c r="Z4360"/>
    </row>
    <row r="4361" spans="2:26" x14ac:dyDescent="0.25">
      <c r="B4361"/>
      <c r="Z4361"/>
    </row>
    <row r="4362" spans="2:26" x14ac:dyDescent="0.25">
      <c r="B4362"/>
      <c r="Z4362"/>
    </row>
    <row r="4363" spans="2:26" x14ac:dyDescent="0.25">
      <c r="B4363"/>
      <c r="Z4363"/>
    </row>
    <row r="4364" spans="2:26" x14ac:dyDescent="0.25">
      <c r="B4364"/>
      <c r="Z4364"/>
    </row>
    <row r="4365" spans="2:26" x14ac:dyDescent="0.25">
      <c r="B4365"/>
      <c r="Z4365"/>
    </row>
    <row r="4366" spans="2:26" x14ac:dyDescent="0.25">
      <c r="B4366"/>
      <c r="Z4366"/>
    </row>
    <row r="4367" spans="2:26" x14ac:dyDescent="0.25">
      <c r="B4367"/>
      <c r="Z4367"/>
    </row>
    <row r="4368" spans="2:26" x14ac:dyDescent="0.25">
      <c r="B4368"/>
      <c r="E4368" s="6"/>
      <c r="Z4368"/>
    </row>
    <row r="4369" spans="2:26" x14ac:dyDescent="0.25">
      <c r="B4369"/>
      <c r="Z4369"/>
    </row>
    <row r="4370" spans="2:26" x14ac:dyDescent="0.25">
      <c r="B4370"/>
      <c r="Z4370"/>
    </row>
    <row r="4371" spans="2:26" x14ac:dyDescent="0.25">
      <c r="B4371"/>
      <c r="Z4371"/>
    </row>
    <row r="4372" spans="2:26" x14ac:dyDescent="0.25">
      <c r="B4372"/>
      <c r="Z4372"/>
    </row>
    <row r="4373" spans="2:26" x14ac:dyDescent="0.25">
      <c r="B4373"/>
      <c r="Z4373"/>
    </row>
    <row r="4374" spans="2:26" x14ac:dyDescent="0.25">
      <c r="B4374"/>
      <c r="Z4374"/>
    </row>
    <row r="4375" spans="2:26" x14ac:dyDescent="0.25">
      <c r="B4375"/>
      <c r="Z4375"/>
    </row>
    <row r="4376" spans="2:26" x14ac:dyDescent="0.25">
      <c r="B4376"/>
      <c r="Z4376"/>
    </row>
    <row r="4377" spans="2:26" x14ac:dyDescent="0.25">
      <c r="B4377"/>
      <c r="Z4377"/>
    </row>
    <row r="4378" spans="2:26" x14ac:dyDescent="0.25">
      <c r="B4378"/>
      <c r="Z4378"/>
    </row>
    <row r="4379" spans="2:26" x14ac:dyDescent="0.25">
      <c r="B4379"/>
      <c r="Z4379"/>
    </row>
    <row r="4380" spans="2:26" x14ac:dyDescent="0.25">
      <c r="B4380"/>
      <c r="Z4380"/>
    </row>
    <row r="4381" spans="2:26" x14ac:dyDescent="0.25">
      <c r="B4381"/>
      <c r="Z4381"/>
    </row>
    <row r="4382" spans="2:26" x14ac:dyDescent="0.25">
      <c r="B4382"/>
      <c r="Z4382"/>
    </row>
    <row r="4383" spans="2:26" x14ac:dyDescent="0.25">
      <c r="B4383"/>
      <c r="Z4383"/>
    </row>
    <row r="4384" spans="2:26" x14ac:dyDescent="0.25">
      <c r="B4384"/>
      <c r="Z4384"/>
    </row>
    <row r="4385" spans="1:33" x14ac:dyDescent="0.25">
      <c r="B4385"/>
      <c r="Z4385"/>
    </row>
    <row r="4386" spans="1:33" x14ac:dyDescent="0.25">
      <c r="B4386"/>
      <c r="Z4386"/>
    </row>
    <row r="4387" spans="1:33" x14ac:dyDescent="0.25">
      <c r="B4387"/>
      <c r="Z4387"/>
    </row>
    <row r="4388" spans="1:33" x14ac:dyDescent="0.25">
      <c r="B4388"/>
      <c r="Z4388"/>
    </row>
    <row r="4389" spans="1:33" x14ac:dyDescent="0.25">
      <c r="B4389"/>
      <c r="Z4389"/>
    </row>
    <row r="4390" spans="1:33" x14ac:dyDescent="0.25">
      <c r="B4390"/>
      <c r="Z4390"/>
    </row>
    <row r="4391" spans="1:33" x14ac:dyDescent="0.25">
      <c r="B4391"/>
      <c r="Z4391"/>
    </row>
    <row r="4392" spans="1:33" x14ac:dyDescent="0.25">
      <c r="B4392"/>
      <c r="Z4392"/>
    </row>
    <row r="4393" spans="1:33" x14ac:dyDescent="0.25">
      <c r="A4393" s="6"/>
      <c r="B4393" s="6"/>
      <c r="C4393" s="6"/>
      <c r="D4393" s="6"/>
      <c r="E4393" s="6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6"/>
      <c r="V4393" s="6"/>
      <c r="W4393" s="6"/>
      <c r="X4393" s="6"/>
      <c r="Y4393" s="6"/>
      <c r="Z4393" s="6"/>
      <c r="AA4393" s="6"/>
      <c r="AB4393" s="6"/>
      <c r="AC4393" s="6"/>
      <c r="AD4393" s="6"/>
      <c r="AE4393" s="6"/>
      <c r="AF4393" s="6"/>
      <c r="AG4393" s="6"/>
    </row>
    <row r="4394" spans="1:33" x14ac:dyDescent="0.25">
      <c r="B4394"/>
      <c r="Z4394"/>
    </row>
    <row r="4395" spans="1:33" x14ac:dyDescent="0.25">
      <c r="B4395"/>
      <c r="Z4395"/>
    </row>
    <row r="4396" spans="1:33" x14ac:dyDescent="0.25">
      <c r="B4396"/>
      <c r="Z4396"/>
    </row>
    <row r="4397" spans="1:33" x14ac:dyDescent="0.25">
      <c r="B4397"/>
      <c r="Z4397"/>
    </row>
    <row r="4398" spans="1:33" x14ac:dyDescent="0.25">
      <c r="B4398"/>
      <c r="Z4398"/>
    </row>
    <row r="4399" spans="1:33" x14ac:dyDescent="0.25">
      <c r="B4399"/>
      <c r="Z4399"/>
    </row>
    <row r="4400" spans="1:33" x14ac:dyDescent="0.25">
      <c r="B4400"/>
      <c r="Z4400"/>
    </row>
    <row r="4401" spans="2:26" x14ac:dyDescent="0.25">
      <c r="B4401"/>
      <c r="Z4401"/>
    </row>
    <row r="4402" spans="2:26" x14ac:dyDescent="0.25">
      <c r="B4402"/>
      <c r="Z4402"/>
    </row>
    <row r="4403" spans="2:26" x14ac:dyDescent="0.25">
      <c r="B4403"/>
      <c r="Z4403"/>
    </row>
    <row r="4404" spans="2:26" x14ac:dyDescent="0.25">
      <c r="B4404"/>
      <c r="Z4404"/>
    </row>
    <row r="4405" spans="2:26" x14ac:dyDescent="0.25">
      <c r="B4405"/>
      <c r="Z4405"/>
    </row>
    <row r="4406" spans="2:26" x14ac:dyDescent="0.25">
      <c r="B4406"/>
      <c r="Z4406"/>
    </row>
    <row r="4407" spans="2:26" x14ac:dyDescent="0.25">
      <c r="B4407"/>
      <c r="Z4407"/>
    </row>
    <row r="4408" spans="2:26" x14ac:dyDescent="0.25">
      <c r="B4408"/>
      <c r="Z4408"/>
    </row>
    <row r="4409" spans="2:26" x14ac:dyDescent="0.25">
      <c r="B4409"/>
      <c r="Z4409"/>
    </row>
    <row r="4410" spans="2:26" x14ac:dyDescent="0.25">
      <c r="B4410"/>
      <c r="Z4410"/>
    </row>
    <row r="4411" spans="2:26" x14ac:dyDescent="0.25">
      <c r="B4411"/>
      <c r="Z4411"/>
    </row>
    <row r="4412" spans="2:26" x14ac:dyDescent="0.25">
      <c r="B4412"/>
      <c r="Z4412"/>
    </row>
    <row r="4413" spans="2:26" x14ac:dyDescent="0.25">
      <c r="B4413"/>
      <c r="Z4413"/>
    </row>
    <row r="4414" spans="2:26" x14ac:dyDescent="0.25">
      <c r="B4414"/>
      <c r="Z4414"/>
    </row>
    <row r="4415" spans="2:26" x14ac:dyDescent="0.25">
      <c r="B4415"/>
      <c r="Z4415"/>
    </row>
    <row r="4416" spans="2:26" x14ac:dyDescent="0.25">
      <c r="B4416"/>
      <c r="Z4416"/>
    </row>
    <row r="4417" spans="2:26" x14ac:dyDescent="0.25">
      <c r="B4417"/>
      <c r="Z4417"/>
    </row>
    <row r="4418" spans="2:26" x14ac:dyDescent="0.25">
      <c r="B4418"/>
      <c r="Z4418"/>
    </row>
    <row r="4419" spans="2:26" x14ac:dyDescent="0.25">
      <c r="B4419"/>
      <c r="Z4419"/>
    </row>
    <row r="4420" spans="2:26" x14ac:dyDescent="0.25">
      <c r="B4420"/>
      <c r="Z4420"/>
    </row>
    <row r="4421" spans="2:26" x14ac:dyDescent="0.25">
      <c r="B4421"/>
      <c r="Z4421"/>
    </row>
    <row r="4422" spans="2:26" x14ac:dyDescent="0.25">
      <c r="B4422"/>
      <c r="Z4422"/>
    </row>
    <row r="4423" spans="2:26" x14ac:dyDescent="0.25">
      <c r="B4423"/>
      <c r="Z4423"/>
    </row>
    <row r="4424" spans="2:26" x14ac:dyDescent="0.25">
      <c r="B4424"/>
      <c r="Z4424"/>
    </row>
    <row r="4425" spans="2:26" x14ac:dyDescent="0.25">
      <c r="B4425"/>
      <c r="Z4425"/>
    </row>
    <row r="4426" spans="2:26" x14ac:dyDescent="0.25">
      <c r="B4426"/>
      <c r="Z4426"/>
    </row>
    <row r="4427" spans="2:26" x14ac:dyDescent="0.25">
      <c r="B4427"/>
      <c r="Z4427"/>
    </row>
    <row r="4428" spans="2:26" x14ac:dyDescent="0.25">
      <c r="B4428"/>
      <c r="Z4428"/>
    </row>
    <row r="4429" spans="2:26" x14ac:dyDescent="0.25">
      <c r="B4429"/>
      <c r="Z4429"/>
    </row>
    <row r="4430" spans="2:26" x14ac:dyDescent="0.25">
      <c r="B4430"/>
      <c r="Z4430"/>
    </row>
    <row r="4431" spans="2:26" x14ac:dyDescent="0.25">
      <c r="B4431"/>
      <c r="Z4431"/>
    </row>
    <row r="4432" spans="2:26" x14ac:dyDescent="0.25">
      <c r="B4432"/>
      <c r="Z4432"/>
    </row>
    <row r="4433" spans="2:26" x14ac:dyDescent="0.25">
      <c r="B4433"/>
      <c r="Z4433"/>
    </row>
    <row r="4434" spans="2:26" x14ac:dyDescent="0.25">
      <c r="B4434"/>
      <c r="Z4434"/>
    </row>
    <row r="4435" spans="2:26" x14ac:dyDescent="0.25">
      <c r="B4435"/>
      <c r="Z4435"/>
    </row>
    <row r="4436" spans="2:26" x14ac:dyDescent="0.25">
      <c r="B4436"/>
      <c r="Z4436"/>
    </row>
    <row r="4437" spans="2:26" x14ac:dyDescent="0.25">
      <c r="B4437"/>
      <c r="Z4437"/>
    </row>
    <row r="4438" spans="2:26" x14ac:dyDescent="0.25">
      <c r="B4438"/>
      <c r="Z4438"/>
    </row>
    <row r="4439" spans="2:26" x14ac:dyDescent="0.25">
      <c r="B4439"/>
      <c r="Z4439"/>
    </row>
    <row r="4440" spans="2:26" x14ac:dyDescent="0.25">
      <c r="B4440"/>
      <c r="Z4440"/>
    </row>
    <row r="4441" spans="2:26" x14ac:dyDescent="0.25">
      <c r="B4441"/>
      <c r="Z4441"/>
    </row>
    <row r="4442" spans="2:26" x14ac:dyDescent="0.25">
      <c r="B4442"/>
      <c r="Z4442"/>
    </row>
    <row r="4443" spans="2:26" x14ac:dyDescent="0.25">
      <c r="B4443"/>
      <c r="Z4443"/>
    </row>
    <row r="4444" spans="2:26" x14ac:dyDescent="0.25">
      <c r="B4444"/>
      <c r="Z4444"/>
    </row>
    <row r="4445" spans="2:26" x14ac:dyDescent="0.25">
      <c r="B4445"/>
      <c r="Z4445"/>
    </row>
    <row r="4446" spans="2:26" x14ac:dyDescent="0.25">
      <c r="B4446"/>
      <c r="Z4446"/>
    </row>
    <row r="4447" spans="2:26" x14ac:dyDescent="0.25">
      <c r="B4447"/>
      <c r="Z4447"/>
    </row>
    <row r="4448" spans="2:26" x14ac:dyDescent="0.25">
      <c r="B4448"/>
      <c r="Z4448"/>
    </row>
    <row r="4449" spans="2:26" x14ac:dyDescent="0.25">
      <c r="B4449"/>
      <c r="Z4449"/>
    </row>
    <row r="4450" spans="2:26" x14ac:dyDescent="0.25">
      <c r="B4450"/>
      <c r="Z4450"/>
    </row>
    <row r="4451" spans="2:26" x14ac:dyDescent="0.25">
      <c r="B4451"/>
      <c r="Z4451"/>
    </row>
    <row r="4452" spans="2:26" x14ac:dyDescent="0.25">
      <c r="B4452"/>
      <c r="Z4452"/>
    </row>
    <row r="4453" spans="2:26" x14ac:dyDescent="0.25">
      <c r="B4453"/>
      <c r="Z4453"/>
    </row>
    <row r="4454" spans="2:26" x14ac:dyDescent="0.25">
      <c r="B4454"/>
      <c r="Z4454"/>
    </row>
    <row r="4455" spans="2:26" x14ac:dyDescent="0.25">
      <c r="B4455"/>
      <c r="Z4455"/>
    </row>
    <row r="4456" spans="2:26" x14ac:dyDescent="0.25">
      <c r="B4456"/>
      <c r="Z4456"/>
    </row>
    <row r="4457" spans="2:26" x14ac:dyDescent="0.25">
      <c r="B4457"/>
      <c r="Z4457"/>
    </row>
    <row r="4458" spans="2:26" x14ac:dyDescent="0.25">
      <c r="B4458"/>
      <c r="Z4458"/>
    </row>
    <row r="4459" spans="2:26" x14ac:dyDescent="0.25">
      <c r="B4459"/>
      <c r="Z4459"/>
    </row>
    <row r="4460" spans="2:26" x14ac:dyDescent="0.25">
      <c r="B4460"/>
      <c r="Z4460"/>
    </row>
    <row r="4461" spans="2:26" x14ac:dyDescent="0.25">
      <c r="B4461"/>
      <c r="Z4461"/>
    </row>
    <row r="4462" spans="2:26" x14ac:dyDescent="0.25">
      <c r="B4462"/>
      <c r="Z4462"/>
    </row>
    <row r="4463" spans="2:26" x14ac:dyDescent="0.25">
      <c r="B4463"/>
      <c r="Z4463"/>
    </row>
    <row r="4464" spans="2:26" x14ac:dyDescent="0.25">
      <c r="B4464"/>
      <c r="Z4464"/>
    </row>
    <row r="4465" spans="2:26" x14ac:dyDescent="0.25">
      <c r="B4465"/>
      <c r="Z4465"/>
    </row>
    <row r="4466" spans="2:26" x14ac:dyDescent="0.25">
      <c r="B4466"/>
      <c r="Z4466"/>
    </row>
    <row r="4467" spans="2:26" x14ac:dyDescent="0.25">
      <c r="B4467"/>
      <c r="Z4467"/>
    </row>
    <row r="4468" spans="2:26" x14ac:dyDescent="0.25">
      <c r="B4468"/>
      <c r="Z4468"/>
    </row>
    <row r="4469" spans="2:26" x14ac:dyDescent="0.25">
      <c r="B4469"/>
      <c r="Z4469"/>
    </row>
    <row r="4470" spans="2:26" x14ac:dyDescent="0.25">
      <c r="B4470"/>
      <c r="Z4470"/>
    </row>
    <row r="4471" spans="2:26" x14ac:dyDescent="0.25">
      <c r="B4471"/>
      <c r="Z4471"/>
    </row>
    <row r="4472" spans="2:26" x14ac:dyDescent="0.25">
      <c r="B4472"/>
      <c r="Z4472"/>
    </row>
    <row r="4473" spans="2:26" x14ac:dyDescent="0.25">
      <c r="B4473"/>
      <c r="Z4473"/>
    </row>
    <row r="4474" spans="2:26" x14ac:dyDescent="0.25">
      <c r="B4474"/>
      <c r="Z4474"/>
    </row>
    <row r="4475" spans="2:26" x14ac:dyDescent="0.25">
      <c r="B4475"/>
      <c r="Z4475"/>
    </row>
    <row r="4476" spans="2:26" x14ac:dyDescent="0.25">
      <c r="B4476"/>
      <c r="Z4476"/>
    </row>
    <row r="4477" spans="2:26" x14ac:dyDescent="0.25">
      <c r="B4477"/>
      <c r="Z4477"/>
    </row>
    <row r="4478" spans="2:26" x14ac:dyDescent="0.25">
      <c r="B4478"/>
      <c r="Z4478"/>
    </row>
    <row r="4479" spans="2:26" x14ac:dyDescent="0.25">
      <c r="B4479"/>
      <c r="Z4479"/>
    </row>
    <row r="4480" spans="2:26" x14ac:dyDescent="0.25">
      <c r="B4480"/>
      <c r="Z4480"/>
    </row>
    <row r="4481" spans="2:26" x14ac:dyDescent="0.25">
      <c r="B4481"/>
      <c r="Z4481"/>
    </row>
    <row r="4482" spans="2:26" x14ac:dyDescent="0.25">
      <c r="B4482"/>
      <c r="Z4482"/>
    </row>
    <row r="4483" spans="2:26" x14ac:dyDescent="0.25">
      <c r="B4483"/>
      <c r="Z4483"/>
    </row>
    <row r="4484" spans="2:26" x14ac:dyDescent="0.25">
      <c r="B4484"/>
      <c r="Z4484"/>
    </row>
    <row r="4485" spans="2:26" x14ac:dyDescent="0.25">
      <c r="B4485"/>
      <c r="Z4485"/>
    </row>
    <row r="4486" spans="2:26" x14ac:dyDescent="0.25">
      <c r="B4486"/>
      <c r="Z4486"/>
    </row>
    <row r="4487" spans="2:26" x14ac:dyDescent="0.25">
      <c r="B4487"/>
      <c r="Z4487"/>
    </row>
    <row r="4488" spans="2:26" x14ac:dyDescent="0.25">
      <c r="B4488"/>
      <c r="Z4488"/>
    </row>
    <row r="4489" spans="2:26" x14ac:dyDescent="0.25">
      <c r="B4489"/>
      <c r="K4489" s="6"/>
      <c r="Z4489"/>
    </row>
    <row r="4490" spans="2:26" x14ac:dyDescent="0.25">
      <c r="B4490"/>
      <c r="Z4490"/>
    </row>
    <row r="4491" spans="2:26" x14ac:dyDescent="0.25">
      <c r="B4491"/>
      <c r="Z4491"/>
    </row>
    <row r="4492" spans="2:26" x14ac:dyDescent="0.25">
      <c r="B4492"/>
      <c r="Z4492"/>
    </row>
    <row r="4493" spans="2:26" x14ac:dyDescent="0.25">
      <c r="B4493"/>
      <c r="Z4493"/>
    </row>
    <row r="4494" spans="2:26" x14ac:dyDescent="0.25">
      <c r="B4494"/>
      <c r="Z4494"/>
    </row>
    <row r="4495" spans="2:26" x14ac:dyDescent="0.25">
      <c r="B4495"/>
      <c r="Z4495"/>
    </row>
    <row r="4496" spans="2:26" x14ac:dyDescent="0.25">
      <c r="B4496"/>
      <c r="Z4496"/>
    </row>
    <row r="4497" spans="1:33" x14ac:dyDescent="0.25">
      <c r="B4497"/>
      <c r="Z4497"/>
    </row>
    <row r="4498" spans="1:33" x14ac:dyDescent="0.25">
      <c r="A4498" s="6"/>
      <c r="B4498" s="6"/>
      <c r="C4498" s="6"/>
      <c r="D4498" s="6"/>
      <c r="E4498" s="6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6"/>
      <c r="V4498" s="6"/>
      <c r="W4498" s="6"/>
      <c r="X4498" s="6"/>
      <c r="Y4498" s="6"/>
      <c r="Z4498" s="6"/>
      <c r="AA4498" s="6"/>
      <c r="AB4498" s="6"/>
      <c r="AC4498" s="6"/>
      <c r="AD4498" s="6"/>
      <c r="AE4498" s="6"/>
      <c r="AF4498" s="6"/>
      <c r="AG4498" s="6"/>
    </row>
    <row r="4499" spans="1:33" x14ac:dyDescent="0.25">
      <c r="B4499"/>
      <c r="Z4499"/>
    </row>
    <row r="4500" spans="1:33" x14ac:dyDescent="0.25">
      <c r="B4500"/>
      <c r="Z4500"/>
    </row>
    <row r="4501" spans="1:33" x14ac:dyDescent="0.25">
      <c r="B4501"/>
      <c r="Z4501"/>
    </row>
    <row r="4502" spans="1:33" x14ac:dyDescent="0.25">
      <c r="B4502"/>
      <c r="Z4502"/>
    </row>
    <row r="4503" spans="1:33" x14ac:dyDescent="0.25">
      <c r="B4503"/>
      <c r="Z4503"/>
    </row>
    <row r="4504" spans="1:33" x14ac:dyDescent="0.25">
      <c r="B4504"/>
      <c r="Z4504"/>
    </row>
    <row r="4505" spans="1:33" x14ac:dyDescent="0.25">
      <c r="B4505"/>
      <c r="Z4505"/>
    </row>
    <row r="4506" spans="1:33" x14ac:dyDescent="0.25">
      <c r="B4506"/>
      <c r="Z4506"/>
    </row>
    <row r="4507" spans="1:33" x14ac:dyDescent="0.25">
      <c r="B4507"/>
      <c r="Z4507"/>
    </row>
    <row r="4508" spans="1:33" x14ac:dyDescent="0.25">
      <c r="B4508"/>
      <c r="Z4508"/>
    </row>
    <row r="4509" spans="1:33" x14ac:dyDescent="0.25">
      <c r="B4509"/>
      <c r="Z4509"/>
    </row>
    <row r="4510" spans="1:33" x14ac:dyDescent="0.25">
      <c r="B4510"/>
      <c r="Z4510"/>
    </row>
    <row r="4511" spans="1:33" x14ac:dyDescent="0.25">
      <c r="B4511"/>
      <c r="Z4511"/>
    </row>
    <row r="4512" spans="1:33" x14ac:dyDescent="0.25">
      <c r="B4512"/>
      <c r="Z4512"/>
    </row>
    <row r="4513" spans="2:26" x14ac:dyDescent="0.25">
      <c r="B4513"/>
      <c r="Z4513"/>
    </row>
    <row r="4514" spans="2:26" x14ac:dyDescent="0.25">
      <c r="B4514"/>
      <c r="Z4514"/>
    </row>
    <row r="4515" spans="2:26" x14ac:dyDescent="0.25">
      <c r="B4515"/>
      <c r="Z4515"/>
    </row>
    <row r="4516" spans="2:26" x14ac:dyDescent="0.25">
      <c r="B4516"/>
      <c r="Z4516"/>
    </row>
    <row r="4517" spans="2:26" x14ac:dyDescent="0.25">
      <c r="B4517"/>
      <c r="Z4517"/>
    </row>
    <row r="4518" spans="2:26" x14ac:dyDescent="0.25">
      <c r="B4518"/>
      <c r="Z4518"/>
    </row>
    <row r="4519" spans="2:26" x14ac:dyDescent="0.25">
      <c r="B4519"/>
      <c r="Z4519"/>
    </row>
    <row r="4520" spans="2:26" x14ac:dyDescent="0.25">
      <c r="B4520"/>
      <c r="Z4520"/>
    </row>
    <row r="4521" spans="2:26" x14ac:dyDescent="0.25">
      <c r="B4521"/>
      <c r="Z4521"/>
    </row>
    <row r="4522" spans="2:26" x14ac:dyDescent="0.25">
      <c r="B4522"/>
      <c r="Z4522"/>
    </row>
    <row r="4523" spans="2:26" x14ac:dyDescent="0.25">
      <c r="B4523"/>
      <c r="Z4523"/>
    </row>
    <row r="4524" spans="2:26" x14ac:dyDescent="0.25">
      <c r="B4524"/>
      <c r="Z4524"/>
    </row>
    <row r="4525" spans="2:26" x14ac:dyDescent="0.25">
      <c r="B4525"/>
      <c r="Z4525"/>
    </row>
    <row r="4526" spans="2:26" x14ac:dyDescent="0.25">
      <c r="B4526"/>
      <c r="Z4526"/>
    </row>
    <row r="4527" spans="2:26" x14ac:dyDescent="0.25">
      <c r="B4527"/>
      <c r="Z4527"/>
    </row>
    <row r="4528" spans="2:26" x14ac:dyDescent="0.25">
      <c r="B4528"/>
      <c r="Z4528"/>
    </row>
    <row r="4529" spans="2:26" x14ac:dyDescent="0.25">
      <c r="B4529"/>
      <c r="Z4529"/>
    </row>
    <row r="4530" spans="2:26" x14ac:dyDescent="0.25">
      <c r="B4530"/>
      <c r="Z4530"/>
    </row>
    <row r="4531" spans="2:26" x14ac:dyDescent="0.25">
      <c r="B4531"/>
      <c r="Z4531"/>
    </row>
    <row r="4532" spans="2:26" x14ac:dyDescent="0.25">
      <c r="B4532"/>
      <c r="Z4532"/>
    </row>
    <row r="4533" spans="2:26" x14ac:dyDescent="0.25">
      <c r="B4533"/>
      <c r="Z4533"/>
    </row>
    <row r="4534" spans="2:26" x14ac:dyDescent="0.25">
      <c r="B4534"/>
      <c r="Z4534"/>
    </row>
    <row r="4535" spans="2:26" x14ac:dyDescent="0.25">
      <c r="B4535"/>
      <c r="Z4535"/>
    </row>
    <row r="4536" spans="2:26" x14ac:dyDescent="0.25">
      <c r="B4536"/>
      <c r="Z4536"/>
    </row>
    <row r="4537" spans="2:26" x14ac:dyDescent="0.25">
      <c r="B4537"/>
      <c r="Z4537"/>
    </row>
    <row r="4538" spans="2:26" x14ac:dyDescent="0.25">
      <c r="B4538"/>
      <c r="Z4538"/>
    </row>
    <row r="4539" spans="2:26" x14ac:dyDescent="0.25">
      <c r="B4539"/>
      <c r="Z4539"/>
    </row>
    <row r="4540" spans="2:26" x14ac:dyDescent="0.25">
      <c r="B4540"/>
      <c r="Z4540"/>
    </row>
    <row r="4541" spans="2:26" x14ac:dyDescent="0.25">
      <c r="B4541"/>
      <c r="Z4541"/>
    </row>
    <row r="4542" spans="2:26" x14ac:dyDescent="0.25">
      <c r="B4542"/>
      <c r="Z4542"/>
    </row>
    <row r="4543" spans="2:26" x14ac:dyDescent="0.25">
      <c r="B4543"/>
      <c r="Z4543"/>
    </row>
    <row r="4544" spans="2:26" x14ac:dyDescent="0.25">
      <c r="B4544"/>
      <c r="Z4544"/>
    </row>
    <row r="4545" spans="2:26" x14ac:dyDescent="0.25">
      <c r="B4545"/>
      <c r="Z4545"/>
    </row>
    <row r="4546" spans="2:26" x14ac:dyDescent="0.25">
      <c r="B4546"/>
      <c r="Z4546"/>
    </row>
    <row r="4547" spans="2:26" x14ac:dyDescent="0.25">
      <c r="B4547"/>
      <c r="Z4547"/>
    </row>
    <row r="4548" spans="2:26" x14ac:dyDescent="0.25">
      <c r="B4548"/>
      <c r="Z4548"/>
    </row>
    <row r="4549" spans="2:26" x14ac:dyDescent="0.25">
      <c r="B4549"/>
      <c r="Z4549"/>
    </row>
    <row r="4550" spans="2:26" x14ac:dyDescent="0.25">
      <c r="B4550"/>
      <c r="Z4550"/>
    </row>
    <row r="4551" spans="2:26" x14ac:dyDescent="0.25">
      <c r="B4551"/>
      <c r="Z4551"/>
    </row>
    <row r="4552" spans="2:26" x14ac:dyDescent="0.25">
      <c r="B4552"/>
      <c r="Z4552"/>
    </row>
    <row r="4553" spans="2:26" x14ac:dyDescent="0.25">
      <c r="B4553"/>
      <c r="Z4553"/>
    </row>
    <row r="4554" spans="2:26" x14ac:dyDescent="0.25">
      <c r="B4554"/>
      <c r="Z4554"/>
    </row>
    <row r="4555" spans="2:26" x14ac:dyDescent="0.25">
      <c r="B4555"/>
      <c r="Z4555"/>
    </row>
    <row r="4556" spans="2:26" x14ac:dyDescent="0.25">
      <c r="B4556"/>
      <c r="Z4556"/>
    </row>
    <row r="4557" spans="2:26" x14ac:dyDescent="0.25">
      <c r="B4557"/>
      <c r="Z4557"/>
    </row>
    <row r="4558" spans="2:26" x14ac:dyDescent="0.25">
      <c r="B4558"/>
      <c r="Z4558"/>
    </row>
    <row r="4559" spans="2:26" x14ac:dyDescent="0.25">
      <c r="B4559"/>
      <c r="Z4559"/>
    </row>
    <row r="4560" spans="2:26" x14ac:dyDescent="0.25">
      <c r="B4560"/>
      <c r="Z4560"/>
    </row>
    <row r="4561" spans="2:26" x14ac:dyDescent="0.25">
      <c r="B4561"/>
      <c r="Z4561"/>
    </row>
    <row r="4562" spans="2:26" x14ac:dyDescent="0.25">
      <c r="B4562"/>
      <c r="Z4562"/>
    </row>
    <row r="4563" spans="2:26" x14ac:dyDescent="0.25">
      <c r="B4563"/>
      <c r="Z4563"/>
    </row>
    <row r="4564" spans="2:26" x14ac:dyDescent="0.25">
      <c r="B4564"/>
      <c r="Z4564"/>
    </row>
    <row r="4565" spans="2:26" x14ac:dyDescent="0.25">
      <c r="B4565"/>
      <c r="Z4565"/>
    </row>
    <row r="4566" spans="2:26" x14ac:dyDescent="0.25">
      <c r="B4566"/>
      <c r="Z4566"/>
    </row>
    <row r="4567" spans="2:26" x14ac:dyDescent="0.25">
      <c r="B4567"/>
      <c r="Z4567"/>
    </row>
    <row r="4568" spans="2:26" x14ac:dyDescent="0.25">
      <c r="B4568"/>
      <c r="Z4568"/>
    </row>
    <row r="4569" spans="2:26" x14ac:dyDescent="0.25">
      <c r="B4569"/>
      <c r="Z4569"/>
    </row>
    <row r="4570" spans="2:26" x14ac:dyDescent="0.25">
      <c r="B4570"/>
      <c r="Z4570"/>
    </row>
    <row r="4571" spans="2:26" x14ac:dyDescent="0.25">
      <c r="B4571"/>
      <c r="Z4571"/>
    </row>
    <row r="4572" spans="2:26" x14ac:dyDescent="0.25">
      <c r="B4572"/>
      <c r="Z4572"/>
    </row>
    <row r="4573" spans="2:26" x14ac:dyDescent="0.25">
      <c r="B4573"/>
      <c r="Z4573"/>
    </row>
    <row r="4574" spans="2:26" x14ac:dyDescent="0.25">
      <c r="B4574"/>
      <c r="Z4574"/>
    </row>
    <row r="4575" spans="2:26" x14ac:dyDescent="0.25">
      <c r="B4575"/>
      <c r="Z4575"/>
    </row>
    <row r="4576" spans="2:26" x14ac:dyDescent="0.25">
      <c r="B4576"/>
      <c r="Z4576"/>
    </row>
    <row r="4577" spans="2:26" x14ac:dyDescent="0.25">
      <c r="B4577"/>
      <c r="Z4577"/>
    </row>
    <row r="4578" spans="2:26" x14ac:dyDescent="0.25">
      <c r="B4578"/>
      <c r="Z4578"/>
    </row>
    <row r="4579" spans="2:26" x14ac:dyDescent="0.25">
      <c r="B4579"/>
      <c r="Z4579"/>
    </row>
    <row r="4580" spans="2:26" x14ac:dyDescent="0.25">
      <c r="B4580"/>
      <c r="Z4580"/>
    </row>
    <row r="4581" spans="2:26" x14ac:dyDescent="0.25">
      <c r="B4581"/>
      <c r="Z4581"/>
    </row>
    <row r="4582" spans="2:26" x14ac:dyDescent="0.25">
      <c r="B4582"/>
      <c r="Z4582"/>
    </row>
    <row r="4583" spans="2:26" x14ac:dyDescent="0.25">
      <c r="B4583"/>
      <c r="Z4583"/>
    </row>
    <row r="4584" spans="2:26" x14ac:dyDescent="0.25">
      <c r="B4584"/>
      <c r="Z4584"/>
    </row>
    <row r="4585" spans="2:26" x14ac:dyDescent="0.25">
      <c r="B4585"/>
      <c r="Z4585"/>
    </row>
    <row r="4586" spans="2:26" x14ac:dyDescent="0.25">
      <c r="B4586"/>
      <c r="Z4586"/>
    </row>
    <row r="4587" spans="2:26" x14ac:dyDescent="0.25">
      <c r="B4587"/>
      <c r="Z4587"/>
    </row>
    <row r="4588" spans="2:26" x14ac:dyDescent="0.25">
      <c r="B4588"/>
      <c r="G4588" s="6"/>
      <c r="Z4588"/>
    </row>
    <row r="4589" spans="2:26" x14ac:dyDescent="0.25">
      <c r="B4589"/>
      <c r="Z4589"/>
    </row>
    <row r="4590" spans="2:26" x14ac:dyDescent="0.25">
      <c r="B4590"/>
      <c r="Z4590"/>
    </row>
    <row r="4591" spans="2:26" x14ac:dyDescent="0.25">
      <c r="B4591"/>
      <c r="Z4591"/>
    </row>
    <row r="4592" spans="2:26" x14ac:dyDescent="0.25">
      <c r="B4592"/>
      <c r="Z4592"/>
    </row>
    <row r="4593" spans="1:33" x14ac:dyDescent="0.25">
      <c r="B4593"/>
      <c r="Z4593"/>
    </row>
    <row r="4594" spans="1:33" x14ac:dyDescent="0.25">
      <c r="B4594"/>
      <c r="Z4594"/>
    </row>
    <row r="4595" spans="1:33" x14ac:dyDescent="0.25">
      <c r="B4595"/>
      <c r="Z4595"/>
    </row>
    <row r="4596" spans="1:33" x14ac:dyDescent="0.25">
      <c r="B4596"/>
      <c r="Z4596"/>
    </row>
    <row r="4597" spans="1:33" x14ac:dyDescent="0.25">
      <c r="B4597"/>
      <c r="Z4597"/>
    </row>
    <row r="4598" spans="1:33" x14ac:dyDescent="0.25">
      <c r="B4598"/>
      <c r="Z4598"/>
    </row>
    <row r="4599" spans="1:33" x14ac:dyDescent="0.25">
      <c r="B4599"/>
      <c r="Z4599"/>
    </row>
    <row r="4600" spans="1:33" x14ac:dyDescent="0.25">
      <c r="B4600"/>
      <c r="Z4600"/>
    </row>
    <row r="4601" spans="1:33" x14ac:dyDescent="0.25">
      <c r="B4601"/>
      <c r="Z4601"/>
    </row>
    <row r="4602" spans="1:33" x14ac:dyDescent="0.25">
      <c r="A4602" s="6"/>
      <c r="B4602" s="6"/>
      <c r="C4602" s="6"/>
      <c r="D4602" s="6"/>
      <c r="E4602" s="6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6"/>
      <c r="V4602" s="6"/>
      <c r="W4602" s="6"/>
      <c r="X4602" s="6"/>
      <c r="Y4602" s="6"/>
      <c r="Z4602" s="6"/>
      <c r="AA4602" s="6"/>
      <c r="AB4602" s="6"/>
      <c r="AC4602" s="6"/>
      <c r="AD4602" s="6"/>
      <c r="AE4602" s="6"/>
      <c r="AF4602" s="6"/>
      <c r="AG4602" s="6"/>
    </row>
    <row r="4603" spans="1:33" x14ac:dyDescent="0.25">
      <c r="B4603"/>
      <c r="Z4603"/>
    </row>
    <row r="4604" spans="1:33" x14ac:dyDescent="0.25">
      <c r="B4604"/>
      <c r="Z4604"/>
    </row>
    <row r="4605" spans="1:33" x14ac:dyDescent="0.25">
      <c r="B4605"/>
      <c r="Z4605"/>
    </row>
    <row r="4606" spans="1:33" x14ac:dyDescent="0.25">
      <c r="B4606"/>
      <c r="Z4606"/>
    </row>
    <row r="4607" spans="1:33" x14ac:dyDescent="0.25">
      <c r="B4607"/>
      <c r="Z4607"/>
    </row>
    <row r="4608" spans="1:33" x14ac:dyDescent="0.25">
      <c r="B4608"/>
      <c r="Z4608"/>
    </row>
    <row r="4609" spans="2:26" x14ac:dyDescent="0.25">
      <c r="B4609"/>
      <c r="Z4609"/>
    </row>
    <row r="4610" spans="2:26" x14ac:dyDescent="0.25">
      <c r="B4610"/>
      <c r="Z4610"/>
    </row>
    <row r="4611" spans="2:26" x14ac:dyDescent="0.25">
      <c r="B4611"/>
      <c r="Z4611"/>
    </row>
    <row r="4612" spans="2:26" x14ac:dyDescent="0.25">
      <c r="B4612"/>
      <c r="Z4612"/>
    </row>
    <row r="4613" spans="2:26" x14ac:dyDescent="0.25">
      <c r="B4613"/>
      <c r="Z4613"/>
    </row>
    <row r="4614" spans="2:26" x14ac:dyDescent="0.25">
      <c r="B4614"/>
      <c r="Z4614"/>
    </row>
    <row r="4615" spans="2:26" x14ac:dyDescent="0.25">
      <c r="B4615"/>
      <c r="Z4615"/>
    </row>
    <row r="4616" spans="2:26" x14ac:dyDescent="0.25">
      <c r="B4616"/>
      <c r="Z4616"/>
    </row>
    <row r="4617" spans="2:26" x14ac:dyDescent="0.25">
      <c r="B4617"/>
      <c r="Z4617"/>
    </row>
    <row r="4618" spans="2:26" x14ac:dyDescent="0.25">
      <c r="B4618"/>
      <c r="Z4618"/>
    </row>
    <row r="4619" spans="2:26" x14ac:dyDescent="0.25">
      <c r="B4619"/>
      <c r="Z4619"/>
    </row>
    <row r="4620" spans="2:26" x14ac:dyDescent="0.25">
      <c r="B4620"/>
      <c r="Z4620"/>
    </row>
    <row r="4621" spans="2:26" x14ac:dyDescent="0.25">
      <c r="B4621"/>
      <c r="Z4621"/>
    </row>
    <row r="4622" spans="2:26" x14ac:dyDescent="0.25">
      <c r="B4622"/>
      <c r="Z4622"/>
    </row>
    <row r="4623" spans="2:26" x14ac:dyDescent="0.25">
      <c r="B4623"/>
      <c r="Z4623"/>
    </row>
    <row r="4624" spans="2:26" x14ac:dyDescent="0.25">
      <c r="B4624"/>
      <c r="Z4624"/>
    </row>
    <row r="4625" spans="2:26" x14ac:dyDescent="0.25">
      <c r="B4625"/>
      <c r="Z4625"/>
    </row>
    <row r="4626" spans="2:26" x14ac:dyDescent="0.25">
      <c r="B4626"/>
      <c r="Z4626"/>
    </row>
    <row r="4627" spans="2:26" x14ac:dyDescent="0.25">
      <c r="B4627"/>
      <c r="Z4627"/>
    </row>
    <row r="4628" spans="2:26" x14ac:dyDescent="0.25">
      <c r="B4628"/>
      <c r="Z4628"/>
    </row>
    <row r="4629" spans="2:26" x14ac:dyDescent="0.25">
      <c r="B4629"/>
      <c r="Z4629"/>
    </row>
    <row r="4630" spans="2:26" x14ac:dyDescent="0.25">
      <c r="B4630"/>
      <c r="Z4630"/>
    </row>
    <row r="4631" spans="2:26" x14ac:dyDescent="0.25">
      <c r="B4631"/>
      <c r="Z4631"/>
    </row>
    <row r="4632" spans="2:26" x14ac:dyDescent="0.25">
      <c r="B4632"/>
      <c r="Z4632"/>
    </row>
    <row r="4633" spans="2:26" x14ac:dyDescent="0.25">
      <c r="B4633"/>
      <c r="Z4633"/>
    </row>
    <row r="4634" spans="2:26" x14ac:dyDescent="0.25">
      <c r="B4634"/>
      <c r="Z4634"/>
    </row>
    <row r="4635" spans="2:26" x14ac:dyDescent="0.25">
      <c r="B4635"/>
      <c r="Z4635"/>
    </row>
    <row r="4636" spans="2:26" x14ac:dyDescent="0.25">
      <c r="B4636"/>
      <c r="Z4636"/>
    </row>
    <row r="4637" spans="2:26" x14ac:dyDescent="0.25">
      <c r="B4637"/>
      <c r="Z4637"/>
    </row>
    <row r="4638" spans="2:26" x14ac:dyDescent="0.25">
      <c r="B4638"/>
      <c r="Z4638"/>
    </row>
    <row r="4639" spans="2:26" x14ac:dyDescent="0.25">
      <c r="B4639"/>
      <c r="Z4639"/>
    </row>
    <row r="4640" spans="2:26" x14ac:dyDescent="0.25">
      <c r="B4640"/>
      <c r="Z4640"/>
    </row>
    <row r="4641" spans="2:26" x14ac:dyDescent="0.25">
      <c r="B4641"/>
      <c r="Z4641"/>
    </row>
    <row r="4642" spans="2:26" x14ac:dyDescent="0.25">
      <c r="B4642"/>
      <c r="Z4642"/>
    </row>
    <row r="4643" spans="2:26" x14ac:dyDescent="0.25">
      <c r="B4643"/>
      <c r="Z4643"/>
    </row>
    <row r="4644" spans="2:26" x14ac:dyDescent="0.25">
      <c r="B4644"/>
      <c r="Z4644"/>
    </row>
    <row r="4645" spans="2:26" x14ac:dyDescent="0.25">
      <c r="B4645"/>
      <c r="Z4645"/>
    </row>
    <row r="4646" spans="2:26" x14ac:dyDescent="0.25">
      <c r="B4646"/>
      <c r="Z4646"/>
    </row>
    <row r="4647" spans="2:26" x14ac:dyDescent="0.25">
      <c r="B4647"/>
      <c r="Z4647"/>
    </row>
    <row r="4648" spans="2:26" x14ac:dyDescent="0.25">
      <c r="B4648"/>
      <c r="Z4648"/>
    </row>
    <row r="4649" spans="2:26" x14ac:dyDescent="0.25">
      <c r="B4649"/>
      <c r="Z4649"/>
    </row>
    <row r="4650" spans="2:26" x14ac:dyDescent="0.25">
      <c r="B4650"/>
      <c r="Z4650"/>
    </row>
    <row r="4651" spans="2:26" x14ac:dyDescent="0.25">
      <c r="B4651"/>
      <c r="Z4651"/>
    </row>
    <row r="4652" spans="2:26" x14ac:dyDescent="0.25">
      <c r="B4652"/>
      <c r="Z4652"/>
    </row>
    <row r="4653" spans="2:26" x14ac:dyDescent="0.25">
      <c r="B4653"/>
      <c r="Z4653"/>
    </row>
    <row r="4654" spans="2:26" x14ac:dyDescent="0.25">
      <c r="B4654"/>
      <c r="Z4654"/>
    </row>
    <row r="4655" spans="2:26" x14ac:dyDescent="0.25">
      <c r="B4655"/>
      <c r="Z4655"/>
    </row>
    <row r="4656" spans="2:26" x14ac:dyDescent="0.25">
      <c r="B4656"/>
      <c r="Z4656"/>
    </row>
    <row r="4657" spans="2:26" x14ac:dyDescent="0.25">
      <c r="B4657"/>
      <c r="Z4657"/>
    </row>
    <row r="4658" spans="2:26" x14ac:dyDescent="0.25">
      <c r="B4658"/>
      <c r="Z4658"/>
    </row>
    <row r="4659" spans="2:26" x14ac:dyDescent="0.25">
      <c r="B4659"/>
      <c r="Z4659"/>
    </row>
    <row r="4660" spans="2:26" x14ac:dyDescent="0.25">
      <c r="B4660"/>
      <c r="Z4660"/>
    </row>
    <row r="4661" spans="2:26" x14ac:dyDescent="0.25">
      <c r="B4661"/>
      <c r="Z4661"/>
    </row>
    <row r="4662" spans="2:26" x14ac:dyDescent="0.25">
      <c r="B4662"/>
      <c r="Z4662"/>
    </row>
    <row r="4663" spans="2:26" x14ac:dyDescent="0.25">
      <c r="B4663"/>
      <c r="Z4663"/>
    </row>
    <row r="4664" spans="2:26" x14ac:dyDescent="0.25">
      <c r="B4664"/>
      <c r="Z4664"/>
    </row>
    <row r="4665" spans="2:26" x14ac:dyDescent="0.25">
      <c r="B4665"/>
      <c r="Z4665"/>
    </row>
    <row r="4666" spans="2:26" x14ac:dyDescent="0.25">
      <c r="B4666"/>
      <c r="Z4666"/>
    </row>
    <row r="4667" spans="2:26" x14ac:dyDescent="0.25">
      <c r="B4667"/>
      <c r="Z4667"/>
    </row>
    <row r="4668" spans="2:26" x14ac:dyDescent="0.25">
      <c r="B4668"/>
      <c r="Z4668"/>
    </row>
    <row r="4669" spans="2:26" x14ac:dyDescent="0.25">
      <c r="B4669"/>
      <c r="Z4669"/>
    </row>
    <row r="4670" spans="2:26" x14ac:dyDescent="0.25">
      <c r="B4670"/>
      <c r="Z4670"/>
    </row>
    <row r="4671" spans="2:26" x14ac:dyDescent="0.25">
      <c r="B4671"/>
      <c r="Z4671"/>
    </row>
    <row r="4672" spans="2:26" x14ac:dyDescent="0.25">
      <c r="B4672"/>
      <c r="Z4672"/>
    </row>
    <row r="4673" spans="2:26" x14ac:dyDescent="0.25">
      <c r="B4673"/>
      <c r="Z4673"/>
    </row>
    <row r="4674" spans="2:26" x14ac:dyDescent="0.25">
      <c r="B4674"/>
      <c r="Z4674"/>
    </row>
    <row r="4675" spans="2:26" x14ac:dyDescent="0.25">
      <c r="B4675"/>
      <c r="Z4675"/>
    </row>
    <row r="4676" spans="2:26" x14ac:dyDescent="0.25">
      <c r="B4676"/>
      <c r="Z4676"/>
    </row>
    <row r="4677" spans="2:26" x14ac:dyDescent="0.25">
      <c r="B4677"/>
      <c r="Z4677"/>
    </row>
    <row r="4678" spans="2:26" x14ac:dyDescent="0.25">
      <c r="B4678"/>
      <c r="Z4678"/>
    </row>
    <row r="4679" spans="2:26" x14ac:dyDescent="0.25">
      <c r="B4679"/>
      <c r="Z4679"/>
    </row>
    <row r="4680" spans="2:26" x14ac:dyDescent="0.25">
      <c r="B4680"/>
      <c r="Z4680"/>
    </row>
    <row r="4681" spans="2:26" x14ac:dyDescent="0.25">
      <c r="B4681"/>
      <c r="Z4681"/>
    </row>
    <row r="4682" spans="2:26" x14ac:dyDescent="0.25">
      <c r="B4682"/>
      <c r="Z4682"/>
    </row>
    <row r="4683" spans="2:26" x14ac:dyDescent="0.25">
      <c r="B4683"/>
      <c r="Z4683"/>
    </row>
    <row r="4684" spans="2:26" x14ac:dyDescent="0.25">
      <c r="B4684"/>
      <c r="Z4684"/>
    </row>
    <row r="4685" spans="2:26" x14ac:dyDescent="0.25">
      <c r="B4685"/>
      <c r="Z4685"/>
    </row>
    <row r="4686" spans="2:26" x14ac:dyDescent="0.25">
      <c r="B4686"/>
      <c r="Z4686"/>
    </row>
    <row r="4687" spans="2:26" x14ac:dyDescent="0.25">
      <c r="B4687"/>
      <c r="Z4687"/>
    </row>
    <row r="4688" spans="2:26" x14ac:dyDescent="0.25">
      <c r="B4688"/>
      <c r="Z4688"/>
    </row>
    <row r="4689" spans="2:26" x14ac:dyDescent="0.25">
      <c r="B4689"/>
      <c r="Z4689"/>
    </row>
    <row r="4690" spans="2:26" x14ac:dyDescent="0.25">
      <c r="B4690"/>
      <c r="Z4690"/>
    </row>
    <row r="4691" spans="2:26" x14ac:dyDescent="0.25">
      <c r="B4691"/>
      <c r="Z4691"/>
    </row>
    <row r="4692" spans="2:26" x14ac:dyDescent="0.25">
      <c r="B4692"/>
      <c r="Z4692"/>
    </row>
    <row r="4693" spans="2:26" x14ac:dyDescent="0.25">
      <c r="B4693"/>
      <c r="Z4693"/>
    </row>
    <row r="4694" spans="2:26" x14ac:dyDescent="0.25">
      <c r="B4694"/>
      <c r="Z4694"/>
    </row>
    <row r="4695" spans="2:26" x14ac:dyDescent="0.25">
      <c r="B4695"/>
      <c r="Z4695"/>
    </row>
    <row r="4696" spans="2:26" x14ac:dyDescent="0.25">
      <c r="B4696"/>
      <c r="Z4696"/>
    </row>
    <row r="4697" spans="2:26" x14ac:dyDescent="0.25">
      <c r="B4697"/>
      <c r="Z4697"/>
    </row>
    <row r="4698" spans="2:26" x14ac:dyDescent="0.25">
      <c r="B4698"/>
      <c r="F4698" s="6"/>
      <c r="Z4698"/>
    </row>
    <row r="4699" spans="2:26" x14ac:dyDescent="0.25">
      <c r="B4699"/>
      <c r="Z4699"/>
    </row>
    <row r="4700" spans="2:26" x14ac:dyDescent="0.25">
      <c r="B4700"/>
      <c r="Z4700"/>
    </row>
    <row r="4701" spans="2:26" x14ac:dyDescent="0.25">
      <c r="B4701"/>
      <c r="Z4701"/>
    </row>
    <row r="4702" spans="2:26" x14ac:dyDescent="0.25">
      <c r="B4702"/>
      <c r="Z4702"/>
    </row>
    <row r="4703" spans="2:26" x14ac:dyDescent="0.25">
      <c r="B4703"/>
      <c r="Z4703"/>
    </row>
    <row r="4704" spans="2:26" x14ac:dyDescent="0.25">
      <c r="B4704"/>
      <c r="Z4704"/>
    </row>
    <row r="4705" spans="1:33" x14ac:dyDescent="0.25">
      <c r="B4705"/>
      <c r="Z4705"/>
    </row>
    <row r="4706" spans="1:33" x14ac:dyDescent="0.25">
      <c r="B4706"/>
      <c r="Z4706"/>
    </row>
    <row r="4707" spans="1:33" x14ac:dyDescent="0.25">
      <c r="A4707" s="6"/>
      <c r="B4707" s="6"/>
      <c r="C4707" s="6"/>
      <c r="D4707" s="6"/>
      <c r="E4707" s="6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6"/>
      <c r="V4707" s="6"/>
      <c r="W4707" s="6"/>
      <c r="X4707" s="6"/>
      <c r="Y4707" s="6"/>
      <c r="Z4707" s="6"/>
      <c r="AA4707" s="6"/>
      <c r="AB4707" s="6"/>
      <c r="AC4707" s="6"/>
      <c r="AD4707" s="6"/>
      <c r="AE4707" s="6"/>
      <c r="AF4707" s="6"/>
      <c r="AG4707" s="6"/>
    </row>
    <row r="4708" spans="1:33" x14ac:dyDescent="0.25">
      <c r="B4708"/>
      <c r="Z4708"/>
    </row>
    <row r="4709" spans="1:33" x14ac:dyDescent="0.25">
      <c r="B4709"/>
      <c r="Z4709"/>
    </row>
    <row r="4710" spans="1:33" x14ac:dyDescent="0.25">
      <c r="B4710"/>
      <c r="Z4710"/>
    </row>
    <row r="4711" spans="1:33" x14ac:dyDescent="0.25">
      <c r="B4711"/>
      <c r="Z4711"/>
    </row>
    <row r="4712" spans="1:33" x14ac:dyDescent="0.25">
      <c r="B4712"/>
      <c r="Z4712"/>
    </row>
    <row r="4713" spans="1:33" x14ac:dyDescent="0.25">
      <c r="B4713"/>
      <c r="Z4713"/>
    </row>
    <row r="4714" spans="1:33" x14ac:dyDescent="0.25">
      <c r="B4714"/>
      <c r="Z4714"/>
    </row>
    <row r="4715" spans="1:33" x14ac:dyDescent="0.25">
      <c r="B4715"/>
      <c r="Z4715"/>
    </row>
    <row r="4716" spans="1:33" x14ac:dyDescent="0.25">
      <c r="B4716"/>
      <c r="Z4716"/>
    </row>
    <row r="4717" spans="1:33" x14ac:dyDescent="0.25">
      <c r="B4717"/>
      <c r="Z4717"/>
    </row>
    <row r="4718" spans="1:33" x14ac:dyDescent="0.25">
      <c r="B4718"/>
      <c r="Z4718"/>
    </row>
    <row r="4719" spans="1:33" x14ac:dyDescent="0.25">
      <c r="B4719"/>
      <c r="Z4719"/>
    </row>
    <row r="4720" spans="1:33" x14ac:dyDescent="0.25">
      <c r="B4720"/>
      <c r="Z4720"/>
    </row>
    <row r="4721" spans="2:26" x14ac:dyDescent="0.25">
      <c r="B4721"/>
      <c r="Z4721"/>
    </row>
    <row r="4722" spans="2:26" x14ac:dyDescent="0.25">
      <c r="B4722"/>
      <c r="Z4722"/>
    </row>
    <row r="4723" spans="2:26" x14ac:dyDescent="0.25">
      <c r="B4723"/>
      <c r="Z4723"/>
    </row>
    <row r="4724" spans="2:26" x14ac:dyDescent="0.25">
      <c r="B4724"/>
      <c r="Z4724"/>
    </row>
    <row r="4725" spans="2:26" x14ac:dyDescent="0.25">
      <c r="B4725"/>
      <c r="Z4725"/>
    </row>
    <row r="4726" spans="2:26" x14ac:dyDescent="0.25">
      <c r="B4726"/>
      <c r="Z4726"/>
    </row>
    <row r="4727" spans="2:26" x14ac:dyDescent="0.25">
      <c r="B4727"/>
      <c r="Z4727"/>
    </row>
    <row r="4728" spans="2:26" x14ac:dyDescent="0.25">
      <c r="B4728"/>
      <c r="Z4728"/>
    </row>
    <row r="4729" spans="2:26" x14ac:dyDescent="0.25">
      <c r="B4729"/>
      <c r="Z4729"/>
    </row>
    <row r="4730" spans="2:26" x14ac:dyDescent="0.25">
      <c r="B4730"/>
      <c r="Z4730"/>
    </row>
    <row r="4731" spans="2:26" x14ac:dyDescent="0.25">
      <c r="B4731"/>
      <c r="Z4731"/>
    </row>
    <row r="4732" spans="2:26" x14ac:dyDescent="0.25">
      <c r="B4732"/>
      <c r="Z4732"/>
    </row>
    <row r="4733" spans="2:26" x14ac:dyDescent="0.25">
      <c r="B4733"/>
      <c r="Z4733"/>
    </row>
    <row r="4734" spans="2:26" x14ac:dyDescent="0.25">
      <c r="B4734"/>
      <c r="Z4734"/>
    </row>
    <row r="4735" spans="2:26" x14ac:dyDescent="0.25">
      <c r="B4735"/>
      <c r="Z4735"/>
    </row>
    <row r="4736" spans="2:26" x14ac:dyDescent="0.25">
      <c r="B4736"/>
      <c r="Z4736"/>
    </row>
    <row r="4737" spans="2:26" x14ac:dyDescent="0.25">
      <c r="B4737"/>
      <c r="Z4737"/>
    </row>
    <row r="4738" spans="2:26" x14ac:dyDescent="0.25">
      <c r="B4738"/>
      <c r="Z4738"/>
    </row>
    <row r="4739" spans="2:26" x14ac:dyDescent="0.25">
      <c r="B4739"/>
      <c r="Z4739"/>
    </row>
    <row r="4740" spans="2:26" x14ac:dyDescent="0.25">
      <c r="B4740"/>
      <c r="Z4740"/>
    </row>
    <row r="4741" spans="2:26" x14ac:dyDescent="0.25">
      <c r="B4741"/>
      <c r="Z4741"/>
    </row>
    <row r="4742" spans="2:26" x14ac:dyDescent="0.25">
      <c r="B4742"/>
      <c r="Z4742"/>
    </row>
    <row r="4743" spans="2:26" x14ac:dyDescent="0.25">
      <c r="B4743"/>
      <c r="Z4743"/>
    </row>
    <row r="4744" spans="2:26" x14ac:dyDescent="0.25">
      <c r="B4744"/>
      <c r="Z4744"/>
    </row>
    <row r="4745" spans="2:26" x14ac:dyDescent="0.25">
      <c r="B4745"/>
      <c r="Z4745"/>
    </row>
    <row r="4746" spans="2:26" x14ac:dyDescent="0.25">
      <c r="B4746"/>
      <c r="Z4746"/>
    </row>
    <row r="4747" spans="2:26" x14ac:dyDescent="0.25">
      <c r="B4747"/>
      <c r="Z4747"/>
    </row>
    <row r="4748" spans="2:26" x14ac:dyDescent="0.25">
      <c r="B4748"/>
      <c r="Z4748"/>
    </row>
    <row r="4749" spans="2:26" x14ac:dyDescent="0.25">
      <c r="B4749"/>
      <c r="Z4749"/>
    </row>
    <row r="4750" spans="2:26" x14ac:dyDescent="0.25">
      <c r="B4750"/>
      <c r="Z4750"/>
    </row>
    <row r="4751" spans="2:26" x14ac:dyDescent="0.25">
      <c r="B4751"/>
      <c r="Z4751"/>
    </row>
    <row r="4752" spans="2:26" x14ac:dyDescent="0.25">
      <c r="B4752"/>
      <c r="Z4752"/>
    </row>
    <row r="4753" spans="2:26" x14ac:dyDescent="0.25">
      <c r="B4753"/>
      <c r="Z4753"/>
    </row>
    <row r="4754" spans="2:26" x14ac:dyDescent="0.25">
      <c r="B4754"/>
      <c r="Z4754"/>
    </row>
    <row r="4755" spans="2:26" x14ac:dyDescent="0.25">
      <c r="B4755"/>
      <c r="Z4755"/>
    </row>
    <row r="4756" spans="2:26" x14ac:dyDescent="0.25">
      <c r="B4756"/>
      <c r="Z4756"/>
    </row>
    <row r="4757" spans="2:26" x14ac:dyDescent="0.25">
      <c r="B4757"/>
      <c r="Z4757"/>
    </row>
    <row r="4758" spans="2:26" x14ac:dyDescent="0.25">
      <c r="B4758"/>
      <c r="Z4758"/>
    </row>
    <row r="4759" spans="2:26" x14ac:dyDescent="0.25">
      <c r="B4759"/>
      <c r="Z4759"/>
    </row>
    <row r="4760" spans="2:26" x14ac:dyDescent="0.25">
      <c r="B4760"/>
      <c r="Z4760"/>
    </row>
    <row r="4761" spans="2:26" x14ac:dyDescent="0.25">
      <c r="B4761"/>
      <c r="Z4761"/>
    </row>
    <row r="4762" spans="2:26" x14ac:dyDescent="0.25">
      <c r="B4762"/>
      <c r="Z4762"/>
    </row>
    <row r="4763" spans="2:26" x14ac:dyDescent="0.25">
      <c r="B4763"/>
      <c r="Z4763"/>
    </row>
    <row r="4764" spans="2:26" x14ac:dyDescent="0.25">
      <c r="B4764"/>
      <c r="Z4764"/>
    </row>
    <row r="4765" spans="2:26" x14ac:dyDescent="0.25">
      <c r="B4765"/>
      <c r="Z4765"/>
    </row>
    <row r="4766" spans="2:26" x14ac:dyDescent="0.25">
      <c r="B4766"/>
      <c r="Z4766"/>
    </row>
    <row r="4767" spans="2:26" x14ac:dyDescent="0.25">
      <c r="B4767"/>
      <c r="Z4767"/>
    </row>
    <row r="4768" spans="2:26" x14ac:dyDescent="0.25">
      <c r="B4768"/>
      <c r="Z4768"/>
    </row>
    <row r="4769" spans="2:26" x14ac:dyDescent="0.25">
      <c r="B4769"/>
      <c r="Z4769"/>
    </row>
    <row r="4770" spans="2:26" x14ac:dyDescent="0.25">
      <c r="B4770"/>
      <c r="Z4770"/>
    </row>
    <row r="4771" spans="2:26" x14ac:dyDescent="0.25">
      <c r="B4771"/>
      <c r="Z4771"/>
    </row>
    <row r="4772" spans="2:26" x14ac:dyDescent="0.25">
      <c r="B4772"/>
      <c r="Z4772"/>
    </row>
    <row r="4773" spans="2:26" x14ac:dyDescent="0.25">
      <c r="B4773"/>
      <c r="Z4773"/>
    </row>
    <row r="4774" spans="2:26" x14ac:dyDescent="0.25">
      <c r="B4774"/>
      <c r="Z4774"/>
    </row>
    <row r="4775" spans="2:26" x14ac:dyDescent="0.25">
      <c r="B4775"/>
      <c r="Z4775"/>
    </row>
    <row r="4776" spans="2:26" x14ac:dyDescent="0.25">
      <c r="B4776"/>
      <c r="Z4776"/>
    </row>
    <row r="4777" spans="2:26" x14ac:dyDescent="0.25">
      <c r="B4777"/>
      <c r="Z4777"/>
    </row>
    <row r="4778" spans="2:26" x14ac:dyDescent="0.25">
      <c r="B4778"/>
      <c r="Z4778"/>
    </row>
    <row r="4779" spans="2:26" x14ac:dyDescent="0.25">
      <c r="B4779"/>
      <c r="Z4779"/>
    </row>
    <row r="4780" spans="2:26" x14ac:dyDescent="0.25">
      <c r="B4780"/>
      <c r="Z4780"/>
    </row>
    <row r="4781" spans="2:26" x14ac:dyDescent="0.25">
      <c r="B4781"/>
      <c r="Z4781"/>
    </row>
    <row r="4782" spans="2:26" x14ac:dyDescent="0.25">
      <c r="B4782"/>
      <c r="Z4782"/>
    </row>
    <row r="4783" spans="2:26" x14ac:dyDescent="0.25">
      <c r="B4783"/>
      <c r="Z4783"/>
    </row>
    <row r="4784" spans="2:26" x14ac:dyDescent="0.25">
      <c r="B4784"/>
      <c r="Z4784"/>
    </row>
    <row r="4785" spans="2:26" x14ac:dyDescent="0.25">
      <c r="B4785"/>
      <c r="Z4785"/>
    </row>
    <row r="4786" spans="2:26" x14ac:dyDescent="0.25">
      <c r="B4786"/>
      <c r="Z4786"/>
    </row>
    <row r="4787" spans="2:26" x14ac:dyDescent="0.25">
      <c r="B4787"/>
      <c r="Z4787"/>
    </row>
    <row r="4788" spans="2:26" x14ac:dyDescent="0.25">
      <c r="B4788"/>
      <c r="Z4788"/>
    </row>
    <row r="4789" spans="2:26" x14ac:dyDescent="0.25">
      <c r="B4789"/>
      <c r="Z4789"/>
    </row>
    <row r="4790" spans="2:26" x14ac:dyDescent="0.25">
      <c r="B4790"/>
      <c r="Z4790"/>
    </row>
    <row r="4791" spans="2:26" x14ac:dyDescent="0.25">
      <c r="B4791"/>
      <c r="Z4791"/>
    </row>
    <row r="4792" spans="2:26" x14ac:dyDescent="0.25">
      <c r="B4792"/>
      <c r="Z4792"/>
    </row>
    <row r="4793" spans="2:26" x14ac:dyDescent="0.25">
      <c r="B4793"/>
      <c r="Z4793"/>
    </row>
    <row r="4794" spans="2:26" x14ac:dyDescent="0.25">
      <c r="B4794"/>
      <c r="Z4794"/>
    </row>
    <row r="4795" spans="2:26" x14ac:dyDescent="0.25">
      <c r="B4795"/>
      <c r="Z4795"/>
    </row>
    <row r="4796" spans="2:26" x14ac:dyDescent="0.25">
      <c r="B4796"/>
      <c r="Z4796"/>
    </row>
    <row r="4797" spans="2:26" x14ac:dyDescent="0.25">
      <c r="B4797"/>
      <c r="Z4797"/>
    </row>
    <row r="4798" spans="2:26" x14ac:dyDescent="0.25">
      <c r="B4798"/>
      <c r="Z4798"/>
    </row>
    <row r="4799" spans="2:26" x14ac:dyDescent="0.25">
      <c r="B4799"/>
      <c r="Z4799"/>
    </row>
    <row r="4800" spans="2:26" x14ac:dyDescent="0.25">
      <c r="B4800"/>
      <c r="Z4800"/>
    </row>
    <row r="4801" spans="1:33" x14ac:dyDescent="0.25">
      <c r="B4801"/>
      <c r="Z4801"/>
    </row>
    <row r="4802" spans="1:33" x14ac:dyDescent="0.25">
      <c r="B4802"/>
      <c r="Z4802"/>
    </row>
    <row r="4803" spans="1:33" x14ac:dyDescent="0.25">
      <c r="B4803"/>
      <c r="F4803" s="6"/>
      <c r="Z4803"/>
    </row>
    <row r="4804" spans="1:33" x14ac:dyDescent="0.25">
      <c r="B4804"/>
      <c r="Z4804"/>
    </row>
    <row r="4805" spans="1:33" x14ac:dyDescent="0.25">
      <c r="B4805"/>
      <c r="Z4805"/>
    </row>
    <row r="4806" spans="1:33" x14ac:dyDescent="0.25">
      <c r="B4806"/>
      <c r="Z4806"/>
    </row>
    <row r="4807" spans="1:33" x14ac:dyDescent="0.25">
      <c r="B4807"/>
      <c r="Z4807"/>
    </row>
    <row r="4808" spans="1:33" x14ac:dyDescent="0.25">
      <c r="B4808"/>
      <c r="Z4808"/>
    </row>
    <row r="4809" spans="1:33" x14ac:dyDescent="0.25">
      <c r="B4809"/>
      <c r="Z4809"/>
    </row>
    <row r="4810" spans="1:33" x14ac:dyDescent="0.25">
      <c r="B4810"/>
      <c r="Z4810"/>
    </row>
    <row r="4811" spans="1:33" x14ac:dyDescent="0.25">
      <c r="A4811" s="6"/>
      <c r="B4811" s="6"/>
      <c r="C4811" s="6"/>
      <c r="D4811" s="6"/>
      <c r="E4811" s="6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6"/>
      <c r="V4811" s="6"/>
      <c r="W4811" s="6"/>
      <c r="X4811" s="6"/>
      <c r="Y4811" s="6"/>
      <c r="Z4811" s="6"/>
      <c r="AA4811" s="6"/>
      <c r="AB4811" s="6"/>
      <c r="AC4811" s="6"/>
      <c r="AD4811" s="6"/>
      <c r="AE4811" s="6"/>
      <c r="AF4811" s="6"/>
      <c r="AG4811" s="6"/>
    </row>
    <row r="4812" spans="1:33" x14ac:dyDescent="0.25">
      <c r="B4812"/>
      <c r="Z4812"/>
    </row>
    <row r="4813" spans="1:33" x14ac:dyDescent="0.25">
      <c r="B4813"/>
      <c r="Z4813"/>
    </row>
    <row r="4814" spans="1:33" x14ac:dyDescent="0.25">
      <c r="B4814"/>
      <c r="Z4814"/>
    </row>
    <row r="4815" spans="1:33" x14ac:dyDescent="0.25">
      <c r="B4815"/>
      <c r="Z4815"/>
    </row>
    <row r="4816" spans="1:33" x14ac:dyDescent="0.25">
      <c r="B4816"/>
      <c r="Z4816"/>
    </row>
    <row r="4817" spans="2:26" x14ac:dyDescent="0.25">
      <c r="B4817"/>
      <c r="Z4817"/>
    </row>
    <row r="4818" spans="2:26" x14ac:dyDescent="0.25">
      <c r="B4818"/>
      <c r="Z4818"/>
    </row>
    <row r="4819" spans="2:26" x14ac:dyDescent="0.25">
      <c r="B4819"/>
      <c r="Z4819"/>
    </row>
    <row r="4820" spans="2:26" x14ac:dyDescent="0.25">
      <c r="B4820"/>
      <c r="Z4820"/>
    </row>
    <row r="4821" spans="2:26" x14ac:dyDescent="0.25">
      <c r="B4821"/>
      <c r="Z4821"/>
    </row>
    <row r="4822" spans="2:26" x14ac:dyDescent="0.25">
      <c r="B4822"/>
      <c r="Z4822"/>
    </row>
    <row r="4823" spans="2:26" x14ac:dyDescent="0.25">
      <c r="B4823"/>
      <c r="Z4823"/>
    </row>
    <row r="4824" spans="2:26" x14ac:dyDescent="0.25">
      <c r="B4824"/>
      <c r="Z4824"/>
    </row>
    <row r="4825" spans="2:26" x14ac:dyDescent="0.25">
      <c r="B4825"/>
      <c r="Z4825"/>
    </row>
    <row r="4826" spans="2:26" x14ac:dyDescent="0.25">
      <c r="B4826"/>
      <c r="Z4826"/>
    </row>
    <row r="4827" spans="2:26" x14ac:dyDescent="0.25">
      <c r="B4827"/>
      <c r="Z4827"/>
    </row>
    <row r="4828" spans="2:26" x14ac:dyDescent="0.25">
      <c r="B4828"/>
      <c r="Z4828"/>
    </row>
    <row r="4829" spans="2:26" x14ac:dyDescent="0.25">
      <c r="B4829"/>
      <c r="Z4829"/>
    </row>
    <row r="4830" spans="2:26" x14ac:dyDescent="0.25">
      <c r="B4830"/>
      <c r="Z4830"/>
    </row>
    <row r="4831" spans="2:26" x14ac:dyDescent="0.25">
      <c r="B4831"/>
      <c r="Z4831"/>
    </row>
    <row r="4832" spans="2:26" x14ac:dyDescent="0.25">
      <c r="B4832"/>
      <c r="Z4832"/>
    </row>
    <row r="4833" spans="2:26" x14ac:dyDescent="0.25">
      <c r="B4833"/>
      <c r="Z4833"/>
    </row>
    <row r="4834" spans="2:26" x14ac:dyDescent="0.25">
      <c r="B4834"/>
      <c r="Z4834"/>
    </row>
    <row r="4835" spans="2:26" x14ac:dyDescent="0.25">
      <c r="B4835"/>
      <c r="Z4835"/>
    </row>
    <row r="4836" spans="2:26" x14ac:dyDescent="0.25">
      <c r="B4836"/>
      <c r="Z4836"/>
    </row>
    <row r="4837" spans="2:26" x14ac:dyDescent="0.25">
      <c r="B4837"/>
      <c r="Z4837"/>
    </row>
    <row r="4838" spans="2:26" x14ac:dyDescent="0.25">
      <c r="B4838"/>
      <c r="Z4838"/>
    </row>
    <row r="4839" spans="2:26" x14ac:dyDescent="0.25">
      <c r="B4839"/>
      <c r="Z4839"/>
    </row>
    <row r="4840" spans="2:26" x14ac:dyDescent="0.25">
      <c r="B4840"/>
      <c r="Z4840"/>
    </row>
    <row r="4841" spans="2:26" x14ac:dyDescent="0.25">
      <c r="B4841"/>
      <c r="Z4841"/>
    </row>
    <row r="4842" spans="2:26" x14ac:dyDescent="0.25">
      <c r="B4842"/>
      <c r="Z4842"/>
    </row>
    <row r="4843" spans="2:26" x14ac:dyDescent="0.25">
      <c r="B4843"/>
      <c r="Z4843"/>
    </row>
    <row r="4844" spans="2:26" x14ac:dyDescent="0.25">
      <c r="B4844"/>
      <c r="Z4844"/>
    </row>
    <row r="4845" spans="2:26" x14ac:dyDescent="0.25">
      <c r="B4845"/>
      <c r="Z4845"/>
    </row>
    <row r="4846" spans="2:26" x14ac:dyDescent="0.25">
      <c r="B4846"/>
      <c r="Z4846"/>
    </row>
    <row r="4847" spans="2:26" x14ac:dyDescent="0.25">
      <c r="B4847"/>
      <c r="Z4847"/>
    </row>
    <row r="4848" spans="2:26" x14ac:dyDescent="0.25">
      <c r="B4848"/>
      <c r="Z4848"/>
    </row>
    <row r="4849" spans="2:26" x14ac:dyDescent="0.25">
      <c r="B4849"/>
      <c r="Z4849"/>
    </row>
    <row r="4850" spans="2:26" x14ac:dyDescent="0.25">
      <c r="B4850"/>
      <c r="Z4850"/>
    </row>
    <row r="4851" spans="2:26" x14ac:dyDescent="0.25">
      <c r="B4851"/>
      <c r="Z4851"/>
    </row>
    <row r="4852" spans="2:26" x14ac:dyDescent="0.25">
      <c r="B4852"/>
      <c r="Z4852"/>
    </row>
    <row r="4853" spans="2:26" x14ac:dyDescent="0.25">
      <c r="B4853"/>
      <c r="Z4853"/>
    </row>
    <row r="4854" spans="2:26" x14ac:dyDescent="0.25">
      <c r="B4854"/>
      <c r="Z4854"/>
    </row>
    <row r="4855" spans="2:26" x14ac:dyDescent="0.25">
      <c r="B4855"/>
      <c r="Z4855"/>
    </row>
    <row r="4856" spans="2:26" x14ac:dyDescent="0.25">
      <c r="B4856"/>
      <c r="Z4856"/>
    </row>
    <row r="4857" spans="2:26" x14ac:dyDescent="0.25">
      <c r="B4857"/>
      <c r="Z4857"/>
    </row>
    <row r="4858" spans="2:26" x14ac:dyDescent="0.25">
      <c r="B4858"/>
      <c r="Z4858"/>
    </row>
    <row r="4859" spans="2:26" x14ac:dyDescent="0.25">
      <c r="B4859"/>
      <c r="Z4859"/>
    </row>
    <row r="4860" spans="2:26" x14ac:dyDescent="0.25">
      <c r="B4860"/>
      <c r="Z4860"/>
    </row>
    <row r="4861" spans="2:26" x14ac:dyDescent="0.25">
      <c r="B4861"/>
      <c r="Z4861"/>
    </row>
    <row r="4862" spans="2:26" x14ac:dyDescent="0.25">
      <c r="B4862"/>
      <c r="Z4862"/>
    </row>
    <row r="4863" spans="2:26" x14ac:dyDescent="0.25">
      <c r="B4863"/>
      <c r="Z4863"/>
    </row>
    <row r="4864" spans="2:26" x14ac:dyDescent="0.25">
      <c r="B4864"/>
      <c r="Z4864"/>
    </row>
    <row r="4865" spans="2:26" x14ac:dyDescent="0.25">
      <c r="B4865"/>
      <c r="Z4865"/>
    </row>
    <row r="4866" spans="2:26" x14ac:dyDescent="0.25">
      <c r="B4866"/>
      <c r="Z4866"/>
    </row>
    <row r="4867" spans="2:26" x14ac:dyDescent="0.25">
      <c r="B4867"/>
      <c r="Z4867"/>
    </row>
    <row r="4868" spans="2:26" x14ac:dyDescent="0.25">
      <c r="B4868"/>
      <c r="Z4868"/>
    </row>
    <row r="4869" spans="2:26" x14ac:dyDescent="0.25">
      <c r="B4869"/>
      <c r="Z4869"/>
    </row>
    <row r="4870" spans="2:26" x14ac:dyDescent="0.25">
      <c r="B4870"/>
      <c r="Z4870"/>
    </row>
    <row r="4871" spans="2:26" x14ac:dyDescent="0.25">
      <c r="B4871"/>
      <c r="Z4871"/>
    </row>
    <row r="4872" spans="2:26" x14ac:dyDescent="0.25">
      <c r="B4872"/>
      <c r="Z4872"/>
    </row>
    <row r="4873" spans="2:26" x14ac:dyDescent="0.25">
      <c r="B4873"/>
      <c r="Z4873"/>
    </row>
    <row r="4874" spans="2:26" x14ac:dyDescent="0.25">
      <c r="B4874"/>
      <c r="Z4874"/>
    </row>
    <row r="4875" spans="2:26" x14ac:dyDescent="0.25">
      <c r="B4875"/>
      <c r="Z4875"/>
    </row>
    <row r="4876" spans="2:26" x14ac:dyDescent="0.25">
      <c r="B4876"/>
      <c r="Z4876"/>
    </row>
    <row r="4877" spans="2:26" x14ac:dyDescent="0.25">
      <c r="B4877"/>
      <c r="Z4877"/>
    </row>
    <row r="4878" spans="2:26" x14ac:dyDescent="0.25">
      <c r="B4878"/>
      <c r="Z4878"/>
    </row>
    <row r="4879" spans="2:26" x14ac:dyDescent="0.25">
      <c r="B4879"/>
      <c r="Z4879"/>
    </row>
    <row r="4880" spans="2:26" x14ac:dyDescent="0.25">
      <c r="B4880"/>
      <c r="Z4880"/>
    </row>
    <row r="4881" spans="2:26" x14ac:dyDescent="0.25">
      <c r="B4881"/>
      <c r="Z4881"/>
    </row>
    <row r="4882" spans="2:26" x14ac:dyDescent="0.25">
      <c r="B4882"/>
      <c r="Z4882"/>
    </row>
    <row r="4883" spans="2:26" x14ac:dyDescent="0.25">
      <c r="B4883"/>
      <c r="Z4883"/>
    </row>
    <row r="4884" spans="2:26" x14ac:dyDescent="0.25">
      <c r="B4884"/>
      <c r="Z4884"/>
    </row>
    <row r="4885" spans="2:26" x14ac:dyDescent="0.25">
      <c r="B4885"/>
      <c r="Z4885"/>
    </row>
    <row r="4886" spans="2:26" x14ac:dyDescent="0.25">
      <c r="B4886"/>
      <c r="Z4886"/>
    </row>
    <row r="4887" spans="2:26" x14ac:dyDescent="0.25">
      <c r="B4887"/>
      <c r="Z4887"/>
    </row>
    <row r="4888" spans="2:26" x14ac:dyDescent="0.25">
      <c r="B4888"/>
      <c r="Z4888"/>
    </row>
    <row r="4889" spans="2:26" x14ac:dyDescent="0.25">
      <c r="B4889"/>
      <c r="Z4889"/>
    </row>
    <row r="4890" spans="2:26" x14ac:dyDescent="0.25">
      <c r="B4890"/>
      <c r="Z4890"/>
    </row>
    <row r="4891" spans="2:26" x14ac:dyDescent="0.25">
      <c r="B4891"/>
      <c r="Z4891"/>
    </row>
    <row r="4892" spans="2:26" x14ac:dyDescent="0.25">
      <c r="B4892"/>
      <c r="Z4892"/>
    </row>
    <row r="4893" spans="2:26" x14ac:dyDescent="0.25">
      <c r="B4893"/>
      <c r="Z4893"/>
    </row>
    <row r="4894" spans="2:26" x14ac:dyDescent="0.25">
      <c r="B4894"/>
      <c r="Z4894"/>
    </row>
    <row r="4895" spans="2:26" x14ac:dyDescent="0.25">
      <c r="B4895"/>
      <c r="Z4895"/>
    </row>
    <row r="4896" spans="2:26" x14ac:dyDescent="0.25">
      <c r="B4896"/>
      <c r="Z4896"/>
    </row>
    <row r="4897" spans="2:26" x14ac:dyDescent="0.25">
      <c r="B4897"/>
      <c r="Z4897"/>
    </row>
    <row r="4898" spans="2:26" x14ac:dyDescent="0.25">
      <c r="B4898"/>
      <c r="Z4898"/>
    </row>
    <row r="4899" spans="2:26" x14ac:dyDescent="0.25">
      <c r="B4899"/>
      <c r="Z4899"/>
    </row>
    <row r="4900" spans="2:26" x14ac:dyDescent="0.25">
      <c r="B4900"/>
      <c r="J4900" s="6"/>
      <c r="Z4900"/>
    </row>
    <row r="4901" spans="2:26" x14ac:dyDescent="0.25">
      <c r="B4901"/>
      <c r="Z4901"/>
    </row>
    <row r="4902" spans="2:26" x14ac:dyDescent="0.25">
      <c r="B4902"/>
      <c r="Z4902"/>
    </row>
    <row r="4903" spans="2:26" x14ac:dyDescent="0.25">
      <c r="B4903"/>
      <c r="Z4903"/>
    </row>
    <row r="4904" spans="2:26" x14ac:dyDescent="0.25">
      <c r="B4904"/>
      <c r="Z4904"/>
    </row>
    <row r="4905" spans="2:26" x14ac:dyDescent="0.25">
      <c r="B4905"/>
      <c r="Z4905"/>
    </row>
    <row r="4906" spans="2:26" x14ac:dyDescent="0.25">
      <c r="B4906"/>
      <c r="Z4906"/>
    </row>
    <row r="4907" spans="2:26" x14ac:dyDescent="0.25">
      <c r="B4907"/>
      <c r="Z4907"/>
    </row>
    <row r="4908" spans="2:26" x14ac:dyDescent="0.25">
      <c r="B4908"/>
      <c r="Z4908"/>
    </row>
    <row r="4909" spans="2:26" x14ac:dyDescent="0.25">
      <c r="B4909"/>
      <c r="Z4909"/>
    </row>
    <row r="4910" spans="2:26" x14ac:dyDescent="0.25">
      <c r="B4910"/>
      <c r="Z4910"/>
    </row>
    <row r="4911" spans="2:26" x14ac:dyDescent="0.25">
      <c r="B4911"/>
      <c r="Z4911"/>
    </row>
    <row r="4912" spans="2:26" x14ac:dyDescent="0.25">
      <c r="B4912"/>
      <c r="Z4912"/>
    </row>
    <row r="4913" spans="1:33" x14ac:dyDescent="0.25">
      <c r="B4913"/>
      <c r="Z4913"/>
    </row>
    <row r="4914" spans="1:33" x14ac:dyDescent="0.25">
      <c r="B4914"/>
      <c r="Z4914"/>
    </row>
    <row r="4915" spans="1:33" x14ac:dyDescent="0.25">
      <c r="A4915" s="6"/>
      <c r="B4915" s="6"/>
      <c r="C4915" s="6"/>
      <c r="D4915" s="6"/>
      <c r="E4915" s="6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6"/>
      <c r="V4915" s="6"/>
      <c r="W4915" s="6"/>
      <c r="X4915" s="6"/>
      <c r="Y4915" s="6"/>
      <c r="Z4915" s="6"/>
      <c r="AA4915" s="6"/>
      <c r="AB4915" s="6"/>
      <c r="AC4915" s="6"/>
      <c r="AD4915" s="6"/>
      <c r="AE4915" s="6"/>
      <c r="AF4915" s="6"/>
      <c r="AG4915" s="6"/>
    </row>
    <row r="4916" spans="1:33" x14ac:dyDescent="0.25">
      <c r="B4916"/>
      <c r="Z4916"/>
    </row>
    <row r="4917" spans="1:33" x14ac:dyDescent="0.25">
      <c r="B4917"/>
      <c r="Z4917"/>
    </row>
    <row r="4918" spans="1:33" x14ac:dyDescent="0.25">
      <c r="B4918"/>
      <c r="Z4918"/>
    </row>
    <row r="4919" spans="1:33" x14ac:dyDescent="0.25">
      <c r="B4919"/>
      <c r="Z4919"/>
    </row>
    <row r="4920" spans="1:33" x14ac:dyDescent="0.25">
      <c r="B4920"/>
      <c r="Z4920"/>
    </row>
    <row r="4921" spans="1:33" x14ac:dyDescent="0.25">
      <c r="B4921"/>
      <c r="Z4921"/>
    </row>
    <row r="4922" spans="1:33" x14ac:dyDescent="0.25">
      <c r="B4922"/>
      <c r="Z4922"/>
    </row>
    <row r="4923" spans="1:33" x14ac:dyDescent="0.25">
      <c r="B4923"/>
      <c r="Z4923"/>
    </row>
    <row r="4924" spans="1:33" x14ac:dyDescent="0.25">
      <c r="B4924"/>
      <c r="Z4924"/>
    </row>
    <row r="4925" spans="1:33" x14ac:dyDescent="0.25">
      <c r="B4925"/>
      <c r="Z4925"/>
    </row>
    <row r="4926" spans="1:33" x14ac:dyDescent="0.25">
      <c r="B4926"/>
      <c r="Z4926"/>
    </row>
    <row r="4927" spans="1:33" x14ac:dyDescent="0.25">
      <c r="B4927"/>
      <c r="Z4927"/>
    </row>
    <row r="4928" spans="1:33" x14ac:dyDescent="0.25">
      <c r="B4928"/>
      <c r="Z4928"/>
    </row>
    <row r="4929" spans="2:26" x14ac:dyDescent="0.25">
      <c r="B4929"/>
      <c r="Z4929"/>
    </row>
    <row r="4930" spans="2:26" x14ac:dyDescent="0.25">
      <c r="B4930"/>
      <c r="Z4930"/>
    </row>
    <row r="4931" spans="2:26" x14ac:dyDescent="0.25">
      <c r="B4931"/>
      <c r="Z4931"/>
    </row>
    <row r="4932" spans="2:26" x14ac:dyDescent="0.25">
      <c r="B4932"/>
      <c r="Z4932"/>
    </row>
    <row r="4933" spans="2:26" x14ac:dyDescent="0.25">
      <c r="B4933"/>
      <c r="Z4933"/>
    </row>
    <row r="4934" spans="2:26" x14ac:dyDescent="0.25">
      <c r="B4934"/>
      <c r="Z4934"/>
    </row>
    <row r="4935" spans="2:26" x14ac:dyDescent="0.25">
      <c r="B4935"/>
      <c r="Z4935"/>
    </row>
    <row r="4936" spans="2:26" x14ac:dyDescent="0.25">
      <c r="B4936"/>
      <c r="Z4936"/>
    </row>
    <row r="4937" spans="2:26" x14ac:dyDescent="0.25">
      <c r="B4937"/>
      <c r="Z4937"/>
    </row>
    <row r="4938" spans="2:26" x14ac:dyDescent="0.25">
      <c r="B4938"/>
      <c r="Z4938"/>
    </row>
    <row r="4939" spans="2:26" x14ac:dyDescent="0.25">
      <c r="B4939"/>
      <c r="Z4939"/>
    </row>
    <row r="4940" spans="2:26" x14ac:dyDescent="0.25">
      <c r="B4940"/>
      <c r="Z4940"/>
    </row>
    <row r="4941" spans="2:26" x14ac:dyDescent="0.25">
      <c r="B4941"/>
      <c r="Z4941"/>
    </row>
    <row r="4942" spans="2:26" x14ac:dyDescent="0.25">
      <c r="B4942"/>
      <c r="Z4942"/>
    </row>
    <row r="4943" spans="2:26" x14ac:dyDescent="0.25">
      <c r="B4943"/>
      <c r="Z4943"/>
    </row>
    <row r="4944" spans="2:26" x14ac:dyDescent="0.25">
      <c r="B4944"/>
      <c r="Z4944"/>
    </row>
    <row r="4945" spans="2:26" x14ac:dyDescent="0.25">
      <c r="B4945"/>
      <c r="Z4945"/>
    </row>
    <row r="4946" spans="2:26" x14ac:dyDescent="0.25">
      <c r="B4946"/>
      <c r="Z4946"/>
    </row>
    <row r="4947" spans="2:26" x14ac:dyDescent="0.25">
      <c r="B4947"/>
      <c r="Z4947"/>
    </row>
    <row r="4948" spans="2:26" x14ac:dyDescent="0.25">
      <c r="B4948"/>
      <c r="Z4948"/>
    </row>
    <row r="4949" spans="2:26" x14ac:dyDescent="0.25">
      <c r="B4949"/>
      <c r="Z4949"/>
    </row>
    <row r="4950" spans="2:26" x14ac:dyDescent="0.25">
      <c r="B4950"/>
      <c r="Z4950"/>
    </row>
    <row r="4951" spans="2:26" x14ac:dyDescent="0.25">
      <c r="B4951"/>
      <c r="Z4951"/>
    </row>
    <row r="4952" spans="2:26" x14ac:dyDescent="0.25">
      <c r="B4952"/>
      <c r="Z4952"/>
    </row>
    <row r="4953" spans="2:26" x14ac:dyDescent="0.25">
      <c r="B4953"/>
      <c r="Z4953"/>
    </row>
    <row r="4954" spans="2:26" x14ac:dyDescent="0.25">
      <c r="B4954"/>
      <c r="Z4954"/>
    </row>
    <row r="4955" spans="2:26" x14ac:dyDescent="0.25">
      <c r="B4955"/>
      <c r="Z4955"/>
    </row>
    <row r="4956" spans="2:26" x14ac:dyDescent="0.25">
      <c r="B4956"/>
      <c r="Z4956"/>
    </row>
    <row r="4957" spans="2:26" x14ac:dyDescent="0.25">
      <c r="B4957"/>
      <c r="Z4957"/>
    </row>
    <row r="4958" spans="2:26" x14ac:dyDescent="0.25">
      <c r="B4958"/>
      <c r="Z4958"/>
    </row>
    <row r="4959" spans="2:26" x14ac:dyDescent="0.25">
      <c r="B4959"/>
      <c r="Z4959"/>
    </row>
    <row r="4960" spans="2:26" x14ac:dyDescent="0.25">
      <c r="B4960"/>
      <c r="Z4960"/>
    </row>
    <row r="4961" spans="2:26" x14ac:dyDescent="0.25">
      <c r="B4961"/>
      <c r="Z4961"/>
    </row>
    <row r="4962" spans="2:26" x14ac:dyDescent="0.25">
      <c r="B4962"/>
      <c r="Z4962"/>
    </row>
    <row r="4963" spans="2:26" x14ac:dyDescent="0.25">
      <c r="B4963"/>
      <c r="Z4963"/>
    </row>
    <row r="4964" spans="2:26" x14ac:dyDescent="0.25">
      <c r="B4964"/>
      <c r="Z4964"/>
    </row>
    <row r="4965" spans="2:26" x14ac:dyDescent="0.25">
      <c r="B4965"/>
      <c r="Z4965"/>
    </row>
    <row r="4966" spans="2:26" x14ac:dyDescent="0.25">
      <c r="B4966"/>
      <c r="Z4966"/>
    </row>
    <row r="4967" spans="2:26" x14ac:dyDescent="0.25">
      <c r="B4967"/>
      <c r="Z4967"/>
    </row>
    <row r="4968" spans="2:26" x14ac:dyDescent="0.25">
      <c r="B4968"/>
      <c r="Z4968"/>
    </row>
    <row r="4969" spans="2:26" x14ac:dyDescent="0.25">
      <c r="B4969"/>
      <c r="Z4969"/>
    </row>
    <row r="4970" spans="2:26" x14ac:dyDescent="0.25">
      <c r="B4970"/>
      <c r="Z4970"/>
    </row>
    <row r="4971" spans="2:26" x14ac:dyDescent="0.25">
      <c r="B4971"/>
      <c r="Z4971"/>
    </row>
    <row r="4972" spans="2:26" x14ac:dyDescent="0.25">
      <c r="B4972"/>
      <c r="Z4972"/>
    </row>
    <row r="4973" spans="2:26" x14ac:dyDescent="0.25">
      <c r="B4973"/>
      <c r="Z4973"/>
    </row>
    <row r="4974" spans="2:26" x14ac:dyDescent="0.25">
      <c r="B4974"/>
      <c r="Z4974"/>
    </row>
    <row r="4975" spans="2:26" x14ac:dyDescent="0.25">
      <c r="B4975"/>
      <c r="Z4975"/>
    </row>
    <row r="4976" spans="2:26" x14ac:dyDescent="0.25">
      <c r="B4976"/>
      <c r="Z4976"/>
    </row>
    <row r="4977" spans="2:26" x14ac:dyDescent="0.25">
      <c r="B4977"/>
      <c r="Z4977"/>
    </row>
    <row r="4978" spans="2:26" x14ac:dyDescent="0.25">
      <c r="B4978"/>
      <c r="Z4978"/>
    </row>
    <row r="4979" spans="2:26" x14ac:dyDescent="0.25">
      <c r="B4979"/>
      <c r="Z4979"/>
    </row>
    <row r="4980" spans="2:26" x14ac:dyDescent="0.25">
      <c r="B4980"/>
      <c r="Z4980"/>
    </row>
    <row r="4981" spans="2:26" x14ac:dyDescent="0.25">
      <c r="B4981"/>
      <c r="Z4981"/>
    </row>
    <row r="4982" spans="2:26" x14ac:dyDescent="0.25">
      <c r="B4982"/>
      <c r="Z4982"/>
    </row>
    <row r="4983" spans="2:26" x14ac:dyDescent="0.25">
      <c r="B4983"/>
      <c r="Z4983"/>
    </row>
    <row r="4984" spans="2:26" x14ac:dyDescent="0.25">
      <c r="B4984"/>
      <c r="Z4984"/>
    </row>
    <row r="4985" spans="2:26" x14ac:dyDescent="0.25">
      <c r="B4985"/>
      <c r="Z4985"/>
    </row>
    <row r="4986" spans="2:26" x14ac:dyDescent="0.25">
      <c r="B4986"/>
      <c r="Z4986"/>
    </row>
    <row r="4987" spans="2:26" x14ac:dyDescent="0.25">
      <c r="B4987"/>
      <c r="Z4987"/>
    </row>
    <row r="4988" spans="2:26" x14ac:dyDescent="0.25">
      <c r="B4988"/>
      <c r="Z4988"/>
    </row>
    <row r="4989" spans="2:26" x14ac:dyDescent="0.25">
      <c r="B4989"/>
      <c r="Z4989"/>
    </row>
    <row r="4990" spans="2:26" x14ac:dyDescent="0.25">
      <c r="B4990"/>
      <c r="Z4990"/>
    </row>
    <row r="4991" spans="2:26" x14ac:dyDescent="0.25">
      <c r="B4991"/>
      <c r="Z4991"/>
    </row>
    <row r="4992" spans="2:26" x14ac:dyDescent="0.25">
      <c r="B4992"/>
      <c r="Z4992"/>
    </row>
    <row r="4993" spans="2:26" x14ac:dyDescent="0.25">
      <c r="B4993"/>
      <c r="Z4993"/>
    </row>
    <row r="4994" spans="2:26" x14ac:dyDescent="0.25">
      <c r="B4994"/>
      <c r="Z4994"/>
    </row>
    <row r="4995" spans="2:26" x14ac:dyDescent="0.25">
      <c r="B4995"/>
      <c r="Z4995"/>
    </row>
    <row r="4996" spans="2:26" x14ac:dyDescent="0.25">
      <c r="B4996"/>
      <c r="Z4996"/>
    </row>
    <row r="4997" spans="2:26" x14ac:dyDescent="0.25">
      <c r="B4997"/>
      <c r="Z4997"/>
    </row>
    <row r="4998" spans="2:26" x14ac:dyDescent="0.25">
      <c r="B4998"/>
      <c r="Z4998"/>
    </row>
    <row r="4999" spans="2:26" x14ac:dyDescent="0.25">
      <c r="B4999"/>
      <c r="K4999" s="6"/>
      <c r="Z4999"/>
    </row>
    <row r="5000" spans="2:26" x14ac:dyDescent="0.25">
      <c r="B5000"/>
      <c r="Z5000"/>
    </row>
    <row r="5001" spans="2:26" x14ac:dyDescent="0.25">
      <c r="B5001"/>
      <c r="Z5001"/>
    </row>
    <row r="5002" spans="2:26" x14ac:dyDescent="0.25">
      <c r="B5002"/>
      <c r="Z5002"/>
    </row>
    <row r="5003" spans="2:26" x14ac:dyDescent="0.25">
      <c r="B5003"/>
      <c r="Z5003"/>
    </row>
    <row r="5004" spans="2:26" x14ac:dyDescent="0.25">
      <c r="B5004"/>
      <c r="Z5004"/>
    </row>
    <row r="5005" spans="2:26" x14ac:dyDescent="0.25">
      <c r="B5005"/>
      <c r="Z5005"/>
    </row>
    <row r="5006" spans="2:26" x14ac:dyDescent="0.25">
      <c r="B5006"/>
      <c r="Z5006"/>
    </row>
    <row r="5007" spans="2:26" x14ac:dyDescent="0.25">
      <c r="B5007"/>
      <c r="Z5007"/>
    </row>
    <row r="5008" spans="2:26" x14ac:dyDescent="0.25">
      <c r="B5008"/>
      <c r="Z5008"/>
    </row>
    <row r="5009" spans="1:33" x14ac:dyDescent="0.25">
      <c r="B5009"/>
      <c r="Z5009"/>
    </row>
    <row r="5010" spans="1:33" x14ac:dyDescent="0.25">
      <c r="B5010"/>
      <c r="Z5010"/>
    </row>
    <row r="5011" spans="1:33" x14ac:dyDescent="0.25">
      <c r="B5011"/>
      <c r="Z5011"/>
    </row>
    <row r="5012" spans="1:33" x14ac:dyDescent="0.25">
      <c r="B5012"/>
      <c r="Z5012"/>
    </row>
    <row r="5013" spans="1:33" x14ac:dyDescent="0.25">
      <c r="B5013"/>
      <c r="Z5013"/>
    </row>
    <row r="5014" spans="1:33" x14ac:dyDescent="0.25">
      <c r="B5014"/>
      <c r="Z5014"/>
    </row>
    <row r="5015" spans="1:33" x14ac:dyDescent="0.25">
      <c r="B5015"/>
      <c r="Z5015"/>
    </row>
    <row r="5016" spans="1:33" x14ac:dyDescent="0.25">
      <c r="B5016"/>
      <c r="Z5016"/>
    </row>
    <row r="5017" spans="1:33" x14ac:dyDescent="0.25">
      <c r="B5017"/>
      <c r="Z5017"/>
    </row>
    <row r="5018" spans="1:33" x14ac:dyDescent="0.25">
      <c r="B5018"/>
      <c r="Z5018"/>
    </row>
    <row r="5019" spans="1:33" x14ac:dyDescent="0.25">
      <c r="A5019" s="6"/>
      <c r="B5019" s="6"/>
      <c r="C5019" s="6"/>
      <c r="D5019" s="6"/>
      <c r="E5019" s="6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  <c r="T5019" s="6"/>
      <c r="U5019" s="6"/>
      <c r="V5019" s="6"/>
      <c r="W5019" s="6"/>
      <c r="X5019" s="6"/>
      <c r="Y5019" s="6"/>
      <c r="Z5019" s="6"/>
      <c r="AA5019" s="6"/>
      <c r="AB5019" s="6"/>
      <c r="AC5019" s="6"/>
      <c r="AD5019" s="6"/>
      <c r="AE5019" s="6"/>
      <c r="AF5019" s="6"/>
      <c r="AG5019" s="6"/>
    </row>
    <row r="5020" spans="1:33" x14ac:dyDescent="0.25">
      <c r="B5020"/>
      <c r="Z5020"/>
    </row>
    <row r="5021" spans="1:33" x14ac:dyDescent="0.25">
      <c r="B5021"/>
      <c r="Z5021"/>
    </row>
    <row r="5022" spans="1:33" x14ac:dyDescent="0.25">
      <c r="B5022"/>
      <c r="Z5022"/>
    </row>
    <row r="5023" spans="1:33" x14ac:dyDescent="0.25">
      <c r="B5023"/>
      <c r="Z5023"/>
    </row>
    <row r="5024" spans="1:33" x14ac:dyDescent="0.25">
      <c r="B5024"/>
      <c r="Z5024"/>
    </row>
    <row r="5025" spans="2:26" x14ac:dyDescent="0.25">
      <c r="B5025"/>
      <c r="Z5025"/>
    </row>
    <row r="5026" spans="2:26" x14ac:dyDescent="0.25">
      <c r="B5026"/>
      <c r="Z5026"/>
    </row>
    <row r="5027" spans="2:26" x14ac:dyDescent="0.25">
      <c r="B5027"/>
      <c r="Z5027"/>
    </row>
    <row r="5028" spans="2:26" x14ac:dyDescent="0.25">
      <c r="B5028"/>
      <c r="Z5028"/>
    </row>
    <row r="5029" spans="2:26" x14ac:dyDescent="0.25">
      <c r="B5029"/>
      <c r="Z5029"/>
    </row>
    <row r="5030" spans="2:26" x14ac:dyDescent="0.25">
      <c r="B5030"/>
      <c r="Z5030"/>
    </row>
    <row r="5031" spans="2:26" x14ac:dyDescent="0.25">
      <c r="B5031"/>
      <c r="Z5031"/>
    </row>
    <row r="5032" spans="2:26" x14ac:dyDescent="0.25">
      <c r="B5032"/>
      <c r="Z5032"/>
    </row>
    <row r="5033" spans="2:26" x14ac:dyDescent="0.25">
      <c r="B5033"/>
      <c r="Z5033"/>
    </row>
    <row r="5034" spans="2:26" x14ac:dyDescent="0.25">
      <c r="B5034"/>
      <c r="Z5034"/>
    </row>
    <row r="5035" spans="2:26" x14ac:dyDescent="0.25">
      <c r="B5035"/>
      <c r="Z5035"/>
    </row>
    <row r="5036" spans="2:26" x14ac:dyDescent="0.25">
      <c r="B5036"/>
      <c r="Z5036"/>
    </row>
    <row r="5037" spans="2:26" x14ac:dyDescent="0.25">
      <c r="B5037"/>
      <c r="Z5037"/>
    </row>
    <row r="5038" spans="2:26" x14ac:dyDescent="0.25">
      <c r="B5038"/>
      <c r="Z5038"/>
    </row>
    <row r="5039" spans="2:26" x14ac:dyDescent="0.25">
      <c r="B5039"/>
      <c r="Z5039"/>
    </row>
    <row r="5040" spans="2:26" x14ac:dyDescent="0.25">
      <c r="B5040"/>
      <c r="Z5040"/>
    </row>
    <row r="5041" spans="2:26" x14ac:dyDescent="0.25">
      <c r="B5041"/>
      <c r="Z5041"/>
    </row>
    <row r="5042" spans="2:26" x14ac:dyDescent="0.25">
      <c r="B5042"/>
      <c r="Z5042"/>
    </row>
    <row r="5043" spans="2:26" x14ac:dyDescent="0.25">
      <c r="B5043"/>
      <c r="Z5043"/>
    </row>
    <row r="5044" spans="2:26" x14ac:dyDescent="0.25">
      <c r="B5044"/>
      <c r="Z5044"/>
    </row>
    <row r="5045" spans="2:26" x14ac:dyDescent="0.25">
      <c r="B5045"/>
      <c r="Z5045"/>
    </row>
    <row r="5046" spans="2:26" x14ac:dyDescent="0.25">
      <c r="B5046"/>
      <c r="Z5046"/>
    </row>
    <row r="5047" spans="2:26" x14ac:dyDescent="0.25">
      <c r="B5047"/>
      <c r="Z5047"/>
    </row>
    <row r="5048" spans="2:26" x14ac:dyDescent="0.25">
      <c r="B5048"/>
      <c r="Z5048"/>
    </row>
    <row r="5049" spans="2:26" x14ac:dyDescent="0.25">
      <c r="B5049"/>
      <c r="Z5049"/>
    </row>
    <row r="5050" spans="2:26" x14ac:dyDescent="0.25">
      <c r="B5050"/>
      <c r="Z5050"/>
    </row>
    <row r="5051" spans="2:26" x14ac:dyDescent="0.25">
      <c r="B5051"/>
      <c r="Z5051"/>
    </row>
    <row r="5052" spans="2:26" x14ac:dyDescent="0.25">
      <c r="B5052"/>
      <c r="Z5052"/>
    </row>
    <row r="5053" spans="2:26" x14ac:dyDescent="0.25">
      <c r="B5053"/>
      <c r="Z5053"/>
    </row>
    <row r="5054" spans="2:26" x14ac:dyDescent="0.25">
      <c r="B5054"/>
      <c r="Z5054"/>
    </row>
    <row r="5055" spans="2:26" x14ac:dyDescent="0.25">
      <c r="B5055"/>
      <c r="Z5055"/>
    </row>
    <row r="5056" spans="2:26" x14ac:dyDescent="0.25">
      <c r="B5056"/>
      <c r="Z5056"/>
    </row>
    <row r="5057" spans="2:26" x14ac:dyDescent="0.25">
      <c r="B5057"/>
      <c r="Z5057"/>
    </row>
    <row r="5058" spans="2:26" x14ac:dyDescent="0.25">
      <c r="B5058"/>
      <c r="Z5058"/>
    </row>
    <row r="5059" spans="2:26" x14ac:dyDescent="0.25">
      <c r="B5059"/>
      <c r="Z5059"/>
    </row>
    <row r="5060" spans="2:26" x14ac:dyDescent="0.25">
      <c r="B5060"/>
      <c r="Z5060"/>
    </row>
    <row r="5061" spans="2:26" x14ac:dyDescent="0.25">
      <c r="B5061"/>
      <c r="Z5061"/>
    </row>
    <row r="5062" spans="2:26" x14ac:dyDescent="0.25">
      <c r="B5062"/>
      <c r="Z5062"/>
    </row>
    <row r="5063" spans="2:26" x14ac:dyDescent="0.25">
      <c r="B5063"/>
      <c r="Z5063"/>
    </row>
    <row r="5064" spans="2:26" x14ac:dyDescent="0.25">
      <c r="B5064"/>
      <c r="Z5064"/>
    </row>
    <row r="5065" spans="2:26" x14ac:dyDescent="0.25">
      <c r="B5065"/>
      <c r="Z5065"/>
    </row>
    <row r="5066" spans="2:26" x14ac:dyDescent="0.25">
      <c r="B5066"/>
      <c r="Z5066"/>
    </row>
    <row r="5067" spans="2:26" x14ac:dyDescent="0.25">
      <c r="B5067"/>
      <c r="Z5067"/>
    </row>
    <row r="5068" spans="2:26" x14ac:dyDescent="0.25">
      <c r="B5068"/>
      <c r="Z5068"/>
    </row>
    <row r="5069" spans="2:26" x14ac:dyDescent="0.25">
      <c r="B5069"/>
      <c r="Z5069"/>
    </row>
    <row r="5070" spans="2:26" x14ac:dyDescent="0.25">
      <c r="B5070"/>
      <c r="Z5070"/>
    </row>
    <row r="5071" spans="2:26" x14ac:dyDescent="0.25">
      <c r="B5071"/>
      <c r="Z5071"/>
    </row>
    <row r="5072" spans="2:26" x14ac:dyDescent="0.25">
      <c r="B5072"/>
      <c r="Z5072"/>
    </row>
    <row r="5073" spans="2:26" x14ac:dyDescent="0.25">
      <c r="B5073"/>
      <c r="Z5073"/>
    </row>
    <row r="5074" spans="2:26" x14ac:dyDescent="0.25">
      <c r="B5074"/>
      <c r="Z5074"/>
    </row>
    <row r="5075" spans="2:26" x14ac:dyDescent="0.25">
      <c r="B5075"/>
      <c r="Z5075"/>
    </row>
    <row r="5076" spans="2:26" x14ac:dyDescent="0.25">
      <c r="B5076"/>
      <c r="Z5076"/>
    </row>
    <row r="5077" spans="2:26" x14ac:dyDescent="0.25">
      <c r="B5077"/>
      <c r="Z5077"/>
    </row>
    <row r="5078" spans="2:26" x14ac:dyDescent="0.25">
      <c r="B5078"/>
      <c r="Z5078"/>
    </row>
    <row r="5079" spans="2:26" x14ac:dyDescent="0.25">
      <c r="B5079"/>
      <c r="Z5079"/>
    </row>
    <row r="5080" spans="2:26" x14ac:dyDescent="0.25">
      <c r="B5080"/>
      <c r="Z5080"/>
    </row>
    <row r="5081" spans="2:26" x14ac:dyDescent="0.25">
      <c r="B5081"/>
      <c r="Z5081"/>
    </row>
    <row r="5082" spans="2:26" x14ac:dyDescent="0.25">
      <c r="B5082"/>
      <c r="Z5082"/>
    </row>
    <row r="5083" spans="2:26" x14ac:dyDescent="0.25">
      <c r="B5083"/>
      <c r="Z5083"/>
    </row>
    <row r="5084" spans="2:26" x14ac:dyDescent="0.25">
      <c r="B5084"/>
      <c r="Z5084"/>
    </row>
    <row r="5085" spans="2:26" x14ac:dyDescent="0.25">
      <c r="B5085"/>
      <c r="Z5085"/>
    </row>
    <row r="5086" spans="2:26" x14ac:dyDescent="0.25">
      <c r="B5086"/>
      <c r="Z5086"/>
    </row>
    <row r="5087" spans="2:26" x14ac:dyDescent="0.25">
      <c r="B5087"/>
      <c r="Z5087"/>
    </row>
    <row r="5088" spans="2:26" x14ac:dyDescent="0.25">
      <c r="B5088"/>
      <c r="Z5088"/>
    </row>
    <row r="5089" spans="2:26" x14ac:dyDescent="0.25">
      <c r="B5089"/>
      <c r="Z5089"/>
    </row>
    <row r="5090" spans="2:26" x14ac:dyDescent="0.25">
      <c r="B5090"/>
      <c r="Z5090"/>
    </row>
    <row r="5091" spans="2:26" x14ac:dyDescent="0.25">
      <c r="B5091"/>
      <c r="Z5091"/>
    </row>
    <row r="5092" spans="2:26" x14ac:dyDescent="0.25">
      <c r="B5092"/>
      <c r="Z5092"/>
    </row>
    <row r="5093" spans="2:26" x14ac:dyDescent="0.25">
      <c r="B5093"/>
      <c r="Z5093"/>
    </row>
    <row r="5094" spans="2:26" x14ac:dyDescent="0.25">
      <c r="B5094"/>
      <c r="Z5094"/>
    </row>
    <row r="5095" spans="2:26" x14ac:dyDescent="0.25">
      <c r="B5095"/>
      <c r="Z5095"/>
    </row>
    <row r="5096" spans="2:26" x14ac:dyDescent="0.25">
      <c r="B5096"/>
      <c r="Z5096"/>
    </row>
    <row r="5097" spans="2:26" x14ac:dyDescent="0.25">
      <c r="B5097"/>
      <c r="Z5097"/>
    </row>
    <row r="5098" spans="2:26" x14ac:dyDescent="0.25">
      <c r="B5098"/>
      <c r="Z5098"/>
    </row>
    <row r="5099" spans="2:26" x14ac:dyDescent="0.25">
      <c r="B5099"/>
      <c r="Z5099"/>
    </row>
    <row r="5100" spans="2:26" x14ac:dyDescent="0.25">
      <c r="B5100"/>
      <c r="Z5100"/>
    </row>
    <row r="5101" spans="2:26" x14ac:dyDescent="0.25">
      <c r="B5101"/>
      <c r="Z5101"/>
    </row>
    <row r="5102" spans="2:26" x14ac:dyDescent="0.25">
      <c r="B5102"/>
      <c r="Z5102"/>
    </row>
    <row r="5103" spans="2:26" x14ac:dyDescent="0.25">
      <c r="B5103"/>
      <c r="Z5103"/>
    </row>
    <row r="5104" spans="2:26" x14ac:dyDescent="0.25">
      <c r="B5104"/>
      <c r="Z5104"/>
    </row>
    <row r="5105" spans="2:26" x14ac:dyDescent="0.25">
      <c r="B5105"/>
      <c r="Z5105"/>
    </row>
    <row r="5106" spans="2:26" x14ac:dyDescent="0.25">
      <c r="B5106"/>
      <c r="Z5106"/>
    </row>
    <row r="5107" spans="2:26" x14ac:dyDescent="0.25">
      <c r="B5107"/>
      <c r="Z5107"/>
    </row>
    <row r="5108" spans="2:26" x14ac:dyDescent="0.25">
      <c r="B5108"/>
      <c r="Z5108"/>
    </row>
    <row r="5109" spans="2:26" x14ac:dyDescent="0.25">
      <c r="B5109"/>
      <c r="Z5109"/>
    </row>
    <row r="5110" spans="2:26" x14ac:dyDescent="0.25">
      <c r="B5110"/>
      <c r="Z5110"/>
    </row>
    <row r="5111" spans="2:26" x14ac:dyDescent="0.25">
      <c r="B5111"/>
      <c r="K5111" s="6"/>
      <c r="Z5111"/>
    </row>
    <row r="5112" spans="2:26" x14ac:dyDescent="0.25">
      <c r="B5112"/>
      <c r="Z5112"/>
    </row>
    <row r="5113" spans="2:26" x14ac:dyDescent="0.25">
      <c r="B5113"/>
      <c r="Z5113"/>
    </row>
    <row r="5114" spans="2:26" x14ac:dyDescent="0.25">
      <c r="B5114"/>
      <c r="Z5114"/>
    </row>
    <row r="5115" spans="2:26" x14ac:dyDescent="0.25">
      <c r="B5115"/>
      <c r="Z5115"/>
    </row>
    <row r="5116" spans="2:26" x14ac:dyDescent="0.25">
      <c r="B5116"/>
      <c r="Z5116"/>
    </row>
    <row r="5117" spans="2:26" x14ac:dyDescent="0.25">
      <c r="B5117"/>
      <c r="Z5117"/>
    </row>
    <row r="5118" spans="2:26" x14ac:dyDescent="0.25">
      <c r="B5118"/>
      <c r="Z5118"/>
    </row>
    <row r="5119" spans="2:26" x14ac:dyDescent="0.25">
      <c r="B5119"/>
      <c r="Z5119"/>
    </row>
    <row r="5120" spans="2:26" x14ac:dyDescent="0.25">
      <c r="B5120"/>
      <c r="Z5120"/>
    </row>
    <row r="5121" spans="1:33" x14ac:dyDescent="0.25">
      <c r="B5121"/>
      <c r="Z5121"/>
    </row>
    <row r="5122" spans="1:33" x14ac:dyDescent="0.25">
      <c r="B5122"/>
      <c r="Z5122"/>
    </row>
    <row r="5123" spans="1:33" x14ac:dyDescent="0.25">
      <c r="A5123" s="6"/>
      <c r="B5123" s="6"/>
      <c r="C5123" s="6"/>
      <c r="D5123" s="6"/>
      <c r="E5123" s="6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  <c r="T5123" s="6"/>
      <c r="U5123" s="6"/>
      <c r="V5123" s="6"/>
      <c r="W5123" s="6"/>
      <c r="X5123" s="6"/>
      <c r="Y5123" s="6"/>
      <c r="Z5123" s="6"/>
      <c r="AA5123" s="6"/>
      <c r="AB5123" s="6"/>
      <c r="AC5123" s="6"/>
      <c r="AD5123" s="6"/>
      <c r="AE5123" s="6"/>
      <c r="AF5123" s="6"/>
      <c r="AG5123" s="6"/>
    </row>
    <row r="5124" spans="1:33" x14ac:dyDescent="0.25">
      <c r="B5124"/>
      <c r="Z5124"/>
    </row>
    <row r="5125" spans="1:33" x14ac:dyDescent="0.25">
      <c r="B5125"/>
      <c r="Z5125"/>
    </row>
    <row r="5126" spans="1:33" x14ac:dyDescent="0.25">
      <c r="B5126"/>
      <c r="Z5126"/>
    </row>
    <row r="5127" spans="1:33" x14ac:dyDescent="0.25">
      <c r="B5127"/>
      <c r="Z5127"/>
    </row>
    <row r="5128" spans="1:33" x14ac:dyDescent="0.25">
      <c r="B5128"/>
      <c r="Z5128"/>
    </row>
    <row r="5129" spans="1:33" x14ac:dyDescent="0.25">
      <c r="B5129"/>
      <c r="Z5129"/>
    </row>
    <row r="5130" spans="1:33" x14ac:dyDescent="0.25">
      <c r="B5130"/>
      <c r="Z5130"/>
    </row>
    <row r="5131" spans="1:33" x14ac:dyDescent="0.25">
      <c r="B5131"/>
      <c r="Z5131"/>
    </row>
    <row r="5132" spans="1:33" x14ac:dyDescent="0.25">
      <c r="B5132"/>
      <c r="Z5132"/>
    </row>
    <row r="5133" spans="1:33" x14ac:dyDescent="0.25">
      <c r="B5133"/>
      <c r="Z5133"/>
    </row>
    <row r="5134" spans="1:33" x14ac:dyDescent="0.25">
      <c r="B5134"/>
      <c r="Z5134"/>
    </row>
    <row r="5135" spans="1:33" x14ac:dyDescent="0.25">
      <c r="B5135"/>
      <c r="Z5135"/>
    </row>
    <row r="5136" spans="1:33" x14ac:dyDescent="0.25">
      <c r="B5136"/>
      <c r="Z5136"/>
    </row>
    <row r="5137" spans="2:26" x14ac:dyDescent="0.25">
      <c r="B5137"/>
      <c r="Z5137"/>
    </row>
    <row r="5138" spans="2:26" x14ac:dyDescent="0.25">
      <c r="B5138"/>
      <c r="Z5138"/>
    </row>
    <row r="5139" spans="2:26" x14ac:dyDescent="0.25">
      <c r="B5139"/>
      <c r="Z5139"/>
    </row>
    <row r="5140" spans="2:26" x14ac:dyDescent="0.25">
      <c r="B5140"/>
      <c r="Z5140"/>
    </row>
    <row r="5141" spans="2:26" x14ac:dyDescent="0.25">
      <c r="B5141"/>
      <c r="Z5141"/>
    </row>
    <row r="5142" spans="2:26" x14ac:dyDescent="0.25">
      <c r="B5142"/>
      <c r="Z5142"/>
    </row>
    <row r="5143" spans="2:26" x14ac:dyDescent="0.25">
      <c r="B5143"/>
      <c r="Z5143"/>
    </row>
    <row r="5144" spans="2:26" x14ac:dyDescent="0.25">
      <c r="B5144"/>
      <c r="Z5144"/>
    </row>
    <row r="5145" spans="2:26" x14ac:dyDescent="0.25">
      <c r="B5145"/>
      <c r="Z5145"/>
    </row>
    <row r="5146" spans="2:26" x14ac:dyDescent="0.25">
      <c r="B5146"/>
      <c r="Z5146"/>
    </row>
    <row r="5147" spans="2:26" x14ac:dyDescent="0.25">
      <c r="B5147"/>
      <c r="Z5147"/>
    </row>
    <row r="5148" spans="2:26" x14ac:dyDescent="0.25">
      <c r="B5148"/>
      <c r="Z5148"/>
    </row>
    <row r="5149" spans="2:26" x14ac:dyDescent="0.25">
      <c r="B5149"/>
      <c r="Z5149"/>
    </row>
    <row r="5150" spans="2:26" x14ac:dyDescent="0.25">
      <c r="B5150"/>
      <c r="Z5150"/>
    </row>
    <row r="5151" spans="2:26" x14ac:dyDescent="0.25">
      <c r="B5151"/>
      <c r="Z5151"/>
    </row>
    <row r="5152" spans="2:26" x14ac:dyDescent="0.25">
      <c r="B5152"/>
      <c r="Z5152"/>
    </row>
    <row r="5153" spans="2:26" x14ac:dyDescent="0.25">
      <c r="B5153"/>
      <c r="Z5153"/>
    </row>
    <row r="5154" spans="2:26" x14ac:dyDescent="0.25">
      <c r="B5154"/>
      <c r="Z5154"/>
    </row>
    <row r="5155" spans="2:26" x14ac:dyDescent="0.25">
      <c r="B5155"/>
      <c r="Z5155"/>
    </row>
    <row r="5156" spans="2:26" x14ac:dyDescent="0.25">
      <c r="B5156"/>
      <c r="Z5156"/>
    </row>
    <row r="5157" spans="2:26" x14ac:dyDescent="0.25">
      <c r="B5157"/>
      <c r="Z5157"/>
    </row>
    <row r="5158" spans="2:26" x14ac:dyDescent="0.25">
      <c r="B5158"/>
      <c r="Z5158"/>
    </row>
    <row r="5159" spans="2:26" x14ac:dyDescent="0.25">
      <c r="B5159"/>
      <c r="Z5159"/>
    </row>
    <row r="5160" spans="2:26" x14ac:dyDescent="0.25">
      <c r="B5160"/>
      <c r="Z5160"/>
    </row>
    <row r="5161" spans="2:26" x14ac:dyDescent="0.25">
      <c r="B5161"/>
      <c r="Z5161"/>
    </row>
    <row r="5162" spans="2:26" x14ac:dyDescent="0.25">
      <c r="B5162"/>
      <c r="Z5162"/>
    </row>
    <row r="5163" spans="2:26" x14ac:dyDescent="0.25">
      <c r="B5163"/>
      <c r="Z5163"/>
    </row>
    <row r="5164" spans="2:26" x14ac:dyDescent="0.25">
      <c r="B5164"/>
      <c r="Z5164"/>
    </row>
    <row r="5165" spans="2:26" x14ac:dyDescent="0.25">
      <c r="B5165"/>
      <c r="Z5165"/>
    </row>
    <row r="5166" spans="2:26" x14ac:dyDescent="0.25">
      <c r="B5166"/>
      <c r="Z5166"/>
    </row>
    <row r="5167" spans="2:26" x14ac:dyDescent="0.25">
      <c r="B5167"/>
      <c r="Z5167"/>
    </row>
    <row r="5168" spans="2:26" x14ac:dyDescent="0.25">
      <c r="B5168"/>
      <c r="Z5168"/>
    </row>
    <row r="5169" spans="2:26" x14ac:dyDescent="0.25">
      <c r="B5169"/>
      <c r="Z5169"/>
    </row>
    <row r="5170" spans="2:26" x14ac:dyDescent="0.25">
      <c r="B5170"/>
      <c r="Z5170"/>
    </row>
    <row r="5171" spans="2:26" x14ac:dyDescent="0.25">
      <c r="B5171"/>
      <c r="Z5171"/>
    </row>
    <row r="5172" spans="2:26" x14ac:dyDescent="0.25">
      <c r="B5172"/>
      <c r="Z5172"/>
    </row>
    <row r="5173" spans="2:26" x14ac:dyDescent="0.25">
      <c r="B5173"/>
      <c r="Z5173"/>
    </row>
    <row r="5174" spans="2:26" x14ac:dyDescent="0.25">
      <c r="B5174"/>
      <c r="Z5174"/>
    </row>
    <row r="5175" spans="2:26" x14ac:dyDescent="0.25">
      <c r="B5175"/>
      <c r="Z5175"/>
    </row>
    <row r="5176" spans="2:26" x14ac:dyDescent="0.25">
      <c r="B5176"/>
      <c r="Z5176"/>
    </row>
    <row r="5177" spans="2:26" x14ac:dyDescent="0.25">
      <c r="B5177"/>
      <c r="Z5177"/>
    </row>
    <row r="5178" spans="2:26" x14ac:dyDescent="0.25">
      <c r="B5178"/>
      <c r="Z5178"/>
    </row>
    <row r="5179" spans="2:26" x14ac:dyDescent="0.25">
      <c r="B5179"/>
      <c r="Z5179"/>
    </row>
    <row r="5180" spans="2:26" x14ac:dyDescent="0.25">
      <c r="B5180"/>
      <c r="Z5180"/>
    </row>
    <row r="5181" spans="2:26" x14ac:dyDescent="0.25">
      <c r="B5181"/>
      <c r="Z5181"/>
    </row>
    <row r="5182" spans="2:26" x14ac:dyDescent="0.25">
      <c r="B5182"/>
      <c r="Z5182"/>
    </row>
    <row r="5183" spans="2:26" x14ac:dyDescent="0.25">
      <c r="B5183"/>
      <c r="Z5183"/>
    </row>
    <row r="5184" spans="2:26" x14ac:dyDescent="0.25">
      <c r="B5184"/>
      <c r="Z5184"/>
    </row>
    <row r="5185" spans="2:26" x14ac:dyDescent="0.25">
      <c r="B5185"/>
      <c r="Z5185"/>
    </row>
    <row r="5186" spans="2:26" x14ac:dyDescent="0.25">
      <c r="B5186"/>
      <c r="Z5186"/>
    </row>
    <row r="5187" spans="2:26" x14ac:dyDescent="0.25">
      <c r="B5187"/>
      <c r="Z5187"/>
    </row>
    <row r="5188" spans="2:26" x14ac:dyDescent="0.25">
      <c r="B5188"/>
      <c r="Z5188"/>
    </row>
    <row r="5189" spans="2:26" x14ac:dyDescent="0.25">
      <c r="B5189"/>
      <c r="Z5189"/>
    </row>
    <row r="5190" spans="2:26" x14ac:dyDescent="0.25">
      <c r="B5190"/>
      <c r="Z5190"/>
    </row>
    <row r="5191" spans="2:26" x14ac:dyDescent="0.25">
      <c r="B5191"/>
      <c r="Z5191"/>
    </row>
    <row r="5192" spans="2:26" x14ac:dyDescent="0.25">
      <c r="B5192"/>
      <c r="Z5192"/>
    </row>
    <row r="5193" spans="2:26" x14ac:dyDescent="0.25">
      <c r="B5193"/>
      <c r="Z5193"/>
    </row>
    <row r="5194" spans="2:26" x14ac:dyDescent="0.25">
      <c r="B5194"/>
      <c r="Z5194"/>
    </row>
    <row r="5195" spans="2:26" x14ac:dyDescent="0.25">
      <c r="B5195"/>
      <c r="Z5195"/>
    </row>
    <row r="5196" spans="2:26" x14ac:dyDescent="0.25">
      <c r="B5196"/>
      <c r="Z5196"/>
    </row>
    <row r="5197" spans="2:26" x14ac:dyDescent="0.25">
      <c r="B5197"/>
      <c r="Z5197"/>
    </row>
    <row r="5198" spans="2:26" x14ac:dyDescent="0.25">
      <c r="B5198"/>
      <c r="Z5198"/>
    </row>
    <row r="5199" spans="2:26" x14ac:dyDescent="0.25">
      <c r="B5199"/>
      <c r="Z5199"/>
    </row>
    <row r="5200" spans="2:26" x14ac:dyDescent="0.25">
      <c r="B5200"/>
      <c r="Z5200"/>
    </row>
    <row r="5201" spans="2:26" x14ac:dyDescent="0.25">
      <c r="B5201"/>
      <c r="Z5201"/>
    </row>
    <row r="5202" spans="2:26" x14ac:dyDescent="0.25">
      <c r="B5202"/>
      <c r="Z5202"/>
    </row>
    <row r="5203" spans="2:26" x14ac:dyDescent="0.25">
      <c r="B5203"/>
      <c r="Z5203"/>
    </row>
    <row r="5204" spans="2:26" x14ac:dyDescent="0.25">
      <c r="B5204"/>
      <c r="Z5204"/>
    </row>
    <row r="5205" spans="2:26" x14ac:dyDescent="0.25">
      <c r="B5205"/>
      <c r="Z5205"/>
    </row>
    <row r="5206" spans="2:26" x14ac:dyDescent="0.25">
      <c r="B5206"/>
      <c r="Z5206"/>
    </row>
    <row r="5207" spans="2:26" x14ac:dyDescent="0.25">
      <c r="B5207"/>
      <c r="Z5207"/>
    </row>
    <row r="5208" spans="2:26" x14ac:dyDescent="0.25">
      <c r="B5208"/>
      <c r="I5208" s="6"/>
      <c r="Z5208"/>
    </row>
    <row r="5209" spans="2:26" x14ac:dyDescent="0.25">
      <c r="B5209"/>
      <c r="Z5209"/>
    </row>
    <row r="5210" spans="2:26" x14ac:dyDescent="0.25">
      <c r="B5210"/>
      <c r="Z5210"/>
    </row>
    <row r="5211" spans="2:26" x14ac:dyDescent="0.25">
      <c r="B5211"/>
      <c r="Z5211"/>
    </row>
    <row r="5212" spans="2:26" x14ac:dyDescent="0.25">
      <c r="B5212"/>
      <c r="Z5212"/>
    </row>
    <row r="5213" spans="2:26" x14ac:dyDescent="0.25">
      <c r="B5213"/>
      <c r="Z5213"/>
    </row>
    <row r="5214" spans="2:26" x14ac:dyDescent="0.25">
      <c r="B5214"/>
      <c r="Z5214"/>
    </row>
    <row r="5215" spans="2:26" x14ac:dyDescent="0.25">
      <c r="B5215"/>
      <c r="Z5215"/>
    </row>
    <row r="5216" spans="2:26" x14ac:dyDescent="0.25">
      <c r="B5216"/>
      <c r="Z5216"/>
    </row>
    <row r="5217" spans="1:33" x14ac:dyDescent="0.25">
      <c r="B5217"/>
      <c r="Z5217"/>
    </row>
    <row r="5218" spans="1:33" x14ac:dyDescent="0.25">
      <c r="B5218"/>
      <c r="Z5218"/>
    </row>
    <row r="5219" spans="1:33" x14ac:dyDescent="0.25">
      <c r="B5219"/>
      <c r="Z5219"/>
    </row>
    <row r="5220" spans="1:33" x14ac:dyDescent="0.25">
      <c r="B5220"/>
      <c r="Z5220"/>
    </row>
    <row r="5221" spans="1:33" x14ac:dyDescent="0.25">
      <c r="B5221"/>
      <c r="Z5221"/>
    </row>
    <row r="5222" spans="1:33" x14ac:dyDescent="0.25">
      <c r="B5222"/>
      <c r="Z5222"/>
    </row>
    <row r="5223" spans="1:33" x14ac:dyDescent="0.25">
      <c r="B5223"/>
      <c r="Z5223"/>
    </row>
    <row r="5224" spans="1:33" x14ac:dyDescent="0.25">
      <c r="B5224"/>
      <c r="Z5224"/>
    </row>
    <row r="5225" spans="1:33" x14ac:dyDescent="0.25">
      <c r="B5225"/>
      <c r="Z5225"/>
    </row>
    <row r="5226" spans="1:33" x14ac:dyDescent="0.25">
      <c r="A5226" s="6"/>
      <c r="B5226" s="6"/>
      <c r="C5226" s="6"/>
      <c r="D5226" s="6"/>
      <c r="E5226" s="6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  <c r="T5226" s="6"/>
      <c r="U5226" s="6"/>
      <c r="V5226" s="6"/>
      <c r="W5226" s="6"/>
      <c r="X5226" s="6"/>
      <c r="Y5226" s="6"/>
      <c r="Z5226" s="6"/>
      <c r="AA5226" s="6"/>
      <c r="AB5226" s="6"/>
      <c r="AC5226" s="6"/>
      <c r="AD5226" s="6"/>
      <c r="AE5226" s="6"/>
      <c r="AF5226" s="6"/>
      <c r="AG5226" s="6"/>
    </row>
    <row r="5227" spans="1:33" x14ac:dyDescent="0.25">
      <c r="B5227"/>
      <c r="Z5227"/>
    </row>
    <row r="5228" spans="1:33" x14ac:dyDescent="0.25">
      <c r="B5228"/>
      <c r="Z5228"/>
    </row>
    <row r="5229" spans="1:33" x14ac:dyDescent="0.25">
      <c r="B5229"/>
      <c r="Z5229"/>
    </row>
    <row r="5230" spans="1:33" x14ac:dyDescent="0.25">
      <c r="B5230"/>
      <c r="Z5230"/>
    </row>
    <row r="5231" spans="1:33" x14ac:dyDescent="0.25">
      <c r="B5231"/>
      <c r="Z5231"/>
    </row>
    <row r="5232" spans="1:33" x14ac:dyDescent="0.25">
      <c r="B5232"/>
      <c r="Z5232"/>
    </row>
    <row r="5233" spans="2:26" x14ac:dyDescent="0.25">
      <c r="B5233"/>
      <c r="Z5233"/>
    </row>
    <row r="5234" spans="2:26" x14ac:dyDescent="0.25">
      <c r="B5234"/>
      <c r="Z5234"/>
    </row>
    <row r="5235" spans="2:26" x14ac:dyDescent="0.25">
      <c r="B5235"/>
      <c r="Z5235"/>
    </row>
    <row r="5236" spans="2:26" x14ac:dyDescent="0.25">
      <c r="B5236"/>
      <c r="Z5236"/>
    </row>
    <row r="5237" spans="2:26" x14ac:dyDescent="0.25">
      <c r="B5237"/>
      <c r="Z5237"/>
    </row>
    <row r="5238" spans="2:26" x14ac:dyDescent="0.25">
      <c r="B5238"/>
      <c r="Z5238"/>
    </row>
    <row r="5239" spans="2:26" x14ac:dyDescent="0.25">
      <c r="B5239"/>
      <c r="Z5239"/>
    </row>
    <row r="5240" spans="2:26" x14ac:dyDescent="0.25">
      <c r="B5240"/>
      <c r="Z5240"/>
    </row>
    <row r="5241" spans="2:26" x14ac:dyDescent="0.25">
      <c r="B5241"/>
      <c r="Z5241"/>
    </row>
    <row r="5242" spans="2:26" x14ac:dyDescent="0.25">
      <c r="B5242"/>
      <c r="Z5242"/>
    </row>
    <row r="5243" spans="2:26" x14ac:dyDescent="0.25">
      <c r="B5243"/>
      <c r="Z5243"/>
    </row>
    <row r="5244" spans="2:26" x14ac:dyDescent="0.25">
      <c r="B5244"/>
      <c r="Z5244"/>
    </row>
    <row r="5245" spans="2:26" x14ac:dyDescent="0.25">
      <c r="B5245"/>
      <c r="Z5245"/>
    </row>
    <row r="5246" spans="2:26" x14ac:dyDescent="0.25">
      <c r="B5246"/>
      <c r="Z5246"/>
    </row>
    <row r="5247" spans="2:26" x14ac:dyDescent="0.25">
      <c r="B5247"/>
      <c r="Z5247"/>
    </row>
    <row r="5248" spans="2:26" x14ac:dyDescent="0.25">
      <c r="B5248"/>
      <c r="Z5248"/>
    </row>
    <row r="5249" spans="2:26" x14ac:dyDescent="0.25">
      <c r="B5249"/>
      <c r="Z5249"/>
    </row>
    <row r="5250" spans="2:26" x14ac:dyDescent="0.25">
      <c r="B5250"/>
      <c r="Z5250"/>
    </row>
    <row r="5251" spans="2:26" x14ac:dyDescent="0.25">
      <c r="B5251"/>
      <c r="Z5251"/>
    </row>
    <row r="5252" spans="2:26" x14ac:dyDescent="0.25">
      <c r="B5252"/>
      <c r="Z5252"/>
    </row>
    <row r="5253" spans="2:26" x14ac:dyDescent="0.25">
      <c r="B5253"/>
      <c r="Z5253"/>
    </row>
    <row r="5254" spans="2:26" x14ac:dyDescent="0.25">
      <c r="B5254"/>
      <c r="Z5254"/>
    </row>
    <row r="5255" spans="2:26" x14ac:dyDescent="0.25">
      <c r="B5255"/>
      <c r="Z5255"/>
    </row>
    <row r="5256" spans="2:26" x14ac:dyDescent="0.25">
      <c r="B5256"/>
      <c r="Z5256"/>
    </row>
    <row r="5257" spans="2:26" x14ac:dyDescent="0.25">
      <c r="B5257"/>
      <c r="Z5257"/>
    </row>
    <row r="5258" spans="2:26" x14ac:dyDescent="0.25">
      <c r="B5258"/>
      <c r="Z5258"/>
    </row>
    <row r="5259" spans="2:26" x14ac:dyDescent="0.25">
      <c r="B5259"/>
      <c r="Z5259"/>
    </row>
    <row r="5260" spans="2:26" x14ac:dyDescent="0.25">
      <c r="B5260"/>
      <c r="Z5260"/>
    </row>
    <row r="5261" spans="2:26" x14ac:dyDescent="0.25">
      <c r="B5261"/>
      <c r="Z5261"/>
    </row>
    <row r="5262" spans="2:26" x14ac:dyDescent="0.25">
      <c r="B5262"/>
      <c r="Z5262"/>
    </row>
    <row r="5263" spans="2:26" x14ac:dyDescent="0.25">
      <c r="B5263"/>
      <c r="Z5263"/>
    </row>
    <row r="5264" spans="2:26" x14ac:dyDescent="0.25">
      <c r="B5264"/>
      <c r="Z5264"/>
    </row>
    <row r="5265" spans="2:26" x14ac:dyDescent="0.25">
      <c r="B5265"/>
      <c r="Z5265"/>
    </row>
    <row r="5266" spans="2:26" x14ac:dyDescent="0.25">
      <c r="B5266"/>
      <c r="Z5266"/>
    </row>
    <row r="5267" spans="2:26" x14ac:dyDescent="0.25">
      <c r="B5267"/>
      <c r="Z5267"/>
    </row>
    <row r="5268" spans="2:26" x14ac:dyDescent="0.25">
      <c r="B5268"/>
      <c r="Z5268"/>
    </row>
    <row r="5269" spans="2:26" x14ac:dyDescent="0.25">
      <c r="B5269"/>
      <c r="Z5269"/>
    </row>
    <row r="5270" spans="2:26" x14ac:dyDescent="0.25">
      <c r="B5270"/>
      <c r="Z5270"/>
    </row>
    <row r="5271" spans="2:26" x14ac:dyDescent="0.25">
      <c r="B5271"/>
      <c r="Z5271"/>
    </row>
    <row r="5272" spans="2:26" x14ac:dyDescent="0.25">
      <c r="B5272"/>
      <c r="Z5272"/>
    </row>
    <row r="5273" spans="2:26" x14ac:dyDescent="0.25">
      <c r="B5273"/>
      <c r="Z5273"/>
    </row>
    <row r="5274" spans="2:26" x14ac:dyDescent="0.25">
      <c r="B5274"/>
      <c r="Z5274"/>
    </row>
    <row r="5275" spans="2:26" x14ac:dyDescent="0.25">
      <c r="B5275"/>
      <c r="Z5275"/>
    </row>
    <row r="5276" spans="2:26" x14ac:dyDescent="0.25">
      <c r="B5276"/>
      <c r="Z5276"/>
    </row>
    <row r="5277" spans="2:26" x14ac:dyDescent="0.25">
      <c r="B5277"/>
      <c r="Z5277"/>
    </row>
    <row r="5278" spans="2:26" x14ac:dyDescent="0.25">
      <c r="B5278"/>
      <c r="Z5278"/>
    </row>
    <row r="5279" spans="2:26" x14ac:dyDescent="0.25">
      <c r="B5279"/>
      <c r="Z5279"/>
    </row>
    <row r="5280" spans="2:26" x14ac:dyDescent="0.25">
      <c r="B5280"/>
      <c r="Z5280"/>
    </row>
    <row r="5281" spans="2:26" x14ac:dyDescent="0.25">
      <c r="B5281"/>
      <c r="Z5281"/>
    </row>
    <row r="5282" spans="2:26" x14ac:dyDescent="0.25">
      <c r="B5282"/>
      <c r="Z5282"/>
    </row>
    <row r="5283" spans="2:26" x14ac:dyDescent="0.25">
      <c r="B5283"/>
      <c r="Z5283"/>
    </row>
    <row r="5284" spans="2:26" x14ac:dyDescent="0.25">
      <c r="B5284"/>
      <c r="Z5284"/>
    </row>
    <row r="5285" spans="2:26" x14ac:dyDescent="0.25">
      <c r="B5285"/>
      <c r="Z5285"/>
    </row>
    <row r="5286" spans="2:26" x14ac:dyDescent="0.25">
      <c r="B5286"/>
      <c r="Z5286"/>
    </row>
    <row r="5287" spans="2:26" x14ac:dyDescent="0.25">
      <c r="B5287"/>
      <c r="Z5287"/>
    </row>
    <row r="5288" spans="2:26" x14ac:dyDescent="0.25">
      <c r="B5288"/>
      <c r="Z5288"/>
    </row>
    <row r="5289" spans="2:26" x14ac:dyDescent="0.25">
      <c r="B5289"/>
      <c r="Z5289"/>
    </row>
    <row r="5290" spans="2:26" x14ac:dyDescent="0.25">
      <c r="B5290"/>
      <c r="Z5290"/>
    </row>
    <row r="5291" spans="2:26" x14ac:dyDescent="0.25">
      <c r="B5291"/>
      <c r="Z5291"/>
    </row>
    <row r="5292" spans="2:26" x14ac:dyDescent="0.25">
      <c r="B5292"/>
      <c r="Z5292"/>
    </row>
    <row r="5293" spans="2:26" x14ac:dyDescent="0.25">
      <c r="B5293"/>
      <c r="Z5293"/>
    </row>
    <row r="5294" spans="2:26" x14ac:dyDescent="0.25">
      <c r="B5294"/>
      <c r="Z5294"/>
    </row>
    <row r="5295" spans="2:26" x14ac:dyDescent="0.25">
      <c r="B5295"/>
      <c r="Z5295"/>
    </row>
    <row r="5296" spans="2:26" x14ac:dyDescent="0.25">
      <c r="B5296"/>
      <c r="Z5296"/>
    </row>
    <row r="5297" spans="2:26" x14ac:dyDescent="0.25">
      <c r="B5297"/>
      <c r="Z5297"/>
    </row>
    <row r="5298" spans="2:26" x14ac:dyDescent="0.25">
      <c r="B5298"/>
      <c r="Z5298"/>
    </row>
    <row r="5299" spans="2:26" x14ac:dyDescent="0.25">
      <c r="B5299"/>
      <c r="Z5299"/>
    </row>
    <row r="5300" spans="2:26" x14ac:dyDescent="0.25">
      <c r="B5300"/>
      <c r="Z5300"/>
    </row>
    <row r="5301" spans="2:26" x14ac:dyDescent="0.25">
      <c r="B5301"/>
      <c r="Z5301"/>
    </row>
    <row r="5302" spans="2:26" x14ac:dyDescent="0.25">
      <c r="B5302"/>
      <c r="Z5302"/>
    </row>
    <row r="5303" spans="2:26" x14ac:dyDescent="0.25">
      <c r="B5303"/>
      <c r="Z5303"/>
    </row>
    <row r="5304" spans="2:26" x14ac:dyDescent="0.25">
      <c r="B5304"/>
      <c r="Z5304"/>
    </row>
    <row r="5305" spans="2:26" x14ac:dyDescent="0.25">
      <c r="B5305"/>
      <c r="Z5305"/>
    </row>
    <row r="5306" spans="2:26" x14ac:dyDescent="0.25">
      <c r="B5306"/>
      <c r="Z5306"/>
    </row>
    <row r="5307" spans="2:26" x14ac:dyDescent="0.25">
      <c r="B5307"/>
      <c r="Z5307"/>
    </row>
    <row r="5308" spans="2:26" x14ac:dyDescent="0.25">
      <c r="B5308"/>
      <c r="Z5308"/>
    </row>
    <row r="5309" spans="2:26" x14ac:dyDescent="0.25">
      <c r="B5309"/>
      <c r="Z5309"/>
    </row>
    <row r="5310" spans="2:26" x14ac:dyDescent="0.25">
      <c r="B5310"/>
      <c r="Z5310"/>
    </row>
    <row r="5311" spans="2:26" x14ac:dyDescent="0.25">
      <c r="B5311"/>
      <c r="Z5311"/>
    </row>
    <row r="5312" spans="2:26" x14ac:dyDescent="0.25">
      <c r="B5312"/>
      <c r="Z5312"/>
    </row>
    <row r="5313" spans="2:26" x14ac:dyDescent="0.25">
      <c r="B5313"/>
      <c r="Z5313"/>
    </row>
    <row r="5314" spans="2:26" x14ac:dyDescent="0.25">
      <c r="B5314"/>
      <c r="Z5314"/>
    </row>
    <row r="5315" spans="2:26" x14ac:dyDescent="0.25">
      <c r="B5315"/>
      <c r="Z5315"/>
    </row>
    <row r="5316" spans="2:26" x14ac:dyDescent="0.25">
      <c r="B5316"/>
      <c r="Z5316"/>
    </row>
    <row r="5317" spans="2:26" x14ac:dyDescent="0.25">
      <c r="B5317"/>
      <c r="Z5317"/>
    </row>
    <row r="5318" spans="2:26" x14ac:dyDescent="0.25">
      <c r="B5318"/>
      <c r="Z5318"/>
    </row>
    <row r="5319" spans="2:26" x14ac:dyDescent="0.25">
      <c r="B5319"/>
      <c r="L5319" s="6"/>
      <c r="Z5319"/>
    </row>
    <row r="5320" spans="2:26" x14ac:dyDescent="0.25">
      <c r="B5320"/>
      <c r="Z5320"/>
    </row>
    <row r="5321" spans="2:26" x14ac:dyDescent="0.25">
      <c r="B5321"/>
      <c r="Z5321"/>
    </row>
    <row r="5322" spans="2:26" x14ac:dyDescent="0.25">
      <c r="B5322"/>
      <c r="Z5322"/>
    </row>
    <row r="5323" spans="2:26" x14ac:dyDescent="0.25">
      <c r="B5323"/>
      <c r="Z5323"/>
    </row>
    <row r="5324" spans="2:26" x14ac:dyDescent="0.25">
      <c r="B5324"/>
      <c r="Z5324"/>
    </row>
    <row r="5325" spans="2:26" x14ac:dyDescent="0.25">
      <c r="B5325"/>
      <c r="Z5325"/>
    </row>
    <row r="5326" spans="2:26" x14ac:dyDescent="0.25">
      <c r="B5326"/>
      <c r="Z5326"/>
    </row>
    <row r="5327" spans="2:26" x14ac:dyDescent="0.25">
      <c r="B5327"/>
      <c r="Z5327"/>
    </row>
    <row r="5328" spans="2:26" x14ac:dyDescent="0.25">
      <c r="B5328"/>
      <c r="Z5328"/>
    </row>
    <row r="5329" spans="1:33" x14ac:dyDescent="0.25">
      <c r="A5329" s="6"/>
      <c r="B5329" s="6"/>
      <c r="C5329" s="6"/>
      <c r="D5329" s="6"/>
      <c r="E5329" s="6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  <c r="T5329" s="6"/>
      <c r="U5329" s="6"/>
      <c r="V5329" s="6"/>
      <c r="W5329" s="6"/>
      <c r="X5329" s="6"/>
      <c r="Y5329" s="6"/>
      <c r="Z5329" s="6"/>
      <c r="AA5329" s="6"/>
      <c r="AB5329" s="6"/>
      <c r="AC5329" s="6"/>
      <c r="AD5329" s="6"/>
      <c r="AE5329" s="6"/>
      <c r="AF5329" s="6"/>
      <c r="AG5329" s="6"/>
    </row>
    <row r="5330" spans="1:33" x14ac:dyDescent="0.25">
      <c r="B5330"/>
      <c r="Z5330"/>
    </row>
    <row r="5331" spans="1:33" x14ac:dyDescent="0.25">
      <c r="B5331"/>
      <c r="Z5331"/>
    </row>
    <row r="5332" spans="1:33" x14ac:dyDescent="0.25">
      <c r="B5332"/>
      <c r="Z5332"/>
    </row>
    <row r="5333" spans="1:33" x14ac:dyDescent="0.25">
      <c r="B5333"/>
      <c r="Z5333"/>
    </row>
    <row r="5334" spans="1:33" x14ac:dyDescent="0.25">
      <c r="B5334"/>
      <c r="Z5334"/>
    </row>
    <row r="5335" spans="1:33" x14ac:dyDescent="0.25">
      <c r="B5335"/>
      <c r="Z5335"/>
    </row>
    <row r="5336" spans="1:33" x14ac:dyDescent="0.25">
      <c r="B5336"/>
      <c r="Z5336"/>
    </row>
    <row r="5337" spans="1:33" x14ac:dyDescent="0.25">
      <c r="B5337"/>
      <c r="Z5337"/>
    </row>
    <row r="5338" spans="1:33" x14ac:dyDescent="0.25">
      <c r="B5338"/>
      <c r="Z5338"/>
    </row>
    <row r="5339" spans="1:33" x14ac:dyDescent="0.25">
      <c r="B5339"/>
      <c r="Z5339"/>
    </row>
    <row r="5340" spans="1:33" x14ac:dyDescent="0.25">
      <c r="B5340"/>
      <c r="Z5340"/>
    </row>
    <row r="5341" spans="1:33" x14ac:dyDescent="0.25">
      <c r="B5341"/>
      <c r="Z5341"/>
    </row>
    <row r="5342" spans="1:33" x14ac:dyDescent="0.25">
      <c r="B5342"/>
      <c r="Z5342"/>
    </row>
    <row r="5343" spans="1:33" x14ac:dyDescent="0.25">
      <c r="B5343"/>
      <c r="Z5343"/>
    </row>
    <row r="5344" spans="1:33" x14ac:dyDescent="0.25">
      <c r="B5344"/>
      <c r="Z5344"/>
    </row>
    <row r="5345" spans="2:26" x14ac:dyDescent="0.25">
      <c r="B5345"/>
      <c r="Z5345"/>
    </row>
    <row r="5346" spans="2:26" x14ac:dyDescent="0.25">
      <c r="B5346"/>
      <c r="Z5346"/>
    </row>
    <row r="5347" spans="2:26" x14ac:dyDescent="0.25">
      <c r="B5347"/>
      <c r="Z5347"/>
    </row>
    <row r="5348" spans="2:26" x14ac:dyDescent="0.25">
      <c r="B5348"/>
      <c r="Z5348"/>
    </row>
    <row r="5349" spans="2:26" x14ac:dyDescent="0.25">
      <c r="B5349"/>
      <c r="Z5349"/>
    </row>
    <row r="5350" spans="2:26" x14ac:dyDescent="0.25">
      <c r="B5350"/>
      <c r="Z5350"/>
    </row>
    <row r="5351" spans="2:26" x14ac:dyDescent="0.25">
      <c r="B5351"/>
      <c r="Z5351"/>
    </row>
    <row r="5352" spans="2:26" x14ac:dyDescent="0.25">
      <c r="B5352"/>
      <c r="Z5352"/>
    </row>
    <row r="5353" spans="2:26" x14ac:dyDescent="0.25">
      <c r="B5353"/>
      <c r="Z5353"/>
    </row>
    <row r="5354" spans="2:26" x14ac:dyDescent="0.25">
      <c r="B5354"/>
      <c r="Z5354"/>
    </row>
    <row r="5355" spans="2:26" x14ac:dyDescent="0.25">
      <c r="B5355"/>
      <c r="Z5355"/>
    </row>
    <row r="5356" spans="2:26" x14ac:dyDescent="0.25">
      <c r="B5356"/>
      <c r="Z5356"/>
    </row>
    <row r="5357" spans="2:26" x14ac:dyDescent="0.25">
      <c r="B5357"/>
      <c r="Z5357"/>
    </row>
    <row r="5358" spans="2:26" x14ac:dyDescent="0.25">
      <c r="B5358"/>
      <c r="Z5358"/>
    </row>
    <row r="5359" spans="2:26" x14ac:dyDescent="0.25">
      <c r="B5359"/>
      <c r="Z5359"/>
    </row>
    <row r="5360" spans="2:26" x14ac:dyDescent="0.25">
      <c r="B5360"/>
      <c r="Z5360"/>
    </row>
    <row r="5361" spans="2:26" x14ac:dyDescent="0.25">
      <c r="B5361"/>
      <c r="Z5361"/>
    </row>
    <row r="5362" spans="2:26" x14ac:dyDescent="0.25">
      <c r="B5362"/>
      <c r="Z5362"/>
    </row>
    <row r="5363" spans="2:26" x14ac:dyDescent="0.25">
      <c r="B5363"/>
      <c r="Z5363"/>
    </row>
    <row r="5364" spans="2:26" x14ac:dyDescent="0.25">
      <c r="B5364"/>
      <c r="Z5364"/>
    </row>
    <row r="5365" spans="2:26" x14ac:dyDescent="0.25">
      <c r="B5365"/>
      <c r="Z5365"/>
    </row>
    <row r="5366" spans="2:26" x14ac:dyDescent="0.25">
      <c r="B5366"/>
      <c r="Z5366"/>
    </row>
    <row r="5367" spans="2:26" x14ac:dyDescent="0.25">
      <c r="B5367"/>
      <c r="Z5367"/>
    </row>
    <row r="5368" spans="2:26" x14ac:dyDescent="0.25">
      <c r="B5368"/>
      <c r="Z5368"/>
    </row>
    <row r="5369" spans="2:26" x14ac:dyDescent="0.25">
      <c r="B5369"/>
      <c r="Z5369"/>
    </row>
    <row r="5370" spans="2:26" x14ac:dyDescent="0.25">
      <c r="B5370"/>
      <c r="Z5370"/>
    </row>
    <row r="5371" spans="2:26" x14ac:dyDescent="0.25">
      <c r="B5371"/>
      <c r="Z5371"/>
    </row>
    <row r="5372" spans="2:26" x14ac:dyDescent="0.25">
      <c r="B5372"/>
      <c r="Z5372"/>
    </row>
    <row r="5373" spans="2:26" x14ac:dyDescent="0.25">
      <c r="B5373"/>
      <c r="Z5373"/>
    </row>
    <row r="5374" spans="2:26" x14ac:dyDescent="0.25">
      <c r="B5374"/>
      <c r="Z5374"/>
    </row>
    <row r="5375" spans="2:26" x14ac:dyDescent="0.25">
      <c r="B5375"/>
      <c r="Z5375"/>
    </row>
    <row r="5376" spans="2:26" x14ac:dyDescent="0.25">
      <c r="B5376"/>
      <c r="Z5376"/>
    </row>
    <row r="5377" spans="2:26" x14ac:dyDescent="0.25">
      <c r="B5377"/>
      <c r="Z5377"/>
    </row>
    <row r="5378" spans="2:26" x14ac:dyDescent="0.25">
      <c r="B5378"/>
      <c r="Z5378"/>
    </row>
    <row r="5379" spans="2:26" x14ac:dyDescent="0.25">
      <c r="B5379"/>
      <c r="Z5379"/>
    </row>
    <row r="5380" spans="2:26" x14ac:dyDescent="0.25">
      <c r="B5380"/>
      <c r="Z5380"/>
    </row>
    <row r="5381" spans="2:26" x14ac:dyDescent="0.25">
      <c r="B5381"/>
      <c r="Z5381"/>
    </row>
    <row r="5382" spans="2:26" x14ac:dyDescent="0.25">
      <c r="B5382"/>
      <c r="Z5382"/>
    </row>
    <row r="5383" spans="2:26" x14ac:dyDescent="0.25">
      <c r="B5383"/>
      <c r="Z5383"/>
    </row>
    <row r="5384" spans="2:26" x14ac:dyDescent="0.25">
      <c r="B5384"/>
      <c r="Z5384"/>
    </row>
    <row r="5385" spans="2:26" x14ac:dyDescent="0.25">
      <c r="B5385"/>
      <c r="Z5385"/>
    </row>
    <row r="5386" spans="2:26" x14ac:dyDescent="0.25">
      <c r="B5386"/>
      <c r="Z5386"/>
    </row>
    <row r="5387" spans="2:26" x14ac:dyDescent="0.25">
      <c r="B5387"/>
      <c r="Z5387"/>
    </row>
    <row r="5388" spans="2:26" x14ac:dyDescent="0.25">
      <c r="B5388"/>
      <c r="Z5388"/>
    </row>
    <row r="5389" spans="2:26" x14ac:dyDescent="0.25">
      <c r="B5389"/>
      <c r="Z5389"/>
    </row>
    <row r="5390" spans="2:26" x14ac:dyDescent="0.25">
      <c r="B5390"/>
      <c r="Z5390"/>
    </row>
    <row r="5391" spans="2:26" x14ac:dyDescent="0.25">
      <c r="B5391"/>
      <c r="Z5391"/>
    </row>
    <row r="5392" spans="2:26" x14ac:dyDescent="0.25">
      <c r="B5392"/>
      <c r="Z5392"/>
    </row>
    <row r="5393" spans="2:26" x14ac:dyDescent="0.25">
      <c r="B5393"/>
      <c r="Z5393"/>
    </row>
    <row r="5394" spans="2:26" x14ac:dyDescent="0.25">
      <c r="B5394"/>
      <c r="Z5394"/>
    </row>
    <row r="5395" spans="2:26" x14ac:dyDescent="0.25">
      <c r="B5395"/>
      <c r="Z5395"/>
    </row>
    <row r="5396" spans="2:26" x14ac:dyDescent="0.25">
      <c r="B5396"/>
      <c r="Z5396"/>
    </row>
    <row r="5397" spans="2:26" x14ac:dyDescent="0.25">
      <c r="B5397"/>
      <c r="Z5397"/>
    </row>
    <row r="5398" spans="2:26" x14ac:dyDescent="0.25">
      <c r="B5398"/>
      <c r="Z5398"/>
    </row>
    <row r="5399" spans="2:26" x14ac:dyDescent="0.25">
      <c r="B5399"/>
      <c r="Z5399"/>
    </row>
    <row r="5400" spans="2:26" x14ac:dyDescent="0.25">
      <c r="B5400"/>
      <c r="Z5400"/>
    </row>
    <row r="5401" spans="2:26" x14ac:dyDescent="0.25">
      <c r="B5401"/>
      <c r="Z5401"/>
    </row>
    <row r="5402" spans="2:26" x14ac:dyDescent="0.25">
      <c r="B5402"/>
      <c r="Z5402"/>
    </row>
    <row r="5403" spans="2:26" x14ac:dyDescent="0.25">
      <c r="B5403"/>
      <c r="Z5403"/>
    </row>
    <row r="5404" spans="2:26" x14ac:dyDescent="0.25">
      <c r="B5404"/>
      <c r="Z5404"/>
    </row>
    <row r="5405" spans="2:26" x14ac:dyDescent="0.25">
      <c r="B5405"/>
      <c r="Z5405"/>
    </row>
    <row r="5406" spans="2:26" x14ac:dyDescent="0.25">
      <c r="B5406"/>
      <c r="Z5406"/>
    </row>
    <row r="5407" spans="2:26" x14ac:dyDescent="0.25">
      <c r="B5407"/>
      <c r="Z5407"/>
    </row>
    <row r="5408" spans="2:26" x14ac:dyDescent="0.25">
      <c r="B5408"/>
      <c r="Z5408"/>
    </row>
    <row r="5409" spans="2:26" x14ac:dyDescent="0.25">
      <c r="B5409"/>
      <c r="Z5409"/>
    </row>
    <row r="5410" spans="2:26" x14ac:dyDescent="0.25">
      <c r="B5410"/>
      <c r="Z5410"/>
    </row>
    <row r="5411" spans="2:26" x14ac:dyDescent="0.25">
      <c r="B5411"/>
      <c r="Z5411"/>
    </row>
    <row r="5412" spans="2:26" x14ac:dyDescent="0.25">
      <c r="B5412"/>
      <c r="Z5412"/>
    </row>
    <row r="5413" spans="2:26" x14ac:dyDescent="0.25">
      <c r="B5413"/>
      <c r="Z5413"/>
    </row>
    <row r="5414" spans="2:26" x14ac:dyDescent="0.25">
      <c r="B5414"/>
      <c r="Z5414"/>
    </row>
    <row r="5415" spans="2:26" x14ac:dyDescent="0.25">
      <c r="B5415"/>
      <c r="Z5415"/>
    </row>
    <row r="5416" spans="2:26" x14ac:dyDescent="0.25">
      <c r="B5416"/>
      <c r="Z5416"/>
    </row>
    <row r="5417" spans="2:26" x14ac:dyDescent="0.25">
      <c r="B5417"/>
      <c r="Z5417"/>
    </row>
    <row r="5418" spans="2:26" x14ac:dyDescent="0.25">
      <c r="B5418"/>
      <c r="Z5418"/>
    </row>
    <row r="5419" spans="2:26" x14ac:dyDescent="0.25">
      <c r="B5419"/>
      <c r="Z5419"/>
    </row>
    <row r="5420" spans="2:26" x14ac:dyDescent="0.25">
      <c r="B5420"/>
      <c r="K5420" s="6"/>
      <c r="Z5420"/>
    </row>
    <row r="5421" spans="2:26" x14ac:dyDescent="0.25">
      <c r="B5421"/>
      <c r="Z5421"/>
    </row>
    <row r="5422" spans="2:26" x14ac:dyDescent="0.25">
      <c r="B5422"/>
      <c r="Z5422"/>
    </row>
    <row r="5423" spans="2:26" x14ac:dyDescent="0.25">
      <c r="B5423"/>
      <c r="Z5423"/>
    </row>
    <row r="5424" spans="2:26" x14ac:dyDescent="0.25">
      <c r="B5424"/>
      <c r="Z5424"/>
    </row>
    <row r="5425" spans="1:33" x14ac:dyDescent="0.25">
      <c r="B5425"/>
      <c r="Z5425"/>
    </row>
    <row r="5426" spans="1:33" x14ac:dyDescent="0.25">
      <c r="B5426"/>
      <c r="Z5426"/>
    </row>
    <row r="5427" spans="1:33" x14ac:dyDescent="0.25">
      <c r="B5427"/>
      <c r="Z5427"/>
    </row>
    <row r="5428" spans="1:33" x14ac:dyDescent="0.25">
      <c r="B5428"/>
      <c r="Z5428"/>
    </row>
    <row r="5429" spans="1:33" x14ac:dyDescent="0.25">
      <c r="B5429"/>
      <c r="Z5429"/>
    </row>
    <row r="5430" spans="1:33" x14ac:dyDescent="0.25">
      <c r="B5430"/>
      <c r="Z5430"/>
    </row>
    <row r="5431" spans="1:33" x14ac:dyDescent="0.25">
      <c r="B5431"/>
      <c r="Z5431"/>
    </row>
    <row r="5432" spans="1:33" x14ac:dyDescent="0.25">
      <c r="B5432"/>
      <c r="Z5432"/>
    </row>
    <row r="5433" spans="1:33" x14ac:dyDescent="0.25">
      <c r="A5433" s="6"/>
      <c r="B5433" s="6"/>
      <c r="C5433" s="6"/>
      <c r="D5433" s="6"/>
      <c r="E5433" s="6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  <c r="T5433" s="6"/>
      <c r="U5433" s="6"/>
      <c r="V5433" s="6"/>
      <c r="W5433" s="6"/>
      <c r="X5433" s="6"/>
      <c r="Y5433" s="6"/>
      <c r="Z5433" s="6"/>
      <c r="AA5433" s="6"/>
      <c r="AB5433" s="6"/>
      <c r="AC5433" s="6"/>
      <c r="AD5433" s="6"/>
      <c r="AE5433" s="6"/>
      <c r="AF5433" s="6"/>
      <c r="AG5433" s="6"/>
    </row>
    <row r="5434" spans="1:33" x14ac:dyDescent="0.25">
      <c r="B5434"/>
      <c r="Z5434"/>
    </row>
    <row r="5435" spans="1:33" x14ac:dyDescent="0.25">
      <c r="B5435"/>
      <c r="Z5435"/>
    </row>
    <row r="5436" spans="1:33" x14ac:dyDescent="0.25">
      <c r="B5436"/>
      <c r="Z5436"/>
    </row>
    <row r="5437" spans="1:33" x14ac:dyDescent="0.25">
      <c r="B5437"/>
      <c r="Z5437"/>
    </row>
    <row r="5438" spans="1:33" x14ac:dyDescent="0.25">
      <c r="B5438"/>
      <c r="Z5438"/>
    </row>
    <row r="5439" spans="1:33" x14ac:dyDescent="0.25">
      <c r="B5439"/>
      <c r="Z5439"/>
    </row>
    <row r="5440" spans="1:33" x14ac:dyDescent="0.25">
      <c r="B5440"/>
      <c r="Z5440"/>
    </row>
    <row r="5441" spans="2:26" x14ac:dyDescent="0.25">
      <c r="B5441"/>
      <c r="Z5441"/>
    </row>
    <row r="5442" spans="2:26" x14ac:dyDescent="0.25">
      <c r="B5442"/>
      <c r="Z5442"/>
    </row>
    <row r="5443" spans="2:26" x14ac:dyDescent="0.25">
      <c r="B5443"/>
      <c r="Z5443"/>
    </row>
    <row r="5444" spans="2:26" x14ac:dyDescent="0.25">
      <c r="B5444"/>
      <c r="Z5444"/>
    </row>
    <row r="5445" spans="2:26" x14ac:dyDescent="0.25">
      <c r="B5445"/>
      <c r="Z5445"/>
    </row>
    <row r="5446" spans="2:26" x14ac:dyDescent="0.25">
      <c r="B5446"/>
      <c r="Z5446"/>
    </row>
    <row r="5447" spans="2:26" x14ac:dyDescent="0.25">
      <c r="B5447"/>
      <c r="Z5447"/>
    </row>
    <row r="5448" spans="2:26" x14ac:dyDescent="0.25">
      <c r="B5448"/>
      <c r="Z5448"/>
    </row>
    <row r="5449" spans="2:26" x14ac:dyDescent="0.25">
      <c r="B5449"/>
      <c r="Z5449"/>
    </row>
    <row r="5450" spans="2:26" x14ac:dyDescent="0.25">
      <c r="B5450"/>
      <c r="Z5450"/>
    </row>
    <row r="5451" spans="2:26" x14ac:dyDescent="0.25">
      <c r="B5451"/>
      <c r="Z5451"/>
    </row>
    <row r="5452" spans="2:26" x14ac:dyDescent="0.25">
      <c r="B5452"/>
      <c r="Z5452"/>
    </row>
    <row r="5453" spans="2:26" x14ac:dyDescent="0.25">
      <c r="B5453"/>
      <c r="Z5453"/>
    </row>
    <row r="5454" spans="2:26" x14ac:dyDescent="0.25">
      <c r="B5454"/>
      <c r="Z5454"/>
    </row>
    <row r="5455" spans="2:26" x14ac:dyDescent="0.25">
      <c r="B5455"/>
      <c r="Z5455"/>
    </row>
    <row r="5456" spans="2:26" x14ac:dyDescent="0.25">
      <c r="B5456"/>
      <c r="Z5456"/>
    </row>
    <row r="5457" spans="2:26" x14ac:dyDescent="0.25">
      <c r="B5457"/>
      <c r="Z5457"/>
    </row>
    <row r="5458" spans="2:26" x14ac:dyDescent="0.25">
      <c r="B5458"/>
      <c r="Z5458"/>
    </row>
    <row r="5459" spans="2:26" x14ac:dyDescent="0.25">
      <c r="B5459"/>
      <c r="Z5459"/>
    </row>
    <row r="5460" spans="2:26" x14ac:dyDescent="0.25">
      <c r="B5460"/>
      <c r="Z5460"/>
    </row>
    <row r="5461" spans="2:26" x14ac:dyDescent="0.25">
      <c r="B5461"/>
      <c r="Z5461"/>
    </row>
    <row r="5462" spans="2:26" x14ac:dyDescent="0.25">
      <c r="B5462"/>
      <c r="Z5462"/>
    </row>
    <row r="5463" spans="2:26" x14ac:dyDescent="0.25">
      <c r="B5463"/>
      <c r="Z5463"/>
    </row>
    <row r="5464" spans="2:26" x14ac:dyDescent="0.25">
      <c r="B5464"/>
      <c r="Z5464"/>
    </row>
    <row r="5465" spans="2:26" x14ac:dyDescent="0.25">
      <c r="B5465"/>
      <c r="Z5465"/>
    </row>
    <row r="5466" spans="2:26" x14ac:dyDescent="0.25">
      <c r="B5466"/>
      <c r="Z5466"/>
    </row>
    <row r="5467" spans="2:26" x14ac:dyDescent="0.25">
      <c r="B5467"/>
      <c r="Z5467"/>
    </row>
    <row r="5468" spans="2:26" x14ac:dyDescent="0.25">
      <c r="B5468"/>
      <c r="Z5468"/>
    </row>
    <row r="5469" spans="2:26" x14ac:dyDescent="0.25">
      <c r="B5469"/>
      <c r="Z5469"/>
    </row>
    <row r="5470" spans="2:26" x14ac:dyDescent="0.25">
      <c r="B5470"/>
      <c r="Z5470"/>
    </row>
    <row r="5471" spans="2:26" x14ac:dyDescent="0.25">
      <c r="B5471"/>
      <c r="Z5471"/>
    </row>
    <row r="5472" spans="2:26" x14ac:dyDescent="0.25">
      <c r="B5472"/>
      <c r="Z5472"/>
    </row>
    <row r="5473" spans="2:26" x14ac:dyDescent="0.25">
      <c r="B5473"/>
      <c r="Z5473"/>
    </row>
    <row r="5474" spans="2:26" x14ac:dyDescent="0.25">
      <c r="B5474"/>
      <c r="Z5474"/>
    </row>
    <row r="5475" spans="2:26" x14ac:dyDescent="0.25">
      <c r="B5475"/>
      <c r="Z5475"/>
    </row>
    <row r="5476" spans="2:26" x14ac:dyDescent="0.25">
      <c r="B5476"/>
      <c r="Z5476"/>
    </row>
    <row r="5477" spans="2:26" x14ac:dyDescent="0.25">
      <c r="B5477"/>
      <c r="Z5477"/>
    </row>
    <row r="5478" spans="2:26" x14ac:dyDescent="0.25">
      <c r="B5478"/>
      <c r="Z5478"/>
    </row>
    <row r="5479" spans="2:26" x14ac:dyDescent="0.25">
      <c r="B5479"/>
      <c r="Z5479"/>
    </row>
    <row r="5480" spans="2:26" x14ac:dyDescent="0.25">
      <c r="B5480"/>
      <c r="Z5480"/>
    </row>
    <row r="5481" spans="2:26" x14ac:dyDescent="0.25">
      <c r="B5481"/>
      <c r="Z5481"/>
    </row>
    <row r="5482" spans="2:26" x14ac:dyDescent="0.25">
      <c r="B5482"/>
      <c r="Z5482"/>
    </row>
    <row r="5483" spans="2:26" x14ac:dyDescent="0.25">
      <c r="B5483"/>
      <c r="Z5483"/>
    </row>
    <row r="5484" spans="2:26" x14ac:dyDescent="0.25">
      <c r="B5484"/>
      <c r="Z5484"/>
    </row>
    <row r="5485" spans="2:26" x14ac:dyDescent="0.25">
      <c r="B5485"/>
      <c r="Z5485"/>
    </row>
    <row r="5486" spans="2:26" x14ac:dyDescent="0.25">
      <c r="B5486"/>
      <c r="Z5486"/>
    </row>
    <row r="5487" spans="2:26" x14ac:dyDescent="0.25">
      <c r="B5487"/>
      <c r="Z5487"/>
    </row>
    <row r="5488" spans="2:26" x14ac:dyDescent="0.25">
      <c r="B5488"/>
      <c r="Z5488"/>
    </row>
    <row r="5489" spans="2:26" x14ac:dyDescent="0.25">
      <c r="B5489"/>
      <c r="Z5489"/>
    </row>
    <row r="5490" spans="2:26" x14ac:dyDescent="0.25">
      <c r="B5490"/>
      <c r="Z5490"/>
    </row>
    <row r="5491" spans="2:26" x14ac:dyDescent="0.25">
      <c r="B5491"/>
      <c r="Z5491"/>
    </row>
    <row r="5492" spans="2:26" x14ac:dyDescent="0.25">
      <c r="B5492"/>
      <c r="Z5492"/>
    </row>
    <row r="5493" spans="2:26" x14ac:dyDescent="0.25">
      <c r="B5493"/>
      <c r="Z5493"/>
    </row>
    <row r="5494" spans="2:26" x14ac:dyDescent="0.25">
      <c r="B5494"/>
      <c r="Z5494"/>
    </row>
    <row r="5495" spans="2:26" x14ac:dyDescent="0.25">
      <c r="B5495"/>
      <c r="Z5495"/>
    </row>
    <row r="5496" spans="2:26" x14ac:dyDescent="0.25">
      <c r="B5496"/>
      <c r="Z5496"/>
    </row>
    <row r="5497" spans="2:26" x14ac:dyDescent="0.25">
      <c r="B5497"/>
      <c r="Z5497"/>
    </row>
    <row r="5498" spans="2:26" x14ac:dyDescent="0.25">
      <c r="B5498"/>
      <c r="Z5498"/>
    </row>
    <row r="5499" spans="2:26" x14ac:dyDescent="0.25">
      <c r="B5499"/>
      <c r="Z5499"/>
    </row>
    <row r="5500" spans="2:26" x14ac:dyDescent="0.25">
      <c r="B5500"/>
      <c r="Z5500"/>
    </row>
    <row r="5501" spans="2:26" x14ac:dyDescent="0.25">
      <c r="B5501"/>
      <c r="Z5501"/>
    </row>
    <row r="5502" spans="2:26" x14ac:dyDescent="0.25">
      <c r="B5502"/>
      <c r="Z5502"/>
    </row>
    <row r="5503" spans="2:26" x14ac:dyDescent="0.25">
      <c r="B5503"/>
      <c r="Z5503"/>
    </row>
    <row r="5504" spans="2:26" x14ac:dyDescent="0.25">
      <c r="B5504"/>
      <c r="Z5504"/>
    </row>
    <row r="5505" spans="2:26" x14ac:dyDescent="0.25">
      <c r="B5505"/>
      <c r="Z5505"/>
    </row>
    <row r="5506" spans="2:26" x14ac:dyDescent="0.25">
      <c r="B5506"/>
      <c r="Z5506"/>
    </row>
    <row r="5507" spans="2:26" x14ac:dyDescent="0.25">
      <c r="B5507"/>
      <c r="Z5507"/>
    </row>
    <row r="5508" spans="2:26" x14ac:dyDescent="0.25">
      <c r="B5508"/>
      <c r="Z5508"/>
    </row>
    <row r="5509" spans="2:26" x14ac:dyDescent="0.25">
      <c r="B5509"/>
      <c r="Z5509"/>
    </row>
    <row r="5510" spans="2:26" x14ac:dyDescent="0.25">
      <c r="B5510"/>
      <c r="Z5510"/>
    </row>
    <row r="5511" spans="2:26" x14ac:dyDescent="0.25">
      <c r="B5511"/>
      <c r="Z5511"/>
    </row>
    <row r="5512" spans="2:26" x14ac:dyDescent="0.25">
      <c r="B5512"/>
      <c r="Z5512"/>
    </row>
    <row r="5513" spans="2:26" x14ac:dyDescent="0.25">
      <c r="B5513"/>
      <c r="Z5513"/>
    </row>
    <row r="5514" spans="2:26" x14ac:dyDescent="0.25">
      <c r="B5514"/>
      <c r="Z5514"/>
    </row>
    <row r="5515" spans="2:26" x14ac:dyDescent="0.25">
      <c r="B5515"/>
      <c r="Z5515"/>
    </row>
    <row r="5516" spans="2:26" x14ac:dyDescent="0.25">
      <c r="B5516"/>
      <c r="Z5516"/>
    </row>
    <row r="5517" spans="2:26" x14ac:dyDescent="0.25">
      <c r="B5517"/>
      <c r="Z5517"/>
    </row>
    <row r="5518" spans="2:26" x14ac:dyDescent="0.25">
      <c r="B5518"/>
      <c r="Z5518"/>
    </row>
    <row r="5519" spans="2:26" x14ac:dyDescent="0.25">
      <c r="B5519"/>
      <c r="K5519" s="6"/>
      <c r="Z5519"/>
    </row>
    <row r="5520" spans="2:26" x14ac:dyDescent="0.25">
      <c r="B5520"/>
      <c r="Z5520"/>
    </row>
    <row r="5521" spans="2:26" x14ac:dyDescent="0.25">
      <c r="B5521"/>
      <c r="Z5521"/>
    </row>
    <row r="5522" spans="2:26" x14ac:dyDescent="0.25">
      <c r="B5522"/>
      <c r="Z5522"/>
    </row>
    <row r="5523" spans="2:26" x14ac:dyDescent="0.25">
      <c r="B5523"/>
      <c r="Z5523"/>
    </row>
    <row r="5524" spans="2:26" x14ac:dyDescent="0.25">
      <c r="B5524"/>
      <c r="Z5524"/>
    </row>
    <row r="5525" spans="2:26" x14ac:dyDescent="0.25">
      <c r="B5525"/>
      <c r="Z5525"/>
    </row>
    <row r="5526" spans="2:26" x14ac:dyDescent="0.25">
      <c r="B5526"/>
      <c r="Z5526"/>
    </row>
    <row r="5527" spans="2:26" x14ac:dyDescent="0.25">
      <c r="B5527"/>
      <c r="Z5527"/>
    </row>
    <row r="5528" spans="2:26" x14ac:dyDescent="0.25">
      <c r="B5528"/>
      <c r="Z5528"/>
    </row>
    <row r="5529" spans="2:26" x14ac:dyDescent="0.25">
      <c r="B5529"/>
      <c r="Z5529"/>
    </row>
    <row r="5530" spans="2:26" x14ac:dyDescent="0.25">
      <c r="B5530"/>
      <c r="Z5530"/>
    </row>
    <row r="5531" spans="2:26" x14ac:dyDescent="0.25">
      <c r="B5531"/>
      <c r="Z5531"/>
    </row>
    <row r="5532" spans="2:26" x14ac:dyDescent="0.25">
      <c r="B5532"/>
      <c r="Z5532"/>
    </row>
    <row r="5533" spans="2:26" x14ac:dyDescent="0.25">
      <c r="B5533"/>
      <c r="Z5533"/>
    </row>
    <row r="5534" spans="2:26" x14ac:dyDescent="0.25">
      <c r="B5534"/>
      <c r="Z5534"/>
    </row>
    <row r="5535" spans="2:26" x14ac:dyDescent="0.25">
      <c r="B5535"/>
      <c r="Z5535"/>
    </row>
    <row r="5536" spans="2:26" x14ac:dyDescent="0.25">
      <c r="B5536"/>
      <c r="Z5536"/>
    </row>
    <row r="5537" spans="1:33" x14ac:dyDescent="0.25">
      <c r="A5537" s="6"/>
      <c r="B5537" s="6"/>
      <c r="C5537" s="6"/>
      <c r="D5537" s="6"/>
      <c r="E5537" s="6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  <c r="T5537" s="6"/>
      <c r="U5537" s="6"/>
      <c r="V5537" s="6"/>
      <c r="W5537" s="6"/>
      <c r="X5537" s="6"/>
      <c r="Y5537" s="6"/>
      <c r="Z5537" s="6"/>
      <c r="AA5537" s="6"/>
      <c r="AB5537" s="6"/>
      <c r="AC5537" s="6"/>
      <c r="AD5537" s="6"/>
      <c r="AE5537" s="6"/>
      <c r="AF5537" s="6"/>
      <c r="AG5537" s="6"/>
    </row>
    <row r="5538" spans="1:33" x14ac:dyDescent="0.25">
      <c r="B5538"/>
      <c r="Z5538"/>
    </row>
    <row r="5539" spans="1:33" x14ac:dyDescent="0.25">
      <c r="B5539"/>
      <c r="Z5539"/>
    </row>
    <row r="5540" spans="1:33" x14ac:dyDescent="0.25">
      <c r="B5540"/>
      <c r="Z5540"/>
    </row>
    <row r="5541" spans="1:33" x14ac:dyDescent="0.25">
      <c r="B5541"/>
      <c r="Z5541"/>
    </row>
    <row r="5542" spans="1:33" x14ac:dyDescent="0.25">
      <c r="B5542"/>
      <c r="Z5542"/>
    </row>
    <row r="5543" spans="1:33" x14ac:dyDescent="0.25">
      <c r="B5543"/>
      <c r="Z5543"/>
    </row>
    <row r="5544" spans="1:33" x14ac:dyDescent="0.25">
      <c r="B5544"/>
      <c r="Z5544"/>
    </row>
    <row r="5545" spans="1:33" x14ac:dyDescent="0.25">
      <c r="B5545"/>
      <c r="Z5545"/>
    </row>
    <row r="5546" spans="1:33" x14ac:dyDescent="0.25">
      <c r="B5546"/>
      <c r="Z5546"/>
    </row>
    <row r="5547" spans="1:33" x14ac:dyDescent="0.25">
      <c r="B5547"/>
      <c r="Z5547"/>
    </row>
    <row r="5548" spans="1:33" x14ac:dyDescent="0.25">
      <c r="B5548"/>
      <c r="Z5548"/>
    </row>
    <row r="5549" spans="1:33" x14ac:dyDescent="0.25">
      <c r="B5549"/>
      <c r="Z5549"/>
    </row>
    <row r="5550" spans="1:33" x14ac:dyDescent="0.25">
      <c r="B5550"/>
      <c r="Z5550"/>
    </row>
    <row r="5551" spans="1:33" x14ac:dyDescent="0.25">
      <c r="B5551"/>
      <c r="Z5551"/>
    </row>
    <row r="5552" spans="1:33" x14ac:dyDescent="0.25">
      <c r="B5552"/>
      <c r="Z5552"/>
    </row>
    <row r="5553" spans="2:26" x14ac:dyDescent="0.25">
      <c r="B5553"/>
      <c r="Z5553"/>
    </row>
    <row r="5554" spans="2:26" x14ac:dyDescent="0.25">
      <c r="B5554"/>
      <c r="Z5554"/>
    </row>
    <row r="5555" spans="2:26" x14ac:dyDescent="0.25">
      <c r="B5555"/>
      <c r="Z5555"/>
    </row>
    <row r="5556" spans="2:26" x14ac:dyDescent="0.25">
      <c r="B5556"/>
      <c r="Z5556"/>
    </row>
    <row r="5557" spans="2:26" x14ac:dyDescent="0.25">
      <c r="B5557"/>
      <c r="Z5557"/>
    </row>
    <row r="5558" spans="2:26" x14ac:dyDescent="0.25">
      <c r="B5558"/>
      <c r="Z5558"/>
    </row>
    <row r="5559" spans="2:26" x14ac:dyDescent="0.25">
      <c r="B5559"/>
      <c r="Z5559"/>
    </row>
    <row r="5560" spans="2:26" x14ac:dyDescent="0.25">
      <c r="B5560"/>
      <c r="Z5560"/>
    </row>
    <row r="5561" spans="2:26" x14ac:dyDescent="0.25">
      <c r="B5561"/>
      <c r="Z5561"/>
    </row>
    <row r="5562" spans="2:26" x14ac:dyDescent="0.25">
      <c r="B5562"/>
      <c r="Z5562"/>
    </row>
    <row r="5563" spans="2:26" x14ac:dyDescent="0.25">
      <c r="B5563"/>
      <c r="Z5563"/>
    </row>
    <row r="5564" spans="2:26" x14ac:dyDescent="0.25">
      <c r="B5564"/>
      <c r="Z5564"/>
    </row>
    <row r="5565" spans="2:26" x14ac:dyDescent="0.25">
      <c r="B5565"/>
      <c r="Z5565"/>
    </row>
    <row r="5566" spans="2:26" x14ac:dyDescent="0.25">
      <c r="B5566"/>
      <c r="Z5566"/>
    </row>
    <row r="5567" spans="2:26" x14ac:dyDescent="0.25">
      <c r="B5567"/>
      <c r="Z5567"/>
    </row>
    <row r="5568" spans="2:26" x14ac:dyDescent="0.25">
      <c r="B5568"/>
      <c r="Z5568"/>
    </row>
    <row r="5569" spans="2:26" x14ac:dyDescent="0.25">
      <c r="B5569"/>
      <c r="Z5569"/>
    </row>
    <row r="5570" spans="2:26" x14ac:dyDescent="0.25">
      <c r="B5570"/>
      <c r="Z5570"/>
    </row>
    <row r="5571" spans="2:26" x14ac:dyDescent="0.25">
      <c r="B5571"/>
      <c r="Z5571"/>
    </row>
    <row r="5572" spans="2:26" x14ac:dyDescent="0.25">
      <c r="B5572"/>
      <c r="Z5572"/>
    </row>
    <row r="5573" spans="2:26" x14ac:dyDescent="0.25">
      <c r="B5573"/>
      <c r="Z5573"/>
    </row>
    <row r="5574" spans="2:26" x14ac:dyDescent="0.25">
      <c r="B5574"/>
      <c r="Z5574"/>
    </row>
    <row r="5575" spans="2:26" x14ac:dyDescent="0.25">
      <c r="B5575"/>
      <c r="Z5575"/>
    </row>
    <row r="5576" spans="2:26" x14ac:dyDescent="0.25">
      <c r="B5576"/>
      <c r="Z5576"/>
    </row>
    <row r="5577" spans="2:26" x14ac:dyDescent="0.25">
      <c r="B5577"/>
      <c r="Z5577"/>
    </row>
    <row r="5578" spans="2:26" x14ac:dyDescent="0.25">
      <c r="B5578"/>
      <c r="Z5578"/>
    </row>
    <row r="5579" spans="2:26" x14ac:dyDescent="0.25">
      <c r="B5579"/>
      <c r="Z5579"/>
    </row>
    <row r="5580" spans="2:26" x14ac:dyDescent="0.25">
      <c r="B5580"/>
      <c r="Z5580"/>
    </row>
    <row r="5581" spans="2:26" x14ac:dyDescent="0.25">
      <c r="B5581"/>
      <c r="Z5581"/>
    </row>
    <row r="5582" spans="2:26" x14ac:dyDescent="0.25">
      <c r="B5582"/>
      <c r="Z5582"/>
    </row>
    <row r="5583" spans="2:26" x14ac:dyDescent="0.25">
      <c r="B5583"/>
      <c r="Z5583"/>
    </row>
    <row r="5584" spans="2:26" x14ac:dyDescent="0.25">
      <c r="B5584"/>
      <c r="Z5584"/>
    </row>
    <row r="5585" spans="2:26" x14ac:dyDescent="0.25">
      <c r="B5585"/>
      <c r="Z5585"/>
    </row>
    <row r="5586" spans="2:26" x14ac:dyDescent="0.25">
      <c r="B5586"/>
      <c r="Z5586"/>
    </row>
    <row r="5587" spans="2:26" x14ac:dyDescent="0.25">
      <c r="B5587"/>
      <c r="Z5587"/>
    </row>
    <row r="5588" spans="2:26" x14ac:dyDescent="0.25">
      <c r="B5588"/>
      <c r="Z5588"/>
    </row>
    <row r="5589" spans="2:26" x14ac:dyDescent="0.25">
      <c r="B5589"/>
      <c r="Z5589"/>
    </row>
    <row r="5590" spans="2:26" x14ac:dyDescent="0.25">
      <c r="B5590"/>
      <c r="Z5590"/>
    </row>
    <row r="5591" spans="2:26" x14ac:dyDescent="0.25">
      <c r="B5591"/>
      <c r="Z5591"/>
    </row>
    <row r="5592" spans="2:26" x14ac:dyDescent="0.25">
      <c r="B5592"/>
      <c r="Z5592"/>
    </row>
    <row r="5593" spans="2:26" x14ac:dyDescent="0.25">
      <c r="B5593"/>
      <c r="Z5593"/>
    </row>
    <row r="5594" spans="2:26" x14ac:dyDescent="0.25">
      <c r="B5594"/>
      <c r="Z5594"/>
    </row>
    <row r="5595" spans="2:26" x14ac:dyDescent="0.25">
      <c r="B5595"/>
      <c r="Z5595"/>
    </row>
    <row r="5596" spans="2:26" x14ac:dyDescent="0.25">
      <c r="B5596"/>
      <c r="Z5596"/>
    </row>
    <row r="5597" spans="2:26" x14ac:dyDescent="0.25">
      <c r="B5597"/>
      <c r="Z5597"/>
    </row>
    <row r="5598" spans="2:26" x14ac:dyDescent="0.25">
      <c r="B5598"/>
      <c r="Z5598"/>
    </row>
    <row r="5599" spans="2:26" x14ac:dyDescent="0.25">
      <c r="B5599"/>
      <c r="Z5599"/>
    </row>
    <row r="5600" spans="2:26" x14ac:dyDescent="0.25">
      <c r="B5600"/>
      <c r="Z5600"/>
    </row>
    <row r="5601" spans="2:26" x14ac:dyDescent="0.25">
      <c r="B5601"/>
      <c r="Z5601"/>
    </row>
    <row r="5602" spans="2:26" x14ac:dyDescent="0.25">
      <c r="B5602"/>
      <c r="Z5602"/>
    </row>
    <row r="5603" spans="2:26" x14ac:dyDescent="0.25">
      <c r="B5603"/>
      <c r="Z5603"/>
    </row>
    <row r="5604" spans="2:26" x14ac:dyDescent="0.25">
      <c r="B5604"/>
      <c r="Z5604"/>
    </row>
    <row r="5605" spans="2:26" x14ac:dyDescent="0.25">
      <c r="B5605"/>
      <c r="Z5605"/>
    </row>
    <row r="5606" spans="2:26" x14ac:dyDescent="0.25">
      <c r="B5606"/>
      <c r="Z5606"/>
    </row>
    <row r="5607" spans="2:26" x14ac:dyDescent="0.25">
      <c r="B5607"/>
      <c r="Z5607"/>
    </row>
    <row r="5608" spans="2:26" x14ac:dyDescent="0.25">
      <c r="B5608"/>
      <c r="Z5608"/>
    </row>
    <row r="5609" spans="2:26" x14ac:dyDescent="0.25">
      <c r="B5609"/>
      <c r="Z5609"/>
    </row>
    <row r="5610" spans="2:26" x14ac:dyDescent="0.25">
      <c r="B5610"/>
      <c r="Z5610"/>
    </row>
    <row r="5611" spans="2:26" x14ac:dyDescent="0.25">
      <c r="B5611"/>
      <c r="Z5611"/>
    </row>
    <row r="5612" spans="2:26" x14ac:dyDescent="0.25">
      <c r="B5612"/>
      <c r="Z5612"/>
    </row>
    <row r="5613" spans="2:26" x14ac:dyDescent="0.25">
      <c r="B5613"/>
      <c r="Z5613"/>
    </row>
    <row r="5614" spans="2:26" x14ac:dyDescent="0.25">
      <c r="B5614"/>
      <c r="Z5614"/>
    </row>
    <row r="5615" spans="2:26" x14ac:dyDescent="0.25">
      <c r="B5615"/>
      <c r="Z5615"/>
    </row>
    <row r="5616" spans="2:26" x14ac:dyDescent="0.25">
      <c r="B5616"/>
      <c r="Z5616"/>
    </row>
    <row r="5617" spans="2:26" x14ac:dyDescent="0.25">
      <c r="B5617"/>
      <c r="Z5617"/>
    </row>
    <row r="5618" spans="2:26" x14ac:dyDescent="0.25">
      <c r="B5618"/>
      <c r="Z5618"/>
    </row>
    <row r="5619" spans="2:26" x14ac:dyDescent="0.25">
      <c r="B5619"/>
      <c r="Z5619"/>
    </row>
    <row r="5620" spans="2:26" x14ac:dyDescent="0.25">
      <c r="B5620"/>
      <c r="Z5620"/>
    </row>
    <row r="5621" spans="2:26" x14ac:dyDescent="0.25">
      <c r="B5621"/>
      <c r="Z5621"/>
    </row>
    <row r="5622" spans="2:26" x14ac:dyDescent="0.25">
      <c r="B5622"/>
      <c r="Z5622"/>
    </row>
    <row r="5623" spans="2:26" x14ac:dyDescent="0.25">
      <c r="B5623"/>
      <c r="Z5623"/>
    </row>
    <row r="5624" spans="2:26" x14ac:dyDescent="0.25">
      <c r="B5624"/>
      <c r="Z5624"/>
    </row>
    <row r="5625" spans="2:26" x14ac:dyDescent="0.25">
      <c r="B5625"/>
      <c r="Z5625"/>
    </row>
    <row r="5626" spans="2:26" x14ac:dyDescent="0.25">
      <c r="B5626"/>
      <c r="Z5626"/>
    </row>
    <row r="5627" spans="2:26" x14ac:dyDescent="0.25">
      <c r="B5627"/>
      <c r="K5627" s="6"/>
      <c r="Z5627"/>
    </row>
    <row r="5628" spans="2:26" x14ac:dyDescent="0.25">
      <c r="B5628"/>
      <c r="Z5628"/>
    </row>
    <row r="5629" spans="2:26" x14ac:dyDescent="0.25">
      <c r="B5629"/>
      <c r="Z5629"/>
    </row>
    <row r="5630" spans="2:26" x14ac:dyDescent="0.25">
      <c r="B5630"/>
      <c r="Z5630"/>
    </row>
    <row r="5631" spans="2:26" x14ac:dyDescent="0.25">
      <c r="B5631"/>
      <c r="Z5631"/>
    </row>
    <row r="5632" spans="2:26" x14ac:dyDescent="0.25">
      <c r="B5632"/>
      <c r="Z5632"/>
    </row>
    <row r="5633" spans="1:33" x14ac:dyDescent="0.25">
      <c r="B5633"/>
      <c r="Z5633"/>
    </row>
    <row r="5634" spans="1:33" x14ac:dyDescent="0.25">
      <c r="B5634"/>
      <c r="Z5634"/>
    </row>
    <row r="5635" spans="1:33" x14ac:dyDescent="0.25">
      <c r="B5635"/>
      <c r="Z5635"/>
    </row>
    <row r="5636" spans="1:33" x14ac:dyDescent="0.25">
      <c r="B5636"/>
      <c r="Z5636"/>
    </row>
    <row r="5637" spans="1:33" x14ac:dyDescent="0.25">
      <c r="B5637"/>
      <c r="Z5637"/>
    </row>
    <row r="5638" spans="1:33" x14ac:dyDescent="0.25">
      <c r="B5638"/>
      <c r="Z5638"/>
    </row>
    <row r="5639" spans="1:33" x14ac:dyDescent="0.25">
      <c r="B5639"/>
      <c r="Z5639"/>
    </row>
    <row r="5640" spans="1:33" x14ac:dyDescent="0.25">
      <c r="B5640"/>
      <c r="Z5640"/>
    </row>
    <row r="5641" spans="1:33" x14ac:dyDescent="0.25">
      <c r="A5641" s="6"/>
      <c r="B5641" s="6"/>
      <c r="C5641" s="6"/>
      <c r="D5641" s="6"/>
      <c r="E5641" s="6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  <c r="T5641" s="6"/>
      <c r="U5641" s="6"/>
      <c r="V5641" s="6"/>
      <c r="W5641" s="6"/>
      <c r="X5641" s="6"/>
      <c r="Y5641" s="6"/>
      <c r="Z5641" s="6"/>
      <c r="AA5641" s="6"/>
      <c r="AB5641" s="6"/>
      <c r="AC5641" s="6"/>
      <c r="AD5641" s="6"/>
      <c r="AE5641" s="6"/>
      <c r="AF5641" s="6"/>
      <c r="AG5641" s="6"/>
    </row>
    <row r="5642" spans="1:33" x14ac:dyDescent="0.25">
      <c r="B5642"/>
      <c r="Z5642"/>
    </row>
    <row r="5643" spans="1:33" x14ac:dyDescent="0.25">
      <c r="B5643"/>
      <c r="Z5643"/>
    </row>
    <row r="5644" spans="1:33" x14ac:dyDescent="0.25">
      <c r="B5644"/>
      <c r="Z5644"/>
    </row>
    <row r="5645" spans="1:33" x14ac:dyDescent="0.25">
      <c r="B5645"/>
      <c r="Z5645"/>
    </row>
    <row r="5646" spans="1:33" x14ac:dyDescent="0.25">
      <c r="B5646"/>
      <c r="Z5646"/>
    </row>
    <row r="5647" spans="1:33" x14ac:dyDescent="0.25">
      <c r="B5647"/>
      <c r="Z5647"/>
    </row>
    <row r="5648" spans="1:33" x14ac:dyDescent="0.25">
      <c r="B5648"/>
      <c r="Z5648"/>
    </row>
    <row r="5649" spans="2:26" x14ac:dyDescent="0.25">
      <c r="B5649"/>
      <c r="Z5649"/>
    </row>
    <row r="5650" spans="2:26" x14ac:dyDescent="0.25">
      <c r="B5650"/>
      <c r="Z5650"/>
    </row>
    <row r="5651" spans="2:26" x14ac:dyDescent="0.25">
      <c r="B5651"/>
      <c r="Z5651"/>
    </row>
    <row r="5652" spans="2:26" x14ac:dyDescent="0.25">
      <c r="B5652"/>
      <c r="Z5652"/>
    </row>
    <row r="5653" spans="2:26" x14ac:dyDescent="0.25">
      <c r="B5653"/>
      <c r="Z5653"/>
    </row>
    <row r="5654" spans="2:26" x14ac:dyDescent="0.25">
      <c r="B5654"/>
      <c r="Z5654"/>
    </row>
    <row r="5655" spans="2:26" x14ac:dyDescent="0.25">
      <c r="B5655"/>
      <c r="Z5655"/>
    </row>
    <row r="5656" spans="2:26" x14ac:dyDescent="0.25">
      <c r="B5656"/>
      <c r="Z5656"/>
    </row>
    <row r="5657" spans="2:26" x14ac:dyDescent="0.25">
      <c r="B5657"/>
      <c r="Z5657"/>
    </row>
    <row r="5658" spans="2:26" x14ac:dyDescent="0.25">
      <c r="B5658"/>
      <c r="Z5658"/>
    </row>
    <row r="5659" spans="2:26" x14ac:dyDescent="0.25">
      <c r="B5659"/>
      <c r="Z5659"/>
    </row>
    <row r="5660" spans="2:26" x14ac:dyDescent="0.25">
      <c r="B5660"/>
      <c r="Z5660"/>
    </row>
    <row r="5661" spans="2:26" x14ac:dyDescent="0.25">
      <c r="B5661"/>
      <c r="Z5661"/>
    </row>
    <row r="5662" spans="2:26" x14ac:dyDescent="0.25">
      <c r="B5662"/>
      <c r="Z5662"/>
    </row>
    <row r="5663" spans="2:26" x14ac:dyDescent="0.25">
      <c r="B5663"/>
      <c r="Z5663"/>
    </row>
    <row r="5664" spans="2:26" x14ac:dyDescent="0.25">
      <c r="B5664"/>
      <c r="Z5664"/>
    </row>
    <row r="5665" spans="2:26" x14ac:dyDescent="0.25">
      <c r="B5665"/>
      <c r="Z5665"/>
    </row>
    <row r="5666" spans="2:26" x14ac:dyDescent="0.25">
      <c r="B5666"/>
      <c r="Z5666"/>
    </row>
    <row r="5667" spans="2:26" x14ac:dyDescent="0.25">
      <c r="B5667"/>
      <c r="Z5667"/>
    </row>
    <row r="5668" spans="2:26" x14ac:dyDescent="0.25">
      <c r="B5668"/>
      <c r="Z5668"/>
    </row>
    <row r="5669" spans="2:26" x14ac:dyDescent="0.25">
      <c r="B5669"/>
      <c r="Z5669"/>
    </row>
    <row r="5670" spans="2:26" x14ac:dyDescent="0.25">
      <c r="B5670"/>
      <c r="Z5670"/>
    </row>
    <row r="5671" spans="2:26" x14ac:dyDescent="0.25">
      <c r="B5671"/>
      <c r="Z5671"/>
    </row>
    <row r="5672" spans="2:26" x14ac:dyDescent="0.25">
      <c r="B5672"/>
      <c r="Z5672"/>
    </row>
    <row r="5673" spans="2:26" x14ac:dyDescent="0.25">
      <c r="B5673"/>
      <c r="Z5673"/>
    </row>
    <row r="5674" spans="2:26" x14ac:dyDescent="0.25">
      <c r="B5674"/>
      <c r="Z5674"/>
    </row>
    <row r="5675" spans="2:26" x14ac:dyDescent="0.25">
      <c r="B5675"/>
      <c r="Z5675"/>
    </row>
    <row r="5676" spans="2:26" x14ac:dyDescent="0.25">
      <c r="B5676"/>
      <c r="Z5676"/>
    </row>
    <row r="5677" spans="2:26" x14ac:dyDescent="0.25">
      <c r="B5677"/>
      <c r="Z5677"/>
    </row>
    <row r="5678" spans="2:26" x14ac:dyDescent="0.25">
      <c r="B5678"/>
      <c r="Z5678"/>
    </row>
    <row r="5679" spans="2:26" x14ac:dyDescent="0.25">
      <c r="B5679"/>
      <c r="Z5679"/>
    </row>
    <row r="5680" spans="2:26" x14ac:dyDescent="0.25">
      <c r="B5680"/>
      <c r="Z5680"/>
    </row>
    <row r="5681" spans="2:26" x14ac:dyDescent="0.25">
      <c r="B5681"/>
      <c r="Z5681"/>
    </row>
    <row r="5682" spans="2:26" x14ac:dyDescent="0.25">
      <c r="B5682"/>
      <c r="Z5682"/>
    </row>
    <row r="5683" spans="2:26" x14ac:dyDescent="0.25">
      <c r="B5683"/>
      <c r="Z5683"/>
    </row>
    <row r="5684" spans="2:26" x14ac:dyDescent="0.25">
      <c r="B5684"/>
      <c r="Z5684"/>
    </row>
    <row r="5685" spans="2:26" x14ac:dyDescent="0.25">
      <c r="B5685"/>
      <c r="Z5685"/>
    </row>
    <row r="5686" spans="2:26" x14ac:dyDescent="0.25">
      <c r="B5686"/>
      <c r="Z5686"/>
    </row>
    <row r="5687" spans="2:26" x14ac:dyDescent="0.25">
      <c r="B5687"/>
      <c r="Z5687"/>
    </row>
    <row r="5688" spans="2:26" x14ac:dyDescent="0.25">
      <c r="B5688"/>
      <c r="Z5688"/>
    </row>
    <row r="5689" spans="2:26" x14ac:dyDescent="0.25">
      <c r="B5689"/>
      <c r="Z5689"/>
    </row>
    <row r="5690" spans="2:26" x14ac:dyDescent="0.25">
      <c r="B5690"/>
      <c r="Z5690"/>
    </row>
    <row r="5691" spans="2:26" x14ac:dyDescent="0.25">
      <c r="B5691"/>
      <c r="Z5691"/>
    </row>
    <row r="5692" spans="2:26" x14ac:dyDescent="0.25">
      <c r="B5692"/>
      <c r="Z5692"/>
    </row>
    <row r="5693" spans="2:26" x14ac:dyDescent="0.25">
      <c r="B5693"/>
      <c r="Z5693"/>
    </row>
    <row r="5694" spans="2:26" x14ac:dyDescent="0.25">
      <c r="B5694"/>
      <c r="Z5694"/>
    </row>
    <row r="5695" spans="2:26" x14ac:dyDescent="0.25">
      <c r="B5695"/>
      <c r="Z5695"/>
    </row>
    <row r="5696" spans="2:26" x14ac:dyDescent="0.25">
      <c r="B5696"/>
      <c r="Z5696"/>
    </row>
    <row r="5697" spans="2:26" x14ac:dyDescent="0.25">
      <c r="B5697"/>
      <c r="Z5697"/>
    </row>
    <row r="5698" spans="2:26" x14ac:dyDescent="0.25">
      <c r="B5698"/>
      <c r="Z5698"/>
    </row>
    <row r="5699" spans="2:26" x14ac:dyDescent="0.25">
      <c r="B5699"/>
      <c r="Z5699"/>
    </row>
    <row r="5700" spans="2:26" x14ac:dyDescent="0.25">
      <c r="B5700"/>
      <c r="Z5700"/>
    </row>
    <row r="5701" spans="2:26" x14ac:dyDescent="0.25">
      <c r="B5701"/>
      <c r="Z5701"/>
    </row>
    <row r="5702" spans="2:26" x14ac:dyDescent="0.25">
      <c r="B5702"/>
      <c r="Z5702"/>
    </row>
    <row r="5703" spans="2:26" x14ac:dyDescent="0.25">
      <c r="B5703"/>
      <c r="Z5703"/>
    </row>
    <row r="5704" spans="2:26" x14ac:dyDescent="0.25">
      <c r="B5704"/>
      <c r="Z5704"/>
    </row>
    <row r="5705" spans="2:26" x14ac:dyDescent="0.25">
      <c r="B5705"/>
      <c r="Z5705"/>
    </row>
    <row r="5706" spans="2:26" x14ac:dyDescent="0.25">
      <c r="B5706"/>
      <c r="Z5706"/>
    </row>
    <row r="5707" spans="2:26" x14ac:dyDescent="0.25">
      <c r="B5707"/>
      <c r="Z5707"/>
    </row>
    <row r="5708" spans="2:26" x14ac:dyDescent="0.25">
      <c r="B5708"/>
      <c r="Z5708"/>
    </row>
    <row r="5709" spans="2:26" x14ac:dyDescent="0.25">
      <c r="B5709"/>
      <c r="Z5709"/>
    </row>
    <row r="5710" spans="2:26" x14ac:dyDescent="0.25">
      <c r="B5710"/>
      <c r="Z5710"/>
    </row>
    <row r="5711" spans="2:26" x14ac:dyDescent="0.25">
      <c r="B5711"/>
      <c r="Z5711"/>
    </row>
    <row r="5712" spans="2:26" x14ac:dyDescent="0.25">
      <c r="B5712"/>
      <c r="Z5712"/>
    </row>
    <row r="5713" spans="2:26" x14ac:dyDescent="0.25">
      <c r="B5713"/>
      <c r="Z5713"/>
    </row>
    <row r="5714" spans="2:26" x14ac:dyDescent="0.25">
      <c r="B5714"/>
      <c r="Z5714"/>
    </row>
    <row r="5715" spans="2:26" x14ac:dyDescent="0.25">
      <c r="B5715"/>
      <c r="Z5715"/>
    </row>
    <row r="5716" spans="2:26" x14ac:dyDescent="0.25">
      <c r="B5716"/>
      <c r="Z5716"/>
    </row>
    <row r="5717" spans="2:26" x14ac:dyDescent="0.25">
      <c r="B5717"/>
      <c r="Z5717"/>
    </row>
    <row r="5718" spans="2:26" x14ac:dyDescent="0.25">
      <c r="B5718"/>
      <c r="Z5718"/>
    </row>
    <row r="5719" spans="2:26" x14ac:dyDescent="0.25">
      <c r="B5719"/>
      <c r="Z5719"/>
    </row>
    <row r="5720" spans="2:26" x14ac:dyDescent="0.25">
      <c r="B5720"/>
      <c r="Z5720"/>
    </row>
    <row r="5721" spans="2:26" x14ac:dyDescent="0.25">
      <c r="B5721"/>
      <c r="Z5721"/>
    </row>
    <row r="5722" spans="2:26" x14ac:dyDescent="0.25">
      <c r="B5722"/>
      <c r="Z5722"/>
    </row>
    <row r="5723" spans="2:26" x14ac:dyDescent="0.25">
      <c r="B5723"/>
      <c r="Z5723"/>
    </row>
    <row r="5724" spans="2:26" x14ac:dyDescent="0.25">
      <c r="B5724"/>
      <c r="Z5724"/>
    </row>
    <row r="5725" spans="2:26" x14ac:dyDescent="0.25">
      <c r="B5725"/>
      <c r="Z5725"/>
    </row>
    <row r="5726" spans="2:26" x14ac:dyDescent="0.25">
      <c r="B5726"/>
      <c r="Z5726"/>
    </row>
    <row r="5727" spans="2:26" x14ac:dyDescent="0.25">
      <c r="B5727"/>
      <c r="Z5727"/>
    </row>
    <row r="5728" spans="2:26" x14ac:dyDescent="0.25">
      <c r="B5728"/>
      <c r="Z5728"/>
    </row>
    <row r="5729" spans="2:26" x14ac:dyDescent="0.25">
      <c r="B5729"/>
      <c r="Z5729"/>
    </row>
    <row r="5730" spans="2:26" x14ac:dyDescent="0.25">
      <c r="B5730"/>
      <c r="Z5730"/>
    </row>
    <row r="5731" spans="2:26" x14ac:dyDescent="0.25">
      <c r="B5731"/>
      <c r="Z5731"/>
    </row>
    <row r="5732" spans="2:26" x14ac:dyDescent="0.25">
      <c r="B5732"/>
      <c r="Z5732"/>
    </row>
    <row r="5733" spans="2:26" x14ac:dyDescent="0.25">
      <c r="B5733"/>
      <c r="Z5733"/>
    </row>
    <row r="5734" spans="2:26" x14ac:dyDescent="0.25">
      <c r="B5734"/>
      <c r="Z5734"/>
    </row>
    <row r="5735" spans="2:26" x14ac:dyDescent="0.25">
      <c r="B5735"/>
      <c r="Z5735"/>
    </row>
    <row r="5736" spans="2:26" x14ac:dyDescent="0.25">
      <c r="B5736"/>
      <c r="K5736" s="6"/>
      <c r="Z5736"/>
    </row>
    <row r="5737" spans="2:26" x14ac:dyDescent="0.25">
      <c r="B5737"/>
      <c r="Z5737"/>
    </row>
    <row r="5738" spans="2:26" x14ac:dyDescent="0.25">
      <c r="B5738"/>
      <c r="Z5738"/>
    </row>
    <row r="5739" spans="2:26" x14ac:dyDescent="0.25">
      <c r="B5739"/>
      <c r="Z5739"/>
    </row>
    <row r="5740" spans="2:26" x14ac:dyDescent="0.25">
      <c r="B5740"/>
      <c r="Z5740"/>
    </row>
    <row r="5741" spans="2:26" x14ac:dyDescent="0.25">
      <c r="B5741"/>
      <c r="Z5741"/>
    </row>
    <row r="5742" spans="2:26" x14ac:dyDescent="0.25">
      <c r="B5742"/>
      <c r="Z5742"/>
    </row>
    <row r="5743" spans="2:26" x14ac:dyDescent="0.25">
      <c r="B5743"/>
      <c r="Z5743"/>
    </row>
    <row r="5744" spans="2:26" x14ac:dyDescent="0.25">
      <c r="B5744"/>
      <c r="Z5744"/>
    </row>
    <row r="5745" spans="1:33" x14ac:dyDescent="0.25">
      <c r="A5745" s="6"/>
      <c r="B5745" s="6"/>
      <c r="C5745" s="6"/>
      <c r="D5745" s="6"/>
      <c r="E5745" s="6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  <c r="T5745" s="6"/>
      <c r="U5745" s="6"/>
      <c r="V5745" s="6"/>
      <c r="W5745" s="6"/>
      <c r="X5745" s="6"/>
      <c r="Y5745" s="6"/>
      <c r="Z5745" s="6"/>
      <c r="AA5745" s="6"/>
      <c r="AB5745" s="6"/>
      <c r="AC5745" s="6"/>
      <c r="AD5745" s="6"/>
      <c r="AE5745" s="6"/>
      <c r="AF5745" s="6"/>
      <c r="AG5745" s="6"/>
    </row>
    <row r="5746" spans="1:33" x14ac:dyDescent="0.25">
      <c r="B5746"/>
      <c r="Z5746"/>
    </row>
    <row r="5747" spans="1:33" x14ac:dyDescent="0.25">
      <c r="B5747"/>
      <c r="Z5747"/>
    </row>
    <row r="5748" spans="1:33" x14ac:dyDescent="0.25">
      <c r="B5748"/>
      <c r="Z5748"/>
    </row>
    <row r="5749" spans="1:33" x14ac:dyDescent="0.25">
      <c r="B5749"/>
      <c r="Z5749"/>
    </row>
    <row r="5750" spans="1:33" x14ac:dyDescent="0.25">
      <c r="B5750"/>
      <c r="Z5750"/>
    </row>
    <row r="5751" spans="1:33" x14ac:dyDescent="0.25">
      <c r="B5751"/>
      <c r="Z5751"/>
    </row>
    <row r="5752" spans="1:33" x14ac:dyDescent="0.25">
      <c r="B5752"/>
      <c r="Z5752"/>
    </row>
    <row r="5753" spans="1:33" x14ac:dyDescent="0.25">
      <c r="B5753"/>
      <c r="Z5753"/>
    </row>
    <row r="5754" spans="1:33" x14ac:dyDescent="0.25">
      <c r="B5754"/>
      <c r="Z5754"/>
    </row>
    <row r="5755" spans="1:33" x14ac:dyDescent="0.25">
      <c r="B5755"/>
      <c r="Z5755"/>
    </row>
    <row r="5756" spans="1:33" x14ac:dyDescent="0.25">
      <c r="B5756"/>
      <c r="Z5756"/>
    </row>
    <row r="5757" spans="1:33" x14ac:dyDescent="0.25">
      <c r="B5757"/>
      <c r="Z5757"/>
    </row>
    <row r="5758" spans="1:33" x14ac:dyDescent="0.25">
      <c r="B5758"/>
      <c r="Z5758"/>
    </row>
    <row r="5759" spans="1:33" x14ac:dyDescent="0.25">
      <c r="B5759"/>
      <c r="Z5759"/>
    </row>
    <row r="5760" spans="1:33" x14ac:dyDescent="0.25">
      <c r="B5760"/>
      <c r="Z5760"/>
    </row>
    <row r="5761" spans="2:26" x14ac:dyDescent="0.25">
      <c r="B5761"/>
      <c r="Z5761"/>
    </row>
    <row r="5762" spans="2:26" x14ac:dyDescent="0.25">
      <c r="B5762"/>
      <c r="Z5762"/>
    </row>
    <row r="5763" spans="2:26" x14ac:dyDescent="0.25">
      <c r="B5763"/>
      <c r="Z5763"/>
    </row>
    <row r="5764" spans="2:26" x14ac:dyDescent="0.25">
      <c r="B5764"/>
      <c r="Z5764"/>
    </row>
    <row r="5765" spans="2:26" x14ac:dyDescent="0.25">
      <c r="B5765"/>
      <c r="Z5765"/>
    </row>
    <row r="5766" spans="2:26" x14ac:dyDescent="0.25">
      <c r="B5766"/>
      <c r="Z5766"/>
    </row>
    <row r="5767" spans="2:26" x14ac:dyDescent="0.25">
      <c r="B5767"/>
      <c r="Z5767"/>
    </row>
    <row r="5768" spans="2:26" x14ac:dyDescent="0.25">
      <c r="B5768"/>
      <c r="Z5768"/>
    </row>
    <row r="5769" spans="2:26" x14ac:dyDescent="0.25">
      <c r="B5769"/>
      <c r="Z5769"/>
    </row>
    <row r="5770" spans="2:26" x14ac:dyDescent="0.25">
      <c r="B5770"/>
      <c r="Z5770"/>
    </row>
    <row r="5771" spans="2:26" x14ac:dyDescent="0.25">
      <c r="B5771"/>
      <c r="Z5771"/>
    </row>
    <row r="5772" spans="2:26" x14ac:dyDescent="0.25">
      <c r="B5772"/>
      <c r="Z5772"/>
    </row>
    <row r="5773" spans="2:26" x14ac:dyDescent="0.25">
      <c r="B5773"/>
      <c r="Z5773"/>
    </row>
    <row r="5774" spans="2:26" x14ac:dyDescent="0.25">
      <c r="B5774"/>
      <c r="Z5774"/>
    </row>
    <row r="5775" spans="2:26" x14ac:dyDescent="0.25">
      <c r="B5775"/>
      <c r="Z5775"/>
    </row>
    <row r="5776" spans="2:26" x14ac:dyDescent="0.25">
      <c r="B5776"/>
      <c r="Z5776"/>
    </row>
    <row r="5777" spans="2:26" x14ac:dyDescent="0.25">
      <c r="B5777"/>
      <c r="Z5777"/>
    </row>
    <row r="5778" spans="2:26" x14ac:dyDescent="0.25">
      <c r="B5778"/>
      <c r="Z5778"/>
    </row>
    <row r="5779" spans="2:26" x14ac:dyDescent="0.25">
      <c r="B5779"/>
      <c r="Z5779"/>
    </row>
    <row r="5780" spans="2:26" x14ac:dyDescent="0.25">
      <c r="B5780"/>
      <c r="Z5780"/>
    </row>
    <row r="5781" spans="2:26" x14ac:dyDescent="0.25">
      <c r="B5781"/>
      <c r="Z5781"/>
    </row>
    <row r="5782" spans="2:26" x14ac:dyDescent="0.25">
      <c r="B5782"/>
      <c r="Z5782"/>
    </row>
    <row r="5783" spans="2:26" x14ac:dyDescent="0.25">
      <c r="B5783"/>
      <c r="Z5783"/>
    </row>
    <row r="5784" spans="2:26" x14ac:dyDescent="0.25">
      <c r="B5784"/>
      <c r="Z5784"/>
    </row>
    <row r="5785" spans="2:26" x14ac:dyDescent="0.25">
      <c r="B5785"/>
      <c r="Z5785"/>
    </row>
    <row r="5786" spans="2:26" x14ac:dyDescent="0.25">
      <c r="B5786"/>
      <c r="Z5786"/>
    </row>
    <row r="5787" spans="2:26" x14ac:dyDescent="0.25">
      <c r="B5787"/>
      <c r="Z5787"/>
    </row>
    <row r="5788" spans="2:26" x14ac:dyDescent="0.25">
      <c r="B5788"/>
      <c r="Z5788"/>
    </row>
    <row r="5789" spans="2:26" x14ac:dyDescent="0.25">
      <c r="B5789"/>
      <c r="Z5789"/>
    </row>
    <row r="5790" spans="2:26" x14ac:dyDescent="0.25">
      <c r="B5790"/>
      <c r="Z5790"/>
    </row>
    <row r="5791" spans="2:26" x14ac:dyDescent="0.25">
      <c r="B5791"/>
      <c r="Z5791"/>
    </row>
    <row r="5792" spans="2:26" x14ac:dyDescent="0.25">
      <c r="B5792"/>
      <c r="Z5792"/>
    </row>
    <row r="5793" spans="2:26" x14ac:dyDescent="0.25">
      <c r="B5793"/>
      <c r="Z5793"/>
    </row>
    <row r="5794" spans="2:26" x14ac:dyDescent="0.25">
      <c r="B5794"/>
      <c r="Z5794"/>
    </row>
    <row r="5795" spans="2:26" x14ac:dyDescent="0.25">
      <c r="B5795"/>
      <c r="Z5795"/>
    </row>
    <row r="5796" spans="2:26" x14ac:dyDescent="0.25">
      <c r="B5796"/>
      <c r="Z5796"/>
    </row>
    <row r="5797" spans="2:26" x14ac:dyDescent="0.25">
      <c r="B5797"/>
      <c r="Z5797"/>
    </row>
    <row r="5798" spans="2:26" x14ac:dyDescent="0.25">
      <c r="B5798"/>
      <c r="Z5798"/>
    </row>
    <row r="5799" spans="2:26" x14ac:dyDescent="0.25">
      <c r="B5799"/>
      <c r="Z5799"/>
    </row>
    <row r="5800" spans="2:26" x14ac:dyDescent="0.25">
      <c r="B5800"/>
      <c r="Z5800"/>
    </row>
    <row r="5801" spans="2:26" x14ac:dyDescent="0.25">
      <c r="B5801"/>
      <c r="Z5801"/>
    </row>
    <row r="5802" spans="2:26" x14ac:dyDescent="0.25">
      <c r="B5802"/>
      <c r="Z5802"/>
    </row>
    <row r="5803" spans="2:26" x14ac:dyDescent="0.25">
      <c r="B5803"/>
      <c r="Z5803"/>
    </row>
    <row r="5804" spans="2:26" x14ac:dyDescent="0.25">
      <c r="B5804"/>
      <c r="Z5804"/>
    </row>
    <row r="5805" spans="2:26" x14ac:dyDescent="0.25">
      <c r="B5805"/>
      <c r="Z5805"/>
    </row>
    <row r="5806" spans="2:26" x14ac:dyDescent="0.25">
      <c r="B5806"/>
      <c r="Z5806"/>
    </row>
    <row r="5807" spans="2:26" x14ac:dyDescent="0.25">
      <c r="B5807"/>
      <c r="Z5807"/>
    </row>
    <row r="5808" spans="2:26" x14ac:dyDescent="0.25">
      <c r="B5808"/>
      <c r="Z5808"/>
    </row>
    <row r="5809" spans="2:26" x14ac:dyDescent="0.25">
      <c r="B5809"/>
      <c r="Z5809"/>
    </row>
    <row r="5810" spans="2:26" x14ac:dyDescent="0.25">
      <c r="B5810"/>
      <c r="Z5810"/>
    </row>
    <row r="5811" spans="2:26" x14ac:dyDescent="0.25">
      <c r="B5811"/>
      <c r="Z5811"/>
    </row>
    <row r="5812" spans="2:26" x14ac:dyDescent="0.25">
      <c r="B5812"/>
      <c r="Z5812"/>
    </row>
    <row r="5813" spans="2:26" x14ac:dyDescent="0.25">
      <c r="B5813"/>
      <c r="Z5813"/>
    </row>
    <row r="5814" spans="2:26" x14ac:dyDescent="0.25">
      <c r="B5814"/>
      <c r="Z5814"/>
    </row>
    <row r="5815" spans="2:26" x14ac:dyDescent="0.25">
      <c r="B5815"/>
      <c r="Z5815"/>
    </row>
    <row r="5816" spans="2:26" x14ac:dyDescent="0.25">
      <c r="B5816"/>
      <c r="Z5816"/>
    </row>
    <row r="5817" spans="2:26" x14ac:dyDescent="0.25">
      <c r="B5817"/>
      <c r="Z5817"/>
    </row>
    <row r="5818" spans="2:26" x14ac:dyDescent="0.25">
      <c r="B5818"/>
      <c r="Z5818"/>
    </row>
    <row r="5819" spans="2:26" x14ac:dyDescent="0.25">
      <c r="B5819"/>
      <c r="Z5819"/>
    </row>
    <row r="5820" spans="2:26" x14ac:dyDescent="0.25">
      <c r="B5820"/>
      <c r="Z5820"/>
    </row>
    <row r="5821" spans="2:26" x14ac:dyDescent="0.25">
      <c r="B5821"/>
      <c r="Z5821"/>
    </row>
    <row r="5822" spans="2:26" x14ac:dyDescent="0.25">
      <c r="B5822"/>
      <c r="Z5822"/>
    </row>
    <row r="5823" spans="2:26" x14ac:dyDescent="0.25">
      <c r="B5823"/>
      <c r="Z5823"/>
    </row>
    <row r="5824" spans="2:26" x14ac:dyDescent="0.25">
      <c r="B5824"/>
      <c r="Z5824"/>
    </row>
    <row r="5825" spans="2:26" x14ac:dyDescent="0.25">
      <c r="B5825"/>
      <c r="Z5825"/>
    </row>
    <row r="5826" spans="2:26" x14ac:dyDescent="0.25">
      <c r="B5826"/>
      <c r="Z5826"/>
    </row>
    <row r="5827" spans="2:26" x14ac:dyDescent="0.25">
      <c r="B5827"/>
      <c r="Z5827"/>
    </row>
    <row r="5828" spans="2:26" x14ac:dyDescent="0.25">
      <c r="B5828"/>
      <c r="Z5828"/>
    </row>
    <row r="5829" spans="2:26" x14ac:dyDescent="0.25">
      <c r="B5829"/>
      <c r="Z5829"/>
    </row>
    <row r="5830" spans="2:26" x14ac:dyDescent="0.25">
      <c r="B5830"/>
      <c r="Z5830"/>
    </row>
    <row r="5831" spans="2:26" x14ac:dyDescent="0.25">
      <c r="B5831"/>
      <c r="Z5831"/>
    </row>
    <row r="5832" spans="2:26" x14ac:dyDescent="0.25">
      <c r="B5832"/>
      <c r="Z5832"/>
    </row>
    <row r="5833" spans="2:26" x14ac:dyDescent="0.25">
      <c r="B5833"/>
      <c r="Z5833"/>
    </row>
    <row r="5834" spans="2:26" x14ac:dyDescent="0.25">
      <c r="B5834"/>
      <c r="Z5834"/>
    </row>
    <row r="5835" spans="2:26" x14ac:dyDescent="0.25">
      <c r="B5835"/>
      <c r="Z5835"/>
    </row>
    <row r="5836" spans="2:26" x14ac:dyDescent="0.25">
      <c r="B5836"/>
      <c r="Z5836"/>
    </row>
    <row r="5837" spans="2:26" x14ac:dyDescent="0.25">
      <c r="B5837"/>
      <c r="Z5837"/>
    </row>
    <row r="5838" spans="2:26" x14ac:dyDescent="0.25">
      <c r="B5838"/>
      <c r="Z5838"/>
    </row>
    <row r="5839" spans="2:26" x14ac:dyDescent="0.25">
      <c r="B5839"/>
      <c r="K5839" s="6"/>
      <c r="Z5839"/>
    </row>
    <row r="5840" spans="2:26" x14ac:dyDescent="0.25">
      <c r="B5840"/>
      <c r="Z5840"/>
    </row>
    <row r="5841" spans="1:33" x14ac:dyDescent="0.25">
      <c r="B5841"/>
      <c r="Z5841"/>
    </row>
    <row r="5842" spans="1:33" x14ac:dyDescent="0.25">
      <c r="B5842"/>
      <c r="Z5842"/>
    </row>
    <row r="5843" spans="1:33" x14ac:dyDescent="0.25">
      <c r="B5843"/>
      <c r="Z5843"/>
    </row>
    <row r="5844" spans="1:33" x14ac:dyDescent="0.25">
      <c r="B5844"/>
      <c r="Z5844"/>
    </row>
    <row r="5845" spans="1:33" x14ac:dyDescent="0.25">
      <c r="B5845"/>
      <c r="Z5845"/>
    </row>
    <row r="5846" spans="1:33" x14ac:dyDescent="0.25">
      <c r="B5846"/>
      <c r="Z5846"/>
    </row>
    <row r="5847" spans="1:33" x14ac:dyDescent="0.25">
      <c r="B5847"/>
      <c r="Z5847"/>
    </row>
    <row r="5848" spans="1:33" x14ac:dyDescent="0.25">
      <c r="B5848"/>
      <c r="Z5848"/>
    </row>
    <row r="5849" spans="1:33" x14ac:dyDescent="0.25">
      <c r="A5849" s="6"/>
      <c r="B5849" s="6"/>
      <c r="C5849" s="6"/>
      <c r="D5849" s="6"/>
      <c r="E5849" s="6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  <c r="T5849" s="6"/>
      <c r="U5849" s="6"/>
      <c r="V5849" s="6"/>
      <c r="W5849" s="6"/>
      <c r="X5849" s="6"/>
      <c r="Y5849" s="6"/>
      <c r="Z5849" s="6"/>
      <c r="AA5849" s="6"/>
      <c r="AB5849" s="6"/>
      <c r="AC5849" s="6"/>
      <c r="AD5849" s="6"/>
      <c r="AE5849" s="6"/>
      <c r="AF5849" s="6"/>
      <c r="AG5849" s="6"/>
    </row>
    <row r="5850" spans="1:33" x14ac:dyDescent="0.25">
      <c r="B5850"/>
      <c r="Z5850"/>
    </row>
    <row r="5851" spans="1:33" x14ac:dyDescent="0.25">
      <c r="B5851"/>
      <c r="Z5851"/>
    </row>
    <row r="5852" spans="1:33" x14ac:dyDescent="0.25">
      <c r="B5852"/>
      <c r="Z5852"/>
    </row>
    <row r="5853" spans="1:33" x14ac:dyDescent="0.25">
      <c r="B5853"/>
      <c r="Z5853"/>
    </row>
    <row r="5854" spans="1:33" x14ac:dyDescent="0.25">
      <c r="B5854"/>
      <c r="Z5854"/>
    </row>
    <row r="5855" spans="1:33" x14ac:dyDescent="0.25">
      <c r="B5855"/>
      <c r="Z5855"/>
    </row>
    <row r="5856" spans="1:33" x14ac:dyDescent="0.25">
      <c r="B5856"/>
      <c r="Z5856"/>
    </row>
    <row r="5857" spans="2:26" x14ac:dyDescent="0.25">
      <c r="B5857"/>
      <c r="Z5857"/>
    </row>
    <row r="5858" spans="2:26" x14ac:dyDescent="0.25">
      <c r="B5858"/>
      <c r="Z5858"/>
    </row>
    <row r="5859" spans="2:26" x14ac:dyDescent="0.25">
      <c r="B5859"/>
      <c r="Z5859"/>
    </row>
    <row r="5860" spans="2:26" x14ac:dyDescent="0.25">
      <c r="B5860"/>
      <c r="Z5860"/>
    </row>
    <row r="5861" spans="2:26" x14ac:dyDescent="0.25">
      <c r="B5861"/>
      <c r="Z5861"/>
    </row>
    <row r="5862" spans="2:26" x14ac:dyDescent="0.25">
      <c r="B5862"/>
      <c r="Z5862"/>
    </row>
    <row r="5863" spans="2:26" x14ac:dyDescent="0.25">
      <c r="B5863"/>
      <c r="Z5863"/>
    </row>
    <row r="5864" spans="2:26" x14ac:dyDescent="0.25">
      <c r="B5864"/>
      <c r="Z5864"/>
    </row>
    <row r="5865" spans="2:26" x14ac:dyDescent="0.25">
      <c r="B5865"/>
      <c r="Z5865"/>
    </row>
    <row r="5866" spans="2:26" x14ac:dyDescent="0.25">
      <c r="B5866"/>
      <c r="Z5866"/>
    </row>
    <row r="5867" spans="2:26" x14ac:dyDescent="0.25">
      <c r="B5867"/>
      <c r="Z5867"/>
    </row>
    <row r="5868" spans="2:26" x14ac:dyDescent="0.25">
      <c r="B5868"/>
      <c r="Z5868"/>
    </row>
    <row r="5869" spans="2:26" x14ac:dyDescent="0.25">
      <c r="B5869"/>
      <c r="Z5869"/>
    </row>
    <row r="5870" spans="2:26" x14ac:dyDescent="0.25">
      <c r="B5870"/>
      <c r="Z5870"/>
    </row>
    <row r="5871" spans="2:26" x14ac:dyDescent="0.25">
      <c r="B5871"/>
      <c r="Z5871"/>
    </row>
    <row r="5872" spans="2:26" x14ac:dyDescent="0.25">
      <c r="B5872"/>
      <c r="Z5872"/>
    </row>
    <row r="5873" spans="2:26" x14ac:dyDescent="0.25">
      <c r="B5873"/>
      <c r="Z5873"/>
    </row>
    <row r="5874" spans="2:26" x14ac:dyDescent="0.25">
      <c r="B5874"/>
      <c r="Z5874"/>
    </row>
    <row r="5875" spans="2:26" x14ac:dyDescent="0.25">
      <c r="B5875"/>
      <c r="Z5875"/>
    </row>
    <row r="5876" spans="2:26" x14ac:dyDescent="0.25">
      <c r="B5876"/>
      <c r="Z5876"/>
    </row>
    <row r="5877" spans="2:26" x14ac:dyDescent="0.25">
      <c r="B5877"/>
      <c r="Z5877"/>
    </row>
    <row r="5878" spans="2:26" x14ac:dyDescent="0.25">
      <c r="B5878"/>
      <c r="Z5878"/>
    </row>
    <row r="5879" spans="2:26" x14ac:dyDescent="0.25">
      <c r="B5879"/>
      <c r="Z5879"/>
    </row>
    <row r="5880" spans="2:26" x14ac:dyDescent="0.25">
      <c r="B5880"/>
      <c r="Z5880"/>
    </row>
    <row r="5881" spans="2:26" x14ac:dyDescent="0.25">
      <c r="B5881"/>
      <c r="Z5881"/>
    </row>
    <row r="5882" spans="2:26" x14ac:dyDescent="0.25">
      <c r="B5882"/>
      <c r="Z5882"/>
    </row>
    <row r="5883" spans="2:26" x14ac:dyDescent="0.25">
      <c r="B5883"/>
      <c r="Z5883"/>
    </row>
    <row r="5884" spans="2:26" x14ac:dyDescent="0.25">
      <c r="B5884"/>
      <c r="Z5884"/>
    </row>
    <row r="5885" spans="2:26" x14ac:dyDescent="0.25">
      <c r="B5885"/>
      <c r="Z5885"/>
    </row>
    <row r="5886" spans="2:26" x14ac:dyDescent="0.25">
      <c r="B5886"/>
      <c r="Z5886"/>
    </row>
    <row r="5887" spans="2:26" x14ac:dyDescent="0.25">
      <c r="B5887"/>
      <c r="Z5887"/>
    </row>
    <row r="5888" spans="2:26" x14ac:dyDescent="0.25">
      <c r="B5888"/>
      <c r="Z5888"/>
    </row>
    <row r="5889" spans="2:26" x14ac:dyDescent="0.25">
      <c r="B5889"/>
      <c r="Z5889"/>
    </row>
    <row r="5890" spans="2:26" x14ac:dyDescent="0.25">
      <c r="B5890"/>
      <c r="Z5890"/>
    </row>
    <row r="5891" spans="2:26" x14ac:dyDescent="0.25">
      <c r="B5891"/>
      <c r="Z5891"/>
    </row>
    <row r="5892" spans="2:26" x14ac:dyDescent="0.25">
      <c r="B5892"/>
      <c r="Z5892"/>
    </row>
    <row r="5893" spans="2:26" x14ac:dyDescent="0.25">
      <c r="B5893"/>
      <c r="Z5893"/>
    </row>
    <row r="5894" spans="2:26" x14ac:dyDescent="0.25">
      <c r="B5894"/>
      <c r="Z5894"/>
    </row>
    <row r="5895" spans="2:26" x14ac:dyDescent="0.25">
      <c r="B5895"/>
      <c r="Z5895"/>
    </row>
    <row r="5896" spans="2:26" x14ac:dyDescent="0.25">
      <c r="B5896"/>
      <c r="Z5896"/>
    </row>
    <row r="5897" spans="2:26" x14ac:dyDescent="0.25">
      <c r="B5897"/>
      <c r="Z5897"/>
    </row>
    <row r="5898" spans="2:26" x14ac:dyDescent="0.25">
      <c r="B5898"/>
      <c r="Z5898"/>
    </row>
    <row r="5899" spans="2:26" x14ac:dyDescent="0.25">
      <c r="B5899"/>
      <c r="Z5899"/>
    </row>
    <row r="5900" spans="2:26" x14ac:dyDescent="0.25">
      <c r="B5900"/>
      <c r="Z5900"/>
    </row>
    <row r="5901" spans="2:26" x14ac:dyDescent="0.25">
      <c r="B5901"/>
      <c r="Z5901"/>
    </row>
    <row r="5902" spans="2:26" x14ac:dyDescent="0.25">
      <c r="B5902"/>
      <c r="Z5902"/>
    </row>
    <row r="5903" spans="2:26" x14ac:dyDescent="0.25">
      <c r="B5903"/>
      <c r="Z5903"/>
    </row>
    <row r="5904" spans="2:26" x14ac:dyDescent="0.25">
      <c r="B5904"/>
      <c r="Z5904"/>
    </row>
    <row r="5905" spans="2:26" x14ac:dyDescent="0.25">
      <c r="B5905"/>
      <c r="Z5905"/>
    </row>
    <row r="5906" spans="2:26" x14ac:dyDescent="0.25">
      <c r="B5906"/>
      <c r="Z5906"/>
    </row>
    <row r="5907" spans="2:26" x14ac:dyDescent="0.25">
      <c r="B5907"/>
      <c r="Z5907"/>
    </row>
    <row r="5908" spans="2:26" x14ac:dyDescent="0.25">
      <c r="B5908"/>
      <c r="Z5908"/>
    </row>
    <row r="5909" spans="2:26" x14ac:dyDescent="0.25">
      <c r="B5909"/>
      <c r="Z5909"/>
    </row>
    <row r="5910" spans="2:26" x14ac:dyDescent="0.25">
      <c r="B5910"/>
      <c r="Z5910"/>
    </row>
    <row r="5911" spans="2:26" x14ac:dyDescent="0.25">
      <c r="B5911"/>
      <c r="Z5911"/>
    </row>
    <row r="5912" spans="2:26" x14ac:dyDescent="0.25">
      <c r="B5912"/>
      <c r="Z5912"/>
    </row>
    <row r="5913" spans="2:26" x14ac:dyDescent="0.25">
      <c r="B5913"/>
      <c r="Z5913"/>
    </row>
    <row r="5914" spans="2:26" x14ac:dyDescent="0.25">
      <c r="B5914"/>
      <c r="Z5914"/>
    </row>
    <row r="5915" spans="2:26" x14ac:dyDescent="0.25">
      <c r="B5915"/>
      <c r="Z5915"/>
    </row>
    <row r="5916" spans="2:26" x14ac:dyDescent="0.25">
      <c r="B5916"/>
      <c r="Z5916"/>
    </row>
    <row r="5917" spans="2:26" x14ac:dyDescent="0.25">
      <c r="B5917"/>
      <c r="Z5917"/>
    </row>
    <row r="5918" spans="2:26" x14ac:dyDescent="0.25">
      <c r="B5918"/>
      <c r="Z5918"/>
    </row>
    <row r="5919" spans="2:26" x14ac:dyDescent="0.25">
      <c r="B5919"/>
      <c r="Z5919"/>
    </row>
    <row r="5920" spans="2:26" x14ac:dyDescent="0.25">
      <c r="B5920"/>
      <c r="Z5920"/>
    </row>
    <row r="5921" spans="2:26" x14ac:dyDescent="0.25">
      <c r="B5921"/>
      <c r="Z5921"/>
    </row>
    <row r="5922" spans="2:26" x14ac:dyDescent="0.25">
      <c r="B5922"/>
      <c r="Z5922"/>
    </row>
    <row r="5923" spans="2:26" x14ac:dyDescent="0.25">
      <c r="B5923"/>
      <c r="Z5923"/>
    </row>
    <row r="5924" spans="2:26" x14ac:dyDescent="0.25">
      <c r="B5924"/>
      <c r="Z5924"/>
    </row>
    <row r="5925" spans="2:26" x14ac:dyDescent="0.25">
      <c r="B5925"/>
      <c r="Z5925"/>
    </row>
    <row r="5926" spans="2:26" x14ac:dyDescent="0.25">
      <c r="B5926"/>
      <c r="Z5926"/>
    </row>
    <row r="5927" spans="2:26" x14ac:dyDescent="0.25">
      <c r="B5927"/>
      <c r="Z5927"/>
    </row>
    <row r="5928" spans="2:26" x14ac:dyDescent="0.25">
      <c r="B5928"/>
      <c r="Z5928"/>
    </row>
    <row r="5929" spans="2:26" x14ac:dyDescent="0.25">
      <c r="B5929"/>
      <c r="Z5929"/>
    </row>
    <row r="5930" spans="2:26" x14ac:dyDescent="0.25">
      <c r="B5930"/>
      <c r="Z5930"/>
    </row>
    <row r="5931" spans="2:26" x14ac:dyDescent="0.25">
      <c r="B5931"/>
      <c r="Z5931"/>
    </row>
    <row r="5932" spans="2:26" x14ac:dyDescent="0.25">
      <c r="B5932"/>
      <c r="Z5932"/>
    </row>
    <row r="5933" spans="2:26" x14ac:dyDescent="0.25">
      <c r="B5933"/>
      <c r="Z5933"/>
    </row>
    <row r="5934" spans="2:26" x14ac:dyDescent="0.25">
      <c r="B5934"/>
      <c r="Z5934"/>
    </row>
    <row r="5935" spans="2:26" x14ac:dyDescent="0.25">
      <c r="B5935"/>
      <c r="Z5935"/>
    </row>
    <row r="5936" spans="2:26" x14ac:dyDescent="0.25">
      <c r="B5936"/>
      <c r="Z5936"/>
    </row>
    <row r="5937" spans="2:26" x14ac:dyDescent="0.25">
      <c r="B5937"/>
      <c r="Z5937"/>
    </row>
    <row r="5938" spans="2:26" x14ac:dyDescent="0.25">
      <c r="B5938"/>
      <c r="Z5938"/>
    </row>
    <row r="5939" spans="2:26" x14ac:dyDescent="0.25">
      <c r="B5939"/>
      <c r="Z5939"/>
    </row>
    <row r="5940" spans="2:26" x14ac:dyDescent="0.25">
      <c r="B5940"/>
      <c r="Z5940"/>
    </row>
    <row r="5941" spans="2:26" x14ac:dyDescent="0.25">
      <c r="B5941"/>
      <c r="Z5941"/>
    </row>
    <row r="5942" spans="2:26" x14ac:dyDescent="0.25">
      <c r="B5942"/>
      <c r="Z5942"/>
    </row>
    <row r="5943" spans="2:26" x14ac:dyDescent="0.25">
      <c r="B5943"/>
      <c r="Z5943"/>
    </row>
    <row r="5944" spans="2:26" x14ac:dyDescent="0.25">
      <c r="B5944"/>
      <c r="Z5944"/>
    </row>
    <row r="5945" spans="2:26" x14ac:dyDescent="0.25">
      <c r="B5945"/>
      <c r="Z5945"/>
    </row>
    <row r="5946" spans="2:26" x14ac:dyDescent="0.25">
      <c r="B5946"/>
      <c r="Z5946"/>
    </row>
    <row r="5947" spans="2:26" x14ac:dyDescent="0.25">
      <c r="B5947"/>
      <c r="Z5947"/>
    </row>
    <row r="5948" spans="2:26" x14ac:dyDescent="0.25">
      <c r="B5948"/>
      <c r="Z5948"/>
    </row>
    <row r="5949" spans="2:26" x14ac:dyDescent="0.25">
      <c r="B5949"/>
      <c r="Z5949"/>
    </row>
    <row r="5950" spans="2:26" x14ac:dyDescent="0.25">
      <c r="B5950"/>
      <c r="Z5950"/>
    </row>
    <row r="5951" spans="2:26" x14ac:dyDescent="0.25">
      <c r="B5951"/>
      <c r="K5951" s="6"/>
      <c r="Z5951"/>
    </row>
    <row r="5952" spans="2:26" x14ac:dyDescent="0.25">
      <c r="B5952"/>
      <c r="Z5952"/>
    </row>
    <row r="5953" spans="1:33" x14ac:dyDescent="0.25">
      <c r="A5953" s="6"/>
      <c r="B5953" s="6"/>
      <c r="C5953" s="6"/>
      <c r="D5953" s="6"/>
      <c r="E5953" s="6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  <c r="T5953" s="6"/>
      <c r="U5953" s="6"/>
      <c r="V5953" s="6"/>
      <c r="W5953" s="6"/>
      <c r="X5953" s="6"/>
      <c r="Y5953" s="6"/>
      <c r="Z5953" s="6"/>
      <c r="AA5953" s="6"/>
      <c r="AB5953" s="6"/>
      <c r="AC5953" s="6"/>
      <c r="AD5953" s="6"/>
      <c r="AE5953" s="6"/>
      <c r="AF5953" s="6"/>
      <c r="AG5953" s="6"/>
    </row>
    <row r="5954" spans="1:33" x14ac:dyDescent="0.25">
      <c r="B5954"/>
      <c r="Z5954"/>
    </row>
    <row r="5955" spans="1:33" x14ac:dyDescent="0.25">
      <c r="B5955"/>
      <c r="Z5955"/>
    </row>
    <row r="5956" spans="1:33" x14ac:dyDescent="0.25">
      <c r="B5956"/>
      <c r="Z5956"/>
    </row>
    <row r="5957" spans="1:33" x14ac:dyDescent="0.25">
      <c r="B5957"/>
      <c r="Z5957"/>
    </row>
    <row r="5958" spans="1:33" x14ac:dyDescent="0.25">
      <c r="B5958"/>
      <c r="Z5958"/>
    </row>
    <row r="5959" spans="1:33" x14ac:dyDescent="0.25">
      <c r="B5959"/>
      <c r="Z5959"/>
    </row>
    <row r="5960" spans="1:33" x14ac:dyDescent="0.25">
      <c r="B5960"/>
      <c r="Z5960"/>
    </row>
    <row r="5961" spans="1:33" x14ac:dyDescent="0.25">
      <c r="B5961"/>
      <c r="Z5961"/>
    </row>
    <row r="5962" spans="1:33" x14ac:dyDescent="0.25">
      <c r="B5962"/>
      <c r="Z5962"/>
    </row>
    <row r="5963" spans="1:33" x14ac:dyDescent="0.25">
      <c r="B5963"/>
      <c r="Z5963"/>
    </row>
    <row r="5964" spans="1:33" x14ac:dyDescent="0.25">
      <c r="B5964"/>
      <c r="Z5964"/>
    </row>
    <row r="5965" spans="1:33" x14ac:dyDescent="0.25">
      <c r="B5965"/>
      <c r="Z5965"/>
    </row>
    <row r="5966" spans="1:33" x14ac:dyDescent="0.25">
      <c r="B5966"/>
      <c r="Z5966"/>
    </row>
    <row r="5967" spans="1:33" x14ac:dyDescent="0.25">
      <c r="B5967"/>
      <c r="Z5967"/>
    </row>
    <row r="5968" spans="1:33" x14ac:dyDescent="0.25">
      <c r="B5968"/>
      <c r="Z5968"/>
    </row>
    <row r="5969" spans="2:26" x14ac:dyDescent="0.25">
      <c r="B5969"/>
      <c r="Z5969"/>
    </row>
    <row r="5970" spans="2:26" x14ac:dyDescent="0.25">
      <c r="B5970"/>
      <c r="Z5970"/>
    </row>
    <row r="5971" spans="2:26" x14ac:dyDescent="0.25">
      <c r="B5971"/>
      <c r="Z5971"/>
    </row>
    <row r="5972" spans="2:26" x14ac:dyDescent="0.25">
      <c r="B5972"/>
      <c r="Z5972"/>
    </row>
    <row r="5973" spans="2:26" x14ac:dyDescent="0.25">
      <c r="B5973"/>
      <c r="Z5973"/>
    </row>
    <row r="5974" spans="2:26" x14ac:dyDescent="0.25">
      <c r="B5974"/>
      <c r="Z5974"/>
    </row>
    <row r="5975" spans="2:26" x14ac:dyDescent="0.25">
      <c r="B5975"/>
      <c r="Z5975"/>
    </row>
    <row r="5976" spans="2:26" x14ac:dyDescent="0.25">
      <c r="B5976"/>
      <c r="Z5976"/>
    </row>
    <row r="5977" spans="2:26" x14ac:dyDescent="0.25">
      <c r="B5977"/>
      <c r="Z5977"/>
    </row>
    <row r="5978" spans="2:26" x14ac:dyDescent="0.25">
      <c r="B5978"/>
      <c r="Z5978"/>
    </row>
    <row r="5979" spans="2:26" x14ac:dyDescent="0.25">
      <c r="B5979"/>
      <c r="Z5979"/>
    </row>
    <row r="5980" spans="2:26" x14ac:dyDescent="0.25">
      <c r="B5980"/>
      <c r="Z5980"/>
    </row>
    <row r="5981" spans="2:26" x14ac:dyDescent="0.25">
      <c r="B5981"/>
      <c r="Z5981"/>
    </row>
    <row r="5982" spans="2:26" x14ac:dyDescent="0.25">
      <c r="B5982"/>
      <c r="Z5982"/>
    </row>
    <row r="5983" spans="2:26" x14ac:dyDescent="0.25">
      <c r="B5983"/>
      <c r="Z5983"/>
    </row>
    <row r="5984" spans="2:26" x14ac:dyDescent="0.25">
      <c r="B5984"/>
      <c r="Z5984"/>
    </row>
    <row r="5985" spans="2:26" x14ac:dyDescent="0.25">
      <c r="B5985"/>
      <c r="Z5985"/>
    </row>
    <row r="5986" spans="2:26" x14ac:dyDescent="0.25">
      <c r="B5986"/>
      <c r="Z5986"/>
    </row>
    <row r="5987" spans="2:26" x14ac:dyDescent="0.25">
      <c r="B5987"/>
      <c r="Z5987"/>
    </row>
    <row r="5988" spans="2:26" x14ac:dyDescent="0.25">
      <c r="B5988"/>
      <c r="Z5988"/>
    </row>
    <row r="5989" spans="2:26" x14ac:dyDescent="0.25">
      <c r="B5989"/>
      <c r="Z5989"/>
    </row>
    <row r="5990" spans="2:26" x14ac:dyDescent="0.25">
      <c r="B5990"/>
      <c r="Z5990"/>
    </row>
    <row r="5991" spans="2:26" x14ac:dyDescent="0.25">
      <c r="B5991"/>
      <c r="Z5991"/>
    </row>
    <row r="5992" spans="2:26" x14ac:dyDescent="0.25">
      <c r="B5992"/>
      <c r="Z5992"/>
    </row>
    <row r="5993" spans="2:26" x14ac:dyDescent="0.25">
      <c r="B5993"/>
      <c r="Z5993"/>
    </row>
    <row r="5994" spans="2:26" x14ac:dyDescent="0.25">
      <c r="B5994"/>
      <c r="Z5994"/>
    </row>
    <row r="5995" spans="2:26" x14ac:dyDescent="0.25">
      <c r="B5995"/>
      <c r="Z5995"/>
    </row>
    <row r="5996" spans="2:26" x14ac:dyDescent="0.25">
      <c r="B5996"/>
      <c r="Z5996"/>
    </row>
    <row r="5997" spans="2:26" x14ac:dyDescent="0.25">
      <c r="B5997"/>
      <c r="Z5997"/>
    </row>
    <row r="5998" spans="2:26" x14ac:dyDescent="0.25">
      <c r="B5998"/>
      <c r="Z5998"/>
    </row>
    <row r="5999" spans="2:26" x14ac:dyDescent="0.25">
      <c r="B5999"/>
      <c r="Z5999"/>
    </row>
    <row r="6000" spans="2:26" x14ac:dyDescent="0.25">
      <c r="B6000"/>
      <c r="Z6000"/>
    </row>
    <row r="6001" spans="2:26" x14ac:dyDescent="0.25">
      <c r="B6001"/>
      <c r="Z6001"/>
    </row>
    <row r="6002" spans="2:26" x14ac:dyDescent="0.25">
      <c r="B6002"/>
      <c r="Z6002"/>
    </row>
    <row r="6003" spans="2:26" x14ac:dyDescent="0.25">
      <c r="B6003"/>
      <c r="Z6003"/>
    </row>
    <row r="6004" spans="2:26" x14ac:dyDescent="0.25">
      <c r="B6004"/>
      <c r="Z6004"/>
    </row>
    <row r="6005" spans="2:26" x14ac:dyDescent="0.25">
      <c r="B6005"/>
      <c r="Z6005"/>
    </row>
    <row r="6006" spans="2:26" x14ac:dyDescent="0.25">
      <c r="B6006"/>
      <c r="Z6006"/>
    </row>
    <row r="6007" spans="2:26" x14ac:dyDescent="0.25">
      <c r="B6007"/>
      <c r="Z6007"/>
    </row>
    <row r="6008" spans="2:26" x14ac:dyDescent="0.25">
      <c r="B6008"/>
      <c r="Z6008"/>
    </row>
    <row r="6009" spans="2:26" x14ac:dyDescent="0.25">
      <c r="B6009"/>
      <c r="Z6009"/>
    </row>
    <row r="6010" spans="2:26" x14ac:dyDescent="0.25">
      <c r="B6010"/>
      <c r="Z6010"/>
    </row>
    <row r="6011" spans="2:26" x14ac:dyDescent="0.25">
      <c r="B6011"/>
      <c r="Z6011"/>
    </row>
    <row r="6012" spans="2:26" x14ac:dyDescent="0.25">
      <c r="B6012"/>
      <c r="Z6012"/>
    </row>
    <row r="6013" spans="2:26" x14ac:dyDescent="0.25">
      <c r="B6013"/>
      <c r="Z6013"/>
    </row>
    <row r="6014" spans="2:26" x14ac:dyDescent="0.25">
      <c r="B6014"/>
      <c r="Z6014"/>
    </row>
    <row r="6015" spans="2:26" x14ac:dyDescent="0.25">
      <c r="B6015"/>
      <c r="Z6015"/>
    </row>
    <row r="6016" spans="2:26" x14ac:dyDescent="0.25">
      <c r="B6016"/>
      <c r="Z6016"/>
    </row>
    <row r="6017" spans="2:26" x14ac:dyDescent="0.25">
      <c r="B6017"/>
      <c r="Z6017"/>
    </row>
    <row r="6018" spans="2:26" x14ac:dyDescent="0.25">
      <c r="B6018"/>
      <c r="Z6018"/>
    </row>
    <row r="6019" spans="2:26" x14ac:dyDescent="0.25">
      <c r="B6019"/>
      <c r="Z6019"/>
    </row>
    <row r="6020" spans="2:26" x14ac:dyDescent="0.25">
      <c r="B6020"/>
      <c r="Z6020"/>
    </row>
    <row r="6021" spans="2:26" x14ac:dyDescent="0.25">
      <c r="B6021"/>
      <c r="Z6021"/>
    </row>
    <row r="6022" spans="2:26" x14ac:dyDescent="0.25">
      <c r="B6022"/>
      <c r="Z6022"/>
    </row>
    <row r="6023" spans="2:26" x14ac:dyDescent="0.25">
      <c r="B6023"/>
      <c r="Z6023"/>
    </row>
    <row r="6024" spans="2:26" x14ac:dyDescent="0.25">
      <c r="B6024"/>
      <c r="Z6024"/>
    </row>
    <row r="6025" spans="2:26" x14ac:dyDescent="0.25">
      <c r="B6025"/>
      <c r="Z6025"/>
    </row>
    <row r="6026" spans="2:26" x14ac:dyDescent="0.25">
      <c r="B6026"/>
      <c r="Z6026"/>
    </row>
    <row r="6027" spans="2:26" x14ac:dyDescent="0.25">
      <c r="B6027"/>
      <c r="Z6027"/>
    </row>
    <row r="6028" spans="2:26" x14ac:dyDescent="0.25">
      <c r="B6028"/>
      <c r="Z6028"/>
    </row>
    <row r="6029" spans="2:26" x14ac:dyDescent="0.25">
      <c r="B6029"/>
      <c r="Z6029"/>
    </row>
    <row r="6030" spans="2:26" x14ac:dyDescent="0.25">
      <c r="B6030"/>
      <c r="Z6030"/>
    </row>
    <row r="6031" spans="2:26" x14ac:dyDescent="0.25">
      <c r="B6031"/>
      <c r="Z6031"/>
    </row>
    <row r="6032" spans="2:26" x14ac:dyDescent="0.25">
      <c r="B6032"/>
      <c r="Z6032"/>
    </row>
    <row r="6033" spans="2:26" x14ac:dyDescent="0.25">
      <c r="B6033"/>
      <c r="Z6033"/>
    </row>
    <row r="6034" spans="2:26" x14ac:dyDescent="0.25">
      <c r="B6034"/>
      <c r="Z6034"/>
    </row>
    <row r="6035" spans="2:26" x14ac:dyDescent="0.25">
      <c r="B6035"/>
      <c r="Z6035"/>
    </row>
    <row r="6036" spans="2:26" x14ac:dyDescent="0.25">
      <c r="B6036"/>
      <c r="Z6036"/>
    </row>
    <row r="6037" spans="2:26" x14ac:dyDescent="0.25">
      <c r="B6037"/>
      <c r="Z6037"/>
    </row>
    <row r="6038" spans="2:26" x14ac:dyDescent="0.25">
      <c r="B6038"/>
      <c r="Z6038"/>
    </row>
    <row r="6039" spans="2:26" x14ac:dyDescent="0.25">
      <c r="B6039"/>
      <c r="Z6039"/>
    </row>
    <row r="6040" spans="2:26" x14ac:dyDescent="0.25">
      <c r="B6040"/>
      <c r="Z6040"/>
    </row>
    <row r="6041" spans="2:26" x14ac:dyDescent="0.25">
      <c r="B6041"/>
      <c r="Z6041"/>
    </row>
    <row r="6042" spans="2:26" x14ac:dyDescent="0.25">
      <c r="B6042"/>
      <c r="Z6042"/>
    </row>
    <row r="6043" spans="2:26" x14ac:dyDescent="0.25">
      <c r="B6043"/>
      <c r="Z6043"/>
    </row>
    <row r="6044" spans="2:26" x14ac:dyDescent="0.25">
      <c r="B6044"/>
      <c r="Z6044"/>
    </row>
    <row r="6045" spans="2:26" x14ac:dyDescent="0.25">
      <c r="B6045"/>
      <c r="Z6045"/>
    </row>
    <row r="6046" spans="2:26" x14ac:dyDescent="0.25">
      <c r="B6046"/>
      <c r="Z6046"/>
    </row>
    <row r="6047" spans="2:26" x14ac:dyDescent="0.25">
      <c r="B6047"/>
      <c r="Z6047"/>
    </row>
    <row r="6048" spans="2:26" x14ac:dyDescent="0.25">
      <c r="B6048"/>
      <c r="Z6048"/>
    </row>
    <row r="6049" spans="1:33" x14ac:dyDescent="0.25">
      <c r="B6049"/>
      <c r="Z6049"/>
    </row>
    <row r="6050" spans="1:33" x14ac:dyDescent="0.25">
      <c r="B6050"/>
      <c r="Z6050"/>
    </row>
    <row r="6051" spans="1:33" x14ac:dyDescent="0.25">
      <c r="B6051"/>
      <c r="Z6051"/>
    </row>
    <row r="6052" spans="1:33" x14ac:dyDescent="0.25">
      <c r="B6052"/>
      <c r="Z6052"/>
    </row>
    <row r="6053" spans="1:33" x14ac:dyDescent="0.25">
      <c r="B6053"/>
      <c r="Z6053"/>
    </row>
    <row r="6054" spans="1:33" x14ac:dyDescent="0.25">
      <c r="B6054"/>
      <c r="Z6054"/>
    </row>
    <row r="6055" spans="1:33" x14ac:dyDescent="0.25">
      <c r="B6055"/>
      <c r="K6055" s="6"/>
      <c r="Z6055"/>
    </row>
    <row r="6056" spans="1:33" x14ac:dyDescent="0.25">
      <c r="B6056"/>
      <c r="Z6056"/>
    </row>
    <row r="6057" spans="1:33" x14ac:dyDescent="0.25">
      <c r="A6057" s="6"/>
      <c r="B6057" s="6"/>
      <c r="C6057" s="6"/>
      <c r="D6057" s="6"/>
      <c r="E6057" s="6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  <c r="T6057" s="6"/>
      <c r="U6057" s="6"/>
      <c r="V6057" s="6"/>
      <c r="W6057" s="6"/>
      <c r="X6057" s="6"/>
      <c r="Y6057" s="6"/>
      <c r="Z6057" s="6"/>
      <c r="AA6057" s="6"/>
      <c r="AB6057" s="6"/>
      <c r="AC6057" s="6"/>
      <c r="AD6057" s="6"/>
      <c r="AE6057" s="6"/>
      <c r="AF6057" s="6"/>
      <c r="AG6057" s="6"/>
    </row>
    <row r="6058" spans="1:33" x14ac:dyDescent="0.25">
      <c r="B6058"/>
      <c r="Z6058"/>
    </row>
    <row r="6059" spans="1:33" x14ac:dyDescent="0.25">
      <c r="B6059"/>
      <c r="Z6059"/>
    </row>
    <row r="6060" spans="1:33" x14ac:dyDescent="0.25">
      <c r="B6060"/>
      <c r="Z6060"/>
    </row>
    <row r="6061" spans="1:33" x14ac:dyDescent="0.25">
      <c r="B6061"/>
      <c r="Z6061"/>
    </row>
    <row r="6062" spans="1:33" x14ac:dyDescent="0.25">
      <c r="B6062"/>
      <c r="Z6062"/>
    </row>
    <row r="6063" spans="1:33" x14ac:dyDescent="0.25">
      <c r="B6063"/>
      <c r="Z6063"/>
    </row>
    <row r="6064" spans="1:33" x14ac:dyDescent="0.25">
      <c r="B6064"/>
      <c r="Z6064"/>
    </row>
    <row r="6065" spans="2:26" x14ac:dyDescent="0.25">
      <c r="B6065"/>
      <c r="Z6065"/>
    </row>
    <row r="6066" spans="2:26" x14ac:dyDescent="0.25">
      <c r="B6066"/>
      <c r="Z6066"/>
    </row>
    <row r="6067" spans="2:26" x14ac:dyDescent="0.25">
      <c r="B6067"/>
      <c r="Z6067"/>
    </row>
    <row r="6068" spans="2:26" x14ac:dyDescent="0.25">
      <c r="B6068"/>
      <c r="Z6068"/>
    </row>
    <row r="6069" spans="2:26" x14ac:dyDescent="0.25">
      <c r="B6069"/>
      <c r="Z6069"/>
    </row>
    <row r="6070" spans="2:26" x14ac:dyDescent="0.25">
      <c r="B6070"/>
      <c r="Z6070"/>
    </row>
    <row r="6071" spans="2:26" x14ac:dyDescent="0.25">
      <c r="B6071"/>
      <c r="Z6071"/>
    </row>
    <row r="6072" spans="2:26" x14ac:dyDescent="0.25">
      <c r="B6072"/>
      <c r="Z6072"/>
    </row>
    <row r="6073" spans="2:26" x14ac:dyDescent="0.25">
      <c r="B6073"/>
      <c r="Z6073"/>
    </row>
    <row r="6074" spans="2:26" x14ac:dyDescent="0.25">
      <c r="B6074"/>
      <c r="Z6074"/>
    </row>
    <row r="6075" spans="2:26" x14ac:dyDescent="0.25">
      <c r="B6075"/>
      <c r="Z6075"/>
    </row>
    <row r="6076" spans="2:26" x14ac:dyDescent="0.25">
      <c r="B6076"/>
      <c r="Z6076"/>
    </row>
    <row r="6077" spans="2:26" x14ac:dyDescent="0.25">
      <c r="B6077"/>
      <c r="Z6077"/>
    </row>
    <row r="6078" spans="2:26" x14ac:dyDescent="0.25">
      <c r="B6078"/>
      <c r="Z6078"/>
    </row>
    <row r="6079" spans="2:26" x14ac:dyDescent="0.25">
      <c r="B6079"/>
      <c r="Z6079"/>
    </row>
    <row r="6080" spans="2:26" x14ac:dyDescent="0.25">
      <c r="B6080"/>
      <c r="Z6080"/>
    </row>
    <row r="6081" spans="2:26" x14ac:dyDescent="0.25">
      <c r="B6081"/>
      <c r="Z6081"/>
    </row>
    <row r="6082" spans="2:26" x14ac:dyDescent="0.25">
      <c r="B6082"/>
      <c r="Z6082"/>
    </row>
    <row r="6083" spans="2:26" x14ac:dyDescent="0.25">
      <c r="B6083"/>
      <c r="Z6083"/>
    </row>
    <row r="6084" spans="2:26" x14ac:dyDescent="0.25">
      <c r="B6084"/>
      <c r="Z6084"/>
    </row>
    <row r="6085" spans="2:26" x14ac:dyDescent="0.25">
      <c r="B6085"/>
      <c r="Z6085"/>
    </row>
    <row r="6086" spans="2:26" x14ac:dyDescent="0.25">
      <c r="B6086"/>
      <c r="Z6086"/>
    </row>
    <row r="6087" spans="2:26" x14ac:dyDescent="0.25">
      <c r="B6087"/>
      <c r="Z6087"/>
    </row>
    <row r="6088" spans="2:26" x14ac:dyDescent="0.25">
      <c r="B6088"/>
      <c r="Z6088"/>
    </row>
    <row r="6089" spans="2:26" x14ac:dyDescent="0.25">
      <c r="B6089"/>
      <c r="Z6089"/>
    </row>
    <row r="6090" spans="2:26" x14ac:dyDescent="0.25">
      <c r="B6090"/>
      <c r="Z6090"/>
    </row>
    <row r="6091" spans="2:26" x14ac:dyDescent="0.25">
      <c r="B6091"/>
      <c r="Z6091"/>
    </row>
    <row r="6092" spans="2:26" x14ac:dyDescent="0.25">
      <c r="B6092"/>
      <c r="Z6092"/>
    </row>
    <row r="6093" spans="2:26" x14ac:dyDescent="0.25">
      <c r="B6093"/>
      <c r="Z6093"/>
    </row>
    <row r="6094" spans="2:26" x14ac:dyDescent="0.25">
      <c r="B6094"/>
      <c r="Z6094"/>
    </row>
    <row r="6095" spans="2:26" x14ac:dyDescent="0.25">
      <c r="B6095"/>
      <c r="Z6095"/>
    </row>
    <row r="6096" spans="2:26" x14ac:dyDescent="0.25">
      <c r="B6096"/>
      <c r="Z6096"/>
    </row>
    <row r="6097" spans="2:26" x14ac:dyDescent="0.25">
      <c r="B6097"/>
      <c r="Z6097"/>
    </row>
    <row r="6098" spans="2:26" x14ac:dyDescent="0.25">
      <c r="B6098"/>
      <c r="Z6098"/>
    </row>
    <row r="6099" spans="2:26" x14ac:dyDescent="0.25">
      <c r="B6099"/>
      <c r="Z6099"/>
    </row>
    <row r="6100" spans="2:26" x14ac:dyDescent="0.25">
      <c r="B6100"/>
      <c r="Z6100"/>
    </row>
    <row r="6101" spans="2:26" x14ac:dyDescent="0.25">
      <c r="B6101"/>
      <c r="Z6101"/>
    </row>
    <row r="6102" spans="2:26" x14ac:dyDescent="0.25">
      <c r="B6102"/>
      <c r="Z6102"/>
    </row>
    <row r="6103" spans="2:26" x14ac:dyDescent="0.25">
      <c r="B6103"/>
      <c r="Z6103"/>
    </row>
    <row r="6104" spans="2:26" x14ac:dyDescent="0.25">
      <c r="B6104"/>
      <c r="Z6104"/>
    </row>
    <row r="6105" spans="2:26" x14ac:dyDescent="0.25">
      <c r="B6105"/>
      <c r="Z6105"/>
    </row>
    <row r="6106" spans="2:26" x14ac:dyDescent="0.25">
      <c r="B6106"/>
      <c r="Z6106"/>
    </row>
    <row r="6107" spans="2:26" x14ac:dyDescent="0.25">
      <c r="B6107"/>
      <c r="Z6107"/>
    </row>
    <row r="6108" spans="2:26" x14ac:dyDescent="0.25">
      <c r="B6108"/>
      <c r="Z6108"/>
    </row>
    <row r="6109" spans="2:26" x14ac:dyDescent="0.25">
      <c r="B6109"/>
      <c r="Z6109"/>
    </row>
    <row r="6110" spans="2:26" x14ac:dyDescent="0.25">
      <c r="B6110"/>
      <c r="Z6110"/>
    </row>
    <row r="6111" spans="2:26" x14ac:dyDescent="0.25">
      <c r="B6111"/>
      <c r="Z6111"/>
    </row>
    <row r="6112" spans="2:26" x14ac:dyDescent="0.25">
      <c r="B6112"/>
      <c r="Z6112"/>
    </row>
    <row r="6113" spans="2:26" x14ac:dyDescent="0.25">
      <c r="B6113"/>
      <c r="Z6113"/>
    </row>
    <row r="6114" spans="2:26" x14ac:dyDescent="0.25">
      <c r="B6114"/>
      <c r="Z6114"/>
    </row>
    <row r="6115" spans="2:26" x14ac:dyDescent="0.25">
      <c r="B6115"/>
      <c r="Z6115"/>
    </row>
    <row r="6116" spans="2:26" x14ac:dyDescent="0.25">
      <c r="B6116"/>
      <c r="Z6116"/>
    </row>
    <row r="6117" spans="2:26" x14ac:dyDescent="0.25">
      <c r="B6117"/>
      <c r="Z6117"/>
    </row>
    <row r="6118" spans="2:26" x14ac:dyDescent="0.25">
      <c r="B6118"/>
      <c r="Z6118"/>
    </row>
    <row r="6119" spans="2:26" x14ac:dyDescent="0.25">
      <c r="B6119"/>
      <c r="Z6119"/>
    </row>
    <row r="6120" spans="2:26" x14ac:dyDescent="0.25">
      <c r="B6120"/>
      <c r="Z6120"/>
    </row>
    <row r="6121" spans="2:26" x14ac:dyDescent="0.25">
      <c r="B6121"/>
      <c r="Z6121"/>
    </row>
    <row r="6122" spans="2:26" x14ac:dyDescent="0.25">
      <c r="B6122"/>
      <c r="Z6122"/>
    </row>
    <row r="6123" spans="2:26" x14ac:dyDescent="0.25">
      <c r="B6123"/>
      <c r="Z6123"/>
    </row>
    <row r="6124" spans="2:26" x14ac:dyDescent="0.25">
      <c r="B6124"/>
      <c r="Z6124"/>
    </row>
    <row r="6125" spans="2:26" x14ac:dyDescent="0.25">
      <c r="B6125"/>
      <c r="Z6125"/>
    </row>
    <row r="6126" spans="2:26" x14ac:dyDescent="0.25">
      <c r="B6126"/>
      <c r="Z6126"/>
    </row>
    <row r="6127" spans="2:26" x14ac:dyDescent="0.25">
      <c r="B6127"/>
      <c r="Z6127"/>
    </row>
    <row r="6128" spans="2:26" x14ac:dyDescent="0.25">
      <c r="B6128"/>
      <c r="Z6128"/>
    </row>
    <row r="6129" spans="2:26" x14ac:dyDescent="0.25">
      <c r="B6129"/>
      <c r="Z6129"/>
    </row>
    <row r="6130" spans="2:26" x14ac:dyDescent="0.25">
      <c r="B6130"/>
      <c r="Z6130"/>
    </row>
    <row r="6131" spans="2:26" x14ac:dyDescent="0.25">
      <c r="B6131"/>
      <c r="Z6131"/>
    </row>
    <row r="6132" spans="2:26" x14ac:dyDescent="0.25">
      <c r="B6132"/>
      <c r="Z6132"/>
    </row>
    <row r="6133" spans="2:26" x14ac:dyDescent="0.25">
      <c r="B6133"/>
      <c r="Z6133"/>
    </row>
    <row r="6134" spans="2:26" x14ac:dyDescent="0.25">
      <c r="B6134"/>
      <c r="Z6134"/>
    </row>
    <row r="6135" spans="2:26" x14ac:dyDescent="0.25">
      <c r="B6135"/>
      <c r="Z6135"/>
    </row>
    <row r="6136" spans="2:26" x14ac:dyDescent="0.25">
      <c r="B6136"/>
      <c r="Z6136"/>
    </row>
    <row r="6137" spans="2:26" x14ac:dyDescent="0.25">
      <c r="B6137"/>
      <c r="Z6137"/>
    </row>
    <row r="6138" spans="2:26" x14ac:dyDescent="0.25">
      <c r="B6138"/>
      <c r="Z6138"/>
    </row>
    <row r="6139" spans="2:26" x14ac:dyDescent="0.25">
      <c r="B6139"/>
      <c r="Z6139"/>
    </row>
    <row r="6140" spans="2:26" x14ac:dyDescent="0.25">
      <c r="B6140"/>
      <c r="Z6140"/>
    </row>
    <row r="6141" spans="2:26" x14ac:dyDescent="0.25">
      <c r="B6141"/>
      <c r="Z6141"/>
    </row>
    <row r="6142" spans="2:26" x14ac:dyDescent="0.25">
      <c r="B6142"/>
      <c r="Z6142"/>
    </row>
    <row r="6143" spans="2:26" x14ac:dyDescent="0.25">
      <c r="B6143"/>
      <c r="Z6143"/>
    </row>
    <row r="6144" spans="2:26" x14ac:dyDescent="0.25">
      <c r="B6144"/>
      <c r="Z6144"/>
    </row>
    <row r="6145" spans="2:26" x14ac:dyDescent="0.25">
      <c r="B6145"/>
      <c r="Z6145"/>
    </row>
    <row r="6146" spans="2:26" x14ac:dyDescent="0.25">
      <c r="B6146"/>
      <c r="Z6146"/>
    </row>
    <row r="6147" spans="2:26" x14ac:dyDescent="0.25">
      <c r="B6147"/>
      <c r="Z6147"/>
    </row>
    <row r="6148" spans="2:26" x14ac:dyDescent="0.25">
      <c r="B6148"/>
      <c r="Z6148"/>
    </row>
    <row r="6149" spans="2:26" x14ac:dyDescent="0.25">
      <c r="B6149"/>
      <c r="Z6149"/>
    </row>
    <row r="6150" spans="2:26" x14ac:dyDescent="0.25">
      <c r="B6150"/>
      <c r="Z6150"/>
    </row>
    <row r="6151" spans="2:26" x14ac:dyDescent="0.25">
      <c r="B6151"/>
      <c r="Z6151"/>
    </row>
    <row r="6152" spans="2:26" x14ac:dyDescent="0.25">
      <c r="B6152"/>
      <c r="Z6152"/>
    </row>
    <row r="6153" spans="2:26" x14ac:dyDescent="0.25">
      <c r="B6153"/>
      <c r="Z6153"/>
    </row>
    <row r="6154" spans="2:26" x14ac:dyDescent="0.25">
      <c r="B6154"/>
      <c r="Z6154"/>
    </row>
    <row r="6155" spans="2:26" x14ac:dyDescent="0.25">
      <c r="B6155"/>
      <c r="Z6155"/>
    </row>
    <row r="6156" spans="2:26" x14ac:dyDescent="0.25">
      <c r="B6156"/>
      <c r="Z6156"/>
    </row>
    <row r="6157" spans="2:26" x14ac:dyDescent="0.25">
      <c r="B6157"/>
      <c r="Z6157"/>
    </row>
    <row r="6158" spans="2:26" x14ac:dyDescent="0.25">
      <c r="B6158"/>
      <c r="Z6158"/>
    </row>
    <row r="6159" spans="2:26" x14ac:dyDescent="0.25">
      <c r="B6159"/>
      <c r="K6159" s="6"/>
      <c r="Z6159"/>
    </row>
    <row r="6160" spans="2:26" x14ac:dyDescent="0.25">
      <c r="B6160"/>
      <c r="Z6160"/>
    </row>
    <row r="6161" spans="1:33" x14ac:dyDescent="0.25">
      <c r="A6161" s="6"/>
      <c r="B6161" s="6"/>
      <c r="C6161" s="6"/>
      <c r="D6161" s="6"/>
      <c r="E6161" s="6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  <c r="T6161" s="6"/>
      <c r="U6161" s="6"/>
      <c r="V6161" s="6"/>
      <c r="W6161" s="6"/>
      <c r="X6161" s="6"/>
      <c r="Y6161" s="6"/>
      <c r="Z6161" s="6"/>
      <c r="AA6161" s="6"/>
      <c r="AB6161" s="6"/>
      <c r="AC6161" s="6"/>
      <c r="AD6161" s="6"/>
      <c r="AE6161" s="6"/>
      <c r="AF6161" s="6"/>
      <c r="AG6161" s="6"/>
    </row>
    <row r="6162" spans="1:33" x14ac:dyDescent="0.25">
      <c r="B6162"/>
      <c r="Z6162"/>
    </row>
    <row r="6163" spans="1:33" x14ac:dyDescent="0.25">
      <c r="B6163"/>
      <c r="Z6163"/>
    </row>
    <row r="6164" spans="1:33" x14ac:dyDescent="0.25">
      <c r="B6164"/>
      <c r="Z6164"/>
    </row>
    <row r="6165" spans="1:33" x14ac:dyDescent="0.25">
      <c r="B6165"/>
      <c r="Z6165"/>
    </row>
    <row r="6166" spans="1:33" x14ac:dyDescent="0.25">
      <c r="B6166"/>
      <c r="Z6166"/>
    </row>
    <row r="6167" spans="1:33" x14ac:dyDescent="0.25">
      <c r="B6167"/>
      <c r="Z6167"/>
    </row>
    <row r="6168" spans="1:33" x14ac:dyDescent="0.25">
      <c r="B6168"/>
      <c r="Z6168"/>
    </row>
    <row r="6169" spans="1:33" x14ac:dyDescent="0.25">
      <c r="B6169"/>
      <c r="Z6169"/>
    </row>
    <row r="6170" spans="1:33" x14ac:dyDescent="0.25">
      <c r="B6170"/>
      <c r="Z6170"/>
    </row>
    <row r="6171" spans="1:33" x14ac:dyDescent="0.25">
      <c r="B6171"/>
      <c r="Z6171"/>
    </row>
    <row r="6172" spans="1:33" x14ac:dyDescent="0.25">
      <c r="B6172"/>
      <c r="Z6172"/>
    </row>
    <row r="6173" spans="1:33" x14ac:dyDescent="0.25">
      <c r="B6173"/>
      <c r="Z6173"/>
    </row>
    <row r="6174" spans="1:33" x14ac:dyDescent="0.25">
      <c r="B6174"/>
      <c r="Z6174"/>
    </row>
    <row r="6175" spans="1:33" x14ac:dyDescent="0.25">
      <c r="B6175"/>
      <c r="Z6175"/>
    </row>
    <row r="6176" spans="1:33" x14ac:dyDescent="0.25">
      <c r="B6176"/>
      <c r="Z6176"/>
    </row>
    <row r="6177" spans="2:26" x14ac:dyDescent="0.25">
      <c r="B6177"/>
      <c r="Z6177"/>
    </row>
    <row r="6178" spans="2:26" x14ac:dyDescent="0.25">
      <c r="B6178"/>
      <c r="Z6178"/>
    </row>
    <row r="6179" spans="2:26" x14ac:dyDescent="0.25">
      <c r="B6179"/>
      <c r="Z6179"/>
    </row>
    <row r="6180" spans="2:26" x14ac:dyDescent="0.25">
      <c r="B6180"/>
      <c r="Z6180"/>
    </row>
    <row r="6181" spans="2:26" x14ac:dyDescent="0.25">
      <c r="B6181"/>
      <c r="Z6181"/>
    </row>
    <row r="6182" spans="2:26" x14ac:dyDescent="0.25">
      <c r="B6182"/>
      <c r="Z6182"/>
    </row>
    <row r="6183" spans="2:26" x14ac:dyDescent="0.25">
      <c r="B6183"/>
      <c r="Z6183"/>
    </row>
    <row r="6184" spans="2:26" x14ac:dyDescent="0.25">
      <c r="B6184"/>
      <c r="Z6184"/>
    </row>
    <row r="6185" spans="2:26" x14ac:dyDescent="0.25">
      <c r="B6185"/>
      <c r="Z6185"/>
    </row>
    <row r="6186" spans="2:26" x14ac:dyDescent="0.25">
      <c r="B6186"/>
      <c r="Z6186"/>
    </row>
    <row r="6187" spans="2:26" x14ac:dyDescent="0.25">
      <c r="B6187"/>
      <c r="Z6187"/>
    </row>
    <row r="6188" spans="2:26" x14ac:dyDescent="0.25">
      <c r="B6188"/>
      <c r="Z6188"/>
    </row>
    <row r="6189" spans="2:26" x14ac:dyDescent="0.25">
      <c r="B6189"/>
      <c r="Z6189"/>
    </row>
    <row r="6190" spans="2:26" x14ac:dyDescent="0.25">
      <c r="B6190"/>
      <c r="Z6190"/>
    </row>
    <row r="6191" spans="2:26" x14ac:dyDescent="0.25">
      <c r="B6191"/>
      <c r="Z6191"/>
    </row>
    <row r="6192" spans="2:26" x14ac:dyDescent="0.25">
      <c r="B6192"/>
      <c r="Z6192"/>
    </row>
    <row r="6193" spans="2:26" x14ac:dyDescent="0.25">
      <c r="B6193"/>
      <c r="Z6193"/>
    </row>
    <row r="6194" spans="2:26" x14ac:dyDescent="0.25">
      <c r="B6194"/>
      <c r="Z6194"/>
    </row>
    <row r="6195" spans="2:26" x14ac:dyDescent="0.25">
      <c r="B6195"/>
      <c r="Z6195"/>
    </row>
    <row r="6196" spans="2:26" x14ac:dyDescent="0.25">
      <c r="B6196"/>
      <c r="Z6196"/>
    </row>
    <row r="6197" spans="2:26" x14ac:dyDescent="0.25">
      <c r="B6197"/>
      <c r="Z6197"/>
    </row>
    <row r="6198" spans="2:26" x14ac:dyDescent="0.25">
      <c r="B6198"/>
      <c r="Z6198"/>
    </row>
    <row r="6199" spans="2:26" x14ac:dyDescent="0.25">
      <c r="B6199"/>
      <c r="Z6199"/>
    </row>
    <row r="6200" spans="2:26" x14ac:dyDescent="0.25">
      <c r="B6200"/>
      <c r="Z6200"/>
    </row>
    <row r="6201" spans="2:26" x14ac:dyDescent="0.25">
      <c r="B6201"/>
      <c r="Z6201"/>
    </row>
    <row r="6202" spans="2:26" x14ac:dyDescent="0.25">
      <c r="B6202"/>
      <c r="Z6202"/>
    </row>
    <row r="6203" spans="2:26" x14ac:dyDescent="0.25">
      <c r="B6203"/>
      <c r="Z6203"/>
    </row>
    <row r="6204" spans="2:26" x14ac:dyDescent="0.25">
      <c r="B6204"/>
      <c r="Z6204"/>
    </row>
    <row r="6205" spans="2:26" x14ac:dyDescent="0.25">
      <c r="B6205"/>
      <c r="Z6205"/>
    </row>
    <row r="6206" spans="2:26" x14ac:dyDescent="0.25">
      <c r="B6206"/>
      <c r="Z6206"/>
    </row>
    <row r="6207" spans="2:26" x14ac:dyDescent="0.25">
      <c r="B6207"/>
      <c r="Z6207"/>
    </row>
    <row r="6208" spans="2:26" x14ac:dyDescent="0.25">
      <c r="B6208"/>
      <c r="Z6208"/>
    </row>
    <row r="6209" spans="2:26" x14ac:dyDescent="0.25">
      <c r="B6209"/>
      <c r="Z6209"/>
    </row>
    <row r="6210" spans="2:26" x14ac:dyDescent="0.25">
      <c r="B6210"/>
      <c r="Z6210"/>
    </row>
    <row r="6211" spans="2:26" x14ac:dyDescent="0.25">
      <c r="B6211"/>
      <c r="Z6211"/>
    </row>
    <row r="6212" spans="2:26" x14ac:dyDescent="0.25">
      <c r="B6212"/>
      <c r="Z6212"/>
    </row>
    <row r="6213" spans="2:26" x14ac:dyDescent="0.25">
      <c r="B6213"/>
      <c r="Z6213"/>
    </row>
    <row r="6214" spans="2:26" x14ac:dyDescent="0.25">
      <c r="B6214"/>
      <c r="Z6214"/>
    </row>
    <row r="6215" spans="2:26" x14ac:dyDescent="0.25">
      <c r="B6215"/>
      <c r="Z6215"/>
    </row>
    <row r="6216" spans="2:26" x14ac:dyDescent="0.25">
      <c r="B6216"/>
      <c r="Z6216"/>
    </row>
    <row r="6217" spans="2:26" x14ac:dyDescent="0.25">
      <c r="B6217"/>
      <c r="Z6217"/>
    </row>
    <row r="6218" spans="2:26" x14ac:dyDescent="0.25">
      <c r="B6218"/>
      <c r="Z6218"/>
    </row>
    <row r="6219" spans="2:26" x14ac:dyDescent="0.25">
      <c r="B6219"/>
      <c r="Z6219"/>
    </row>
    <row r="6220" spans="2:26" x14ac:dyDescent="0.25">
      <c r="B6220"/>
      <c r="Z6220"/>
    </row>
    <row r="6221" spans="2:26" x14ac:dyDescent="0.25">
      <c r="B6221"/>
      <c r="Z6221"/>
    </row>
    <row r="6222" spans="2:26" x14ac:dyDescent="0.25">
      <c r="B6222"/>
      <c r="Z6222"/>
    </row>
    <row r="6223" spans="2:26" x14ac:dyDescent="0.25">
      <c r="B6223"/>
      <c r="Z6223"/>
    </row>
    <row r="6224" spans="2:26" x14ac:dyDescent="0.25">
      <c r="B6224"/>
      <c r="Z6224"/>
    </row>
    <row r="6225" spans="2:26" x14ac:dyDescent="0.25">
      <c r="B6225"/>
      <c r="Z6225"/>
    </row>
    <row r="6226" spans="2:26" x14ac:dyDescent="0.25">
      <c r="B6226"/>
      <c r="Z6226"/>
    </row>
    <row r="6227" spans="2:26" x14ac:dyDescent="0.25">
      <c r="B6227"/>
      <c r="Z6227"/>
    </row>
    <row r="6228" spans="2:26" x14ac:dyDescent="0.25">
      <c r="B6228"/>
      <c r="Z6228"/>
    </row>
    <row r="6229" spans="2:26" x14ac:dyDescent="0.25">
      <c r="B6229"/>
      <c r="Z6229"/>
    </row>
    <row r="6230" spans="2:26" x14ac:dyDescent="0.25">
      <c r="B6230"/>
      <c r="Z6230"/>
    </row>
    <row r="6231" spans="2:26" x14ac:dyDescent="0.25">
      <c r="B6231"/>
      <c r="Z6231"/>
    </row>
    <row r="6232" spans="2:26" x14ac:dyDescent="0.25">
      <c r="B6232"/>
      <c r="Z6232"/>
    </row>
    <row r="6233" spans="2:26" x14ac:dyDescent="0.25">
      <c r="B6233"/>
      <c r="Z6233"/>
    </row>
    <row r="6234" spans="2:26" x14ac:dyDescent="0.25">
      <c r="B6234"/>
      <c r="Z6234"/>
    </row>
    <row r="6235" spans="2:26" x14ac:dyDescent="0.25">
      <c r="B6235"/>
      <c r="Z6235"/>
    </row>
    <row r="6236" spans="2:26" x14ac:dyDescent="0.25">
      <c r="B6236"/>
      <c r="Z6236"/>
    </row>
    <row r="6237" spans="2:26" x14ac:dyDescent="0.25">
      <c r="B6237"/>
      <c r="Z6237"/>
    </row>
    <row r="6238" spans="2:26" x14ac:dyDescent="0.25">
      <c r="B6238"/>
      <c r="Z6238"/>
    </row>
    <row r="6239" spans="2:26" x14ac:dyDescent="0.25">
      <c r="B6239"/>
      <c r="Z6239"/>
    </row>
    <row r="6240" spans="2:26" x14ac:dyDescent="0.25">
      <c r="B6240"/>
      <c r="Z6240"/>
    </row>
    <row r="6241" spans="2:26" x14ac:dyDescent="0.25">
      <c r="B6241"/>
      <c r="Z6241"/>
    </row>
    <row r="6242" spans="2:26" x14ac:dyDescent="0.25">
      <c r="B6242"/>
      <c r="Z6242"/>
    </row>
    <row r="6243" spans="2:26" x14ac:dyDescent="0.25">
      <c r="B6243"/>
      <c r="Z6243"/>
    </row>
    <row r="6244" spans="2:26" x14ac:dyDescent="0.25">
      <c r="B6244"/>
      <c r="Z6244"/>
    </row>
    <row r="6245" spans="2:26" x14ac:dyDescent="0.25">
      <c r="B6245"/>
      <c r="Z6245"/>
    </row>
    <row r="6246" spans="2:26" x14ac:dyDescent="0.25">
      <c r="B6246"/>
      <c r="Z6246"/>
    </row>
    <row r="6247" spans="2:26" x14ac:dyDescent="0.25">
      <c r="B6247"/>
      <c r="Z6247"/>
    </row>
    <row r="6248" spans="2:26" x14ac:dyDescent="0.25">
      <c r="B6248"/>
      <c r="Z6248"/>
    </row>
    <row r="6249" spans="2:26" x14ac:dyDescent="0.25">
      <c r="B6249"/>
      <c r="Z6249"/>
    </row>
    <row r="6250" spans="2:26" x14ac:dyDescent="0.25">
      <c r="B6250"/>
      <c r="Z6250"/>
    </row>
    <row r="6251" spans="2:26" x14ac:dyDescent="0.25">
      <c r="B6251"/>
      <c r="Z6251"/>
    </row>
    <row r="6252" spans="2:26" x14ac:dyDescent="0.25">
      <c r="B6252"/>
      <c r="Z6252"/>
    </row>
    <row r="6253" spans="2:26" x14ac:dyDescent="0.25">
      <c r="B6253"/>
      <c r="Z6253"/>
    </row>
    <row r="6254" spans="2:26" x14ac:dyDescent="0.25">
      <c r="B6254"/>
      <c r="Z6254"/>
    </row>
    <row r="6255" spans="2:26" x14ac:dyDescent="0.25">
      <c r="B6255"/>
      <c r="Z6255"/>
    </row>
    <row r="6256" spans="2:26" x14ac:dyDescent="0.25">
      <c r="B6256"/>
      <c r="K6256" s="6"/>
      <c r="Z6256"/>
    </row>
    <row r="6257" spans="1:33" x14ac:dyDescent="0.25">
      <c r="B6257"/>
      <c r="Z6257"/>
    </row>
    <row r="6258" spans="1:33" x14ac:dyDescent="0.25">
      <c r="B6258"/>
      <c r="Z6258"/>
    </row>
    <row r="6259" spans="1:33" x14ac:dyDescent="0.25">
      <c r="B6259"/>
      <c r="Z6259"/>
    </row>
    <row r="6260" spans="1:33" x14ac:dyDescent="0.25">
      <c r="B6260"/>
      <c r="Z6260"/>
    </row>
    <row r="6261" spans="1:33" x14ac:dyDescent="0.25">
      <c r="B6261"/>
      <c r="Z6261"/>
    </row>
    <row r="6262" spans="1:33" x14ac:dyDescent="0.25">
      <c r="B6262"/>
      <c r="Z6262"/>
    </row>
    <row r="6263" spans="1:33" x14ac:dyDescent="0.25">
      <c r="B6263"/>
      <c r="Z6263"/>
    </row>
    <row r="6264" spans="1:33" x14ac:dyDescent="0.25">
      <c r="B6264"/>
      <c r="Z6264"/>
    </row>
    <row r="6265" spans="1:33" x14ac:dyDescent="0.25">
      <c r="A6265" s="6"/>
      <c r="B6265" s="6"/>
      <c r="C6265" s="6"/>
      <c r="D6265" s="6"/>
      <c r="E6265" s="6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  <c r="T6265" s="6"/>
      <c r="U6265" s="6"/>
      <c r="V6265" s="6"/>
      <c r="W6265" s="6"/>
      <c r="X6265" s="6"/>
      <c r="Y6265" s="6"/>
      <c r="Z6265" s="6"/>
      <c r="AA6265" s="6"/>
      <c r="AB6265" s="6"/>
      <c r="AC6265" s="6"/>
      <c r="AD6265" s="6"/>
      <c r="AE6265" s="6"/>
      <c r="AF6265" s="6"/>
      <c r="AG6265" s="6"/>
    </row>
    <row r="6266" spans="1:33" x14ac:dyDescent="0.25">
      <c r="B6266"/>
      <c r="Z6266"/>
    </row>
    <row r="6267" spans="1:33" x14ac:dyDescent="0.25">
      <c r="B6267"/>
      <c r="Z6267"/>
    </row>
    <row r="6268" spans="1:33" x14ac:dyDescent="0.25">
      <c r="B6268"/>
      <c r="Z6268"/>
    </row>
    <row r="6269" spans="1:33" x14ac:dyDescent="0.25">
      <c r="B6269"/>
      <c r="Z6269"/>
    </row>
    <row r="6270" spans="1:33" x14ac:dyDescent="0.25">
      <c r="B6270"/>
      <c r="Z6270"/>
    </row>
    <row r="6271" spans="1:33" x14ac:dyDescent="0.25">
      <c r="B6271"/>
      <c r="Z6271"/>
    </row>
    <row r="6272" spans="1:33" x14ac:dyDescent="0.25">
      <c r="B6272"/>
      <c r="Z6272"/>
    </row>
    <row r="6273" spans="2:26" x14ac:dyDescent="0.25">
      <c r="B6273"/>
      <c r="Z6273"/>
    </row>
    <row r="6274" spans="2:26" x14ac:dyDescent="0.25">
      <c r="B6274"/>
      <c r="Z6274"/>
    </row>
    <row r="6275" spans="2:26" x14ac:dyDescent="0.25">
      <c r="B6275"/>
      <c r="Z6275"/>
    </row>
    <row r="6276" spans="2:26" x14ac:dyDescent="0.25">
      <c r="B6276"/>
      <c r="Z6276"/>
    </row>
    <row r="6277" spans="2:26" x14ac:dyDescent="0.25">
      <c r="B6277"/>
      <c r="Z6277"/>
    </row>
    <row r="6278" spans="2:26" x14ac:dyDescent="0.25">
      <c r="B6278"/>
      <c r="Z6278"/>
    </row>
    <row r="6279" spans="2:26" x14ac:dyDescent="0.25">
      <c r="B6279"/>
      <c r="Z6279"/>
    </row>
    <row r="6280" spans="2:26" x14ac:dyDescent="0.25">
      <c r="B6280"/>
      <c r="Z6280"/>
    </row>
    <row r="6281" spans="2:26" x14ac:dyDescent="0.25">
      <c r="B6281"/>
      <c r="Z6281"/>
    </row>
    <row r="6282" spans="2:26" x14ac:dyDescent="0.25">
      <c r="B6282"/>
      <c r="Z6282"/>
    </row>
    <row r="6283" spans="2:26" x14ac:dyDescent="0.25">
      <c r="B6283"/>
      <c r="Z6283"/>
    </row>
    <row r="6284" spans="2:26" x14ac:dyDescent="0.25">
      <c r="B6284"/>
      <c r="Z6284"/>
    </row>
    <row r="6285" spans="2:26" x14ac:dyDescent="0.25">
      <c r="B6285"/>
      <c r="Z6285"/>
    </row>
    <row r="6286" spans="2:26" x14ac:dyDescent="0.25">
      <c r="B6286"/>
      <c r="Z6286"/>
    </row>
    <row r="6287" spans="2:26" x14ac:dyDescent="0.25">
      <c r="B6287"/>
      <c r="Z6287"/>
    </row>
    <row r="6288" spans="2:26" x14ac:dyDescent="0.25">
      <c r="B6288"/>
      <c r="Z6288"/>
    </row>
    <row r="6289" spans="2:26" x14ac:dyDescent="0.25">
      <c r="B6289"/>
      <c r="Z6289"/>
    </row>
    <row r="6290" spans="2:26" x14ac:dyDescent="0.25">
      <c r="B6290"/>
      <c r="Z6290"/>
    </row>
    <row r="6291" spans="2:26" x14ac:dyDescent="0.25">
      <c r="B6291"/>
      <c r="Z6291"/>
    </row>
    <row r="6292" spans="2:26" x14ac:dyDescent="0.25">
      <c r="B6292"/>
      <c r="Z6292"/>
    </row>
    <row r="6293" spans="2:26" x14ac:dyDescent="0.25">
      <c r="B6293"/>
      <c r="Z6293"/>
    </row>
    <row r="6294" spans="2:26" x14ac:dyDescent="0.25">
      <c r="B6294"/>
      <c r="Z6294"/>
    </row>
    <row r="6295" spans="2:26" x14ac:dyDescent="0.25">
      <c r="B6295"/>
      <c r="Z6295"/>
    </row>
    <row r="6296" spans="2:26" x14ac:dyDescent="0.25">
      <c r="B6296"/>
      <c r="Z6296"/>
    </row>
    <row r="6297" spans="2:26" x14ac:dyDescent="0.25">
      <c r="B6297"/>
      <c r="Z6297"/>
    </row>
    <row r="6298" spans="2:26" x14ac:dyDescent="0.25">
      <c r="B6298"/>
      <c r="Z6298"/>
    </row>
    <row r="6299" spans="2:26" x14ac:dyDescent="0.25">
      <c r="B6299"/>
      <c r="Z6299"/>
    </row>
    <row r="6300" spans="2:26" x14ac:dyDescent="0.25">
      <c r="B6300"/>
      <c r="Z6300"/>
    </row>
    <row r="6301" spans="2:26" x14ac:dyDescent="0.25">
      <c r="B6301"/>
      <c r="Z6301"/>
    </row>
    <row r="6302" spans="2:26" x14ac:dyDescent="0.25">
      <c r="B6302"/>
      <c r="Z6302"/>
    </row>
    <row r="6303" spans="2:26" x14ac:dyDescent="0.25">
      <c r="B6303"/>
      <c r="Z6303"/>
    </row>
    <row r="6304" spans="2:26" x14ac:dyDescent="0.25">
      <c r="B6304"/>
      <c r="Z6304"/>
    </row>
    <row r="6305" spans="2:26" x14ac:dyDescent="0.25">
      <c r="B6305"/>
      <c r="Z6305"/>
    </row>
    <row r="6306" spans="2:26" x14ac:dyDescent="0.25">
      <c r="B6306"/>
      <c r="Z6306"/>
    </row>
    <row r="6307" spans="2:26" x14ac:dyDescent="0.25">
      <c r="B6307"/>
      <c r="Z6307"/>
    </row>
    <row r="6308" spans="2:26" x14ac:dyDescent="0.25">
      <c r="B6308"/>
      <c r="Z6308"/>
    </row>
    <row r="6309" spans="2:26" x14ac:dyDescent="0.25">
      <c r="B6309"/>
      <c r="Z6309"/>
    </row>
    <row r="6310" spans="2:26" x14ac:dyDescent="0.25">
      <c r="B6310"/>
      <c r="Z6310"/>
    </row>
    <row r="6311" spans="2:26" x14ac:dyDescent="0.25">
      <c r="B6311"/>
      <c r="Z6311"/>
    </row>
    <row r="6312" spans="2:26" x14ac:dyDescent="0.25">
      <c r="B6312"/>
      <c r="Z6312"/>
    </row>
    <row r="6313" spans="2:26" x14ac:dyDescent="0.25">
      <c r="B6313"/>
      <c r="Z6313"/>
    </row>
    <row r="6314" spans="2:26" x14ac:dyDescent="0.25">
      <c r="B6314"/>
      <c r="Z6314"/>
    </row>
    <row r="6315" spans="2:26" x14ac:dyDescent="0.25">
      <c r="B6315"/>
      <c r="Z6315"/>
    </row>
    <row r="6316" spans="2:26" x14ac:dyDescent="0.25">
      <c r="B6316"/>
      <c r="Z6316"/>
    </row>
    <row r="6317" spans="2:26" x14ac:dyDescent="0.25">
      <c r="B6317"/>
      <c r="Z6317"/>
    </row>
    <row r="6318" spans="2:26" x14ac:dyDescent="0.25">
      <c r="B6318"/>
      <c r="Z6318"/>
    </row>
    <row r="6319" spans="2:26" x14ac:dyDescent="0.25">
      <c r="B6319"/>
      <c r="Z6319"/>
    </row>
    <row r="6320" spans="2:26" x14ac:dyDescent="0.25">
      <c r="B6320"/>
      <c r="Z6320"/>
    </row>
    <row r="6321" spans="2:26" x14ac:dyDescent="0.25">
      <c r="B6321"/>
      <c r="Z6321"/>
    </row>
    <row r="6322" spans="2:26" x14ac:dyDescent="0.25">
      <c r="B6322"/>
      <c r="Z6322"/>
    </row>
    <row r="6323" spans="2:26" x14ac:dyDescent="0.25">
      <c r="B6323"/>
      <c r="Z6323"/>
    </row>
    <row r="6324" spans="2:26" x14ac:dyDescent="0.25">
      <c r="B6324"/>
      <c r="Z6324"/>
    </row>
    <row r="6325" spans="2:26" x14ac:dyDescent="0.25">
      <c r="B6325"/>
      <c r="Z6325"/>
    </row>
    <row r="6326" spans="2:26" x14ac:dyDescent="0.25">
      <c r="B6326"/>
      <c r="Z6326"/>
    </row>
    <row r="6327" spans="2:26" x14ac:dyDescent="0.25">
      <c r="B6327"/>
      <c r="Z6327"/>
    </row>
    <row r="6328" spans="2:26" x14ac:dyDescent="0.25">
      <c r="B6328"/>
      <c r="Z6328"/>
    </row>
    <row r="6329" spans="2:26" x14ac:dyDescent="0.25">
      <c r="B6329"/>
      <c r="Z6329"/>
    </row>
    <row r="6330" spans="2:26" x14ac:dyDescent="0.25">
      <c r="B6330"/>
      <c r="Z6330"/>
    </row>
    <row r="6331" spans="2:26" x14ac:dyDescent="0.25">
      <c r="B6331"/>
      <c r="Z6331"/>
    </row>
    <row r="6332" spans="2:26" x14ac:dyDescent="0.25">
      <c r="B6332"/>
      <c r="Z6332"/>
    </row>
    <row r="6333" spans="2:26" x14ac:dyDescent="0.25">
      <c r="B6333"/>
      <c r="Z6333"/>
    </row>
    <row r="6334" spans="2:26" x14ac:dyDescent="0.25">
      <c r="B6334"/>
      <c r="Z6334"/>
    </row>
    <row r="6335" spans="2:26" x14ac:dyDescent="0.25">
      <c r="B6335"/>
      <c r="Z6335"/>
    </row>
    <row r="6336" spans="2:26" x14ac:dyDescent="0.25">
      <c r="B6336"/>
      <c r="Z6336"/>
    </row>
    <row r="6337" spans="2:26" x14ac:dyDescent="0.25">
      <c r="B6337"/>
      <c r="Z6337"/>
    </row>
    <row r="6338" spans="2:26" x14ac:dyDescent="0.25">
      <c r="B6338"/>
      <c r="Z6338"/>
    </row>
    <row r="6339" spans="2:26" x14ac:dyDescent="0.25">
      <c r="B6339"/>
      <c r="Z6339"/>
    </row>
    <row r="6340" spans="2:26" x14ac:dyDescent="0.25">
      <c r="B6340"/>
      <c r="Z6340"/>
    </row>
    <row r="6341" spans="2:26" x14ac:dyDescent="0.25">
      <c r="B6341"/>
      <c r="Z6341"/>
    </row>
    <row r="6342" spans="2:26" x14ac:dyDescent="0.25">
      <c r="B6342"/>
      <c r="Z6342"/>
    </row>
    <row r="6343" spans="2:26" x14ac:dyDescent="0.25">
      <c r="B6343"/>
      <c r="Z6343"/>
    </row>
    <row r="6344" spans="2:26" x14ac:dyDescent="0.25">
      <c r="B6344"/>
      <c r="Z6344"/>
    </row>
    <row r="6345" spans="2:26" x14ac:dyDescent="0.25">
      <c r="B6345"/>
      <c r="Z6345"/>
    </row>
    <row r="6346" spans="2:26" x14ac:dyDescent="0.25">
      <c r="B6346"/>
      <c r="Z6346"/>
    </row>
    <row r="6347" spans="2:26" x14ac:dyDescent="0.25">
      <c r="B6347"/>
      <c r="Z6347"/>
    </row>
    <row r="6348" spans="2:26" x14ac:dyDescent="0.25">
      <c r="B6348"/>
      <c r="Z6348"/>
    </row>
    <row r="6349" spans="2:26" x14ac:dyDescent="0.25">
      <c r="B6349"/>
      <c r="Z6349"/>
    </row>
    <row r="6350" spans="2:26" x14ac:dyDescent="0.25">
      <c r="B6350"/>
      <c r="Z6350"/>
    </row>
    <row r="6351" spans="2:26" x14ac:dyDescent="0.25">
      <c r="B6351"/>
      <c r="Z6351"/>
    </row>
    <row r="6352" spans="2:26" x14ac:dyDescent="0.25">
      <c r="B6352"/>
      <c r="Z6352"/>
    </row>
    <row r="6353" spans="2:26" x14ac:dyDescent="0.25">
      <c r="B6353"/>
      <c r="Z6353"/>
    </row>
    <row r="6354" spans="2:26" x14ac:dyDescent="0.25">
      <c r="B6354"/>
      <c r="Z6354"/>
    </row>
    <row r="6355" spans="2:26" x14ac:dyDescent="0.25">
      <c r="B6355"/>
      <c r="Z6355"/>
    </row>
    <row r="6356" spans="2:26" x14ac:dyDescent="0.25">
      <c r="B6356"/>
      <c r="K6356" s="6"/>
      <c r="Z6356"/>
    </row>
    <row r="6357" spans="2:26" x14ac:dyDescent="0.25">
      <c r="B6357"/>
      <c r="Z6357"/>
    </row>
    <row r="6358" spans="2:26" x14ac:dyDescent="0.25">
      <c r="B6358"/>
      <c r="Z6358"/>
    </row>
    <row r="6359" spans="2:26" x14ac:dyDescent="0.25">
      <c r="B6359"/>
      <c r="Z6359"/>
    </row>
    <row r="6360" spans="2:26" x14ac:dyDescent="0.25">
      <c r="B6360"/>
      <c r="Z6360"/>
    </row>
    <row r="6361" spans="2:26" x14ac:dyDescent="0.25">
      <c r="B6361"/>
      <c r="Z6361"/>
    </row>
    <row r="6362" spans="2:26" x14ac:dyDescent="0.25">
      <c r="B6362"/>
      <c r="Z6362"/>
    </row>
    <row r="6363" spans="2:26" x14ac:dyDescent="0.25">
      <c r="B6363"/>
      <c r="Z6363"/>
    </row>
    <row r="6364" spans="2:26" x14ac:dyDescent="0.25">
      <c r="B6364"/>
      <c r="Z6364"/>
    </row>
    <row r="6365" spans="2:26" x14ac:dyDescent="0.25">
      <c r="B6365"/>
      <c r="Z6365"/>
    </row>
    <row r="6366" spans="2:26" x14ac:dyDescent="0.25">
      <c r="B6366"/>
      <c r="Z6366"/>
    </row>
    <row r="6367" spans="2:26" x14ac:dyDescent="0.25">
      <c r="B6367"/>
      <c r="Z6367"/>
    </row>
    <row r="6368" spans="2:26" x14ac:dyDescent="0.25">
      <c r="B6368"/>
      <c r="Z6368"/>
    </row>
    <row r="6369" spans="1:33" x14ac:dyDescent="0.25">
      <c r="A6369" s="6"/>
      <c r="B6369" s="6"/>
      <c r="C6369" s="6"/>
      <c r="D6369" s="6"/>
      <c r="E6369" s="6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  <c r="T6369" s="6"/>
      <c r="U6369" s="6"/>
      <c r="V6369" s="6"/>
      <c r="W6369" s="6"/>
      <c r="X6369" s="6"/>
      <c r="Y6369" s="6"/>
      <c r="Z6369" s="6"/>
      <c r="AA6369" s="6"/>
      <c r="AB6369" s="6"/>
      <c r="AC6369" s="6"/>
      <c r="AD6369" s="6"/>
      <c r="AE6369" s="6"/>
      <c r="AF6369" s="6"/>
      <c r="AG6369" s="6"/>
    </row>
    <row r="6370" spans="1:33" x14ac:dyDescent="0.25">
      <c r="B6370"/>
      <c r="Z6370"/>
    </row>
    <row r="6371" spans="1:33" x14ac:dyDescent="0.25">
      <c r="B6371"/>
      <c r="Z6371"/>
    </row>
    <row r="6372" spans="1:33" x14ac:dyDescent="0.25">
      <c r="B6372"/>
      <c r="Z6372"/>
    </row>
    <row r="6373" spans="1:33" x14ac:dyDescent="0.25">
      <c r="B6373"/>
      <c r="Z6373"/>
    </row>
    <row r="6374" spans="1:33" x14ac:dyDescent="0.25">
      <c r="B6374"/>
      <c r="Z6374"/>
    </row>
    <row r="6375" spans="1:33" x14ac:dyDescent="0.25">
      <c r="B6375"/>
      <c r="Z6375"/>
    </row>
    <row r="6376" spans="1:33" x14ac:dyDescent="0.25">
      <c r="B6376"/>
      <c r="Z6376"/>
    </row>
    <row r="6377" spans="1:33" x14ac:dyDescent="0.25">
      <c r="B6377"/>
      <c r="Z6377"/>
    </row>
    <row r="6378" spans="1:33" x14ac:dyDescent="0.25">
      <c r="B6378"/>
      <c r="Z6378"/>
    </row>
    <row r="6379" spans="1:33" x14ac:dyDescent="0.25">
      <c r="B6379"/>
      <c r="Z6379"/>
    </row>
    <row r="6380" spans="1:33" x14ac:dyDescent="0.25">
      <c r="B6380"/>
      <c r="Z6380"/>
    </row>
    <row r="6381" spans="1:33" x14ac:dyDescent="0.25">
      <c r="B6381"/>
      <c r="Z6381"/>
    </row>
    <row r="6382" spans="1:33" x14ac:dyDescent="0.25">
      <c r="B6382"/>
      <c r="Z6382"/>
    </row>
    <row r="6383" spans="1:33" x14ac:dyDescent="0.25">
      <c r="B6383"/>
      <c r="Z6383"/>
    </row>
    <row r="6384" spans="1:33" x14ac:dyDescent="0.25">
      <c r="B6384"/>
      <c r="Z6384"/>
    </row>
    <row r="6385" spans="2:26" x14ac:dyDescent="0.25">
      <c r="B6385"/>
      <c r="Z6385"/>
    </row>
    <row r="6386" spans="2:26" x14ac:dyDescent="0.25">
      <c r="B6386"/>
      <c r="Z6386"/>
    </row>
    <row r="6387" spans="2:26" x14ac:dyDescent="0.25">
      <c r="B6387"/>
      <c r="Z6387"/>
    </row>
    <row r="6388" spans="2:26" x14ac:dyDescent="0.25">
      <c r="B6388"/>
      <c r="Z6388"/>
    </row>
    <row r="6389" spans="2:26" x14ac:dyDescent="0.25">
      <c r="B6389"/>
      <c r="Z6389"/>
    </row>
    <row r="6390" spans="2:26" x14ac:dyDescent="0.25">
      <c r="B6390"/>
      <c r="Z6390"/>
    </row>
    <row r="6391" spans="2:26" x14ac:dyDescent="0.25">
      <c r="B6391"/>
      <c r="Z6391"/>
    </row>
    <row r="6392" spans="2:26" x14ac:dyDescent="0.25">
      <c r="B6392"/>
      <c r="Z6392"/>
    </row>
    <row r="6393" spans="2:26" x14ac:dyDescent="0.25">
      <c r="B6393"/>
      <c r="Z6393"/>
    </row>
    <row r="6394" spans="2:26" x14ac:dyDescent="0.25">
      <c r="B6394"/>
      <c r="Z6394"/>
    </row>
    <row r="6395" spans="2:26" x14ac:dyDescent="0.25">
      <c r="B6395"/>
      <c r="Z6395"/>
    </row>
    <row r="6396" spans="2:26" x14ac:dyDescent="0.25">
      <c r="B6396"/>
      <c r="Z6396"/>
    </row>
    <row r="6397" spans="2:26" x14ac:dyDescent="0.25">
      <c r="B6397"/>
      <c r="Z6397"/>
    </row>
    <row r="6398" spans="2:26" x14ac:dyDescent="0.25">
      <c r="B6398"/>
      <c r="Z6398"/>
    </row>
    <row r="6399" spans="2:26" x14ac:dyDescent="0.25">
      <c r="B6399"/>
      <c r="Z6399"/>
    </row>
    <row r="6400" spans="2:26" x14ac:dyDescent="0.25">
      <c r="B6400"/>
      <c r="Z6400"/>
    </row>
    <row r="6401" spans="2:26" x14ac:dyDescent="0.25">
      <c r="B6401"/>
      <c r="Z6401"/>
    </row>
    <row r="6402" spans="2:26" x14ac:dyDescent="0.25">
      <c r="B6402"/>
      <c r="Z6402"/>
    </row>
    <row r="6403" spans="2:26" x14ac:dyDescent="0.25">
      <c r="B6403"/>
      <c r="Z6403"/>
    </row>
    <row r="6404" spans="2:26" x14ac:dyDescent="0.25">
      <c r="B6404"/>
      <c r="Z6404"/>
    </row>
    <row r="6405" spans="2:26" x14ac:dyDescent="0.25">
      <c r="B6405"/>
      <c r="Z6405"/>
    </row>
    <row r="6406" spans="2:26" x14ac:dyDescent="0.25">
      <c r="B6406"/>
      <c r="Z6406"/>
    </row>
    <row r="6407" spans="2:26" x14ac:dyDescent="0.25">
      <c r="B6407"/>
      <c r="Z6407"/>
    </row>
    <row r="6408" spans="2:26" x14ac:dyDescent="0.25">
      <c r="B6408"/>
      <c r="Z6408"/>
    </row>
    <row r="6409" spans="2:26" x14ac:dyDescent="0.25">
      <c r="B6409"/>
      <c r="Z6409"/>
    </row>
    <row r="6410" spans="2:26" x14ac:dyDescent="0.25">
      <c r="B6410"/>
      <c r="Z6410"/>
    </row>
    <row r="6411" spans="2:26" x14ac:dyDescent="0.25">
      <c r="B6411"/>
      <c r="Z6411"/>
    </row>
    <row r="6412" spans="2:26" x14ac:dyDescent="0.25">
      <c r="B6412"/>
      <c r="Z6412"/>
    </row>
    <row r="6413" spans="2:26" x14ac:dyDescent="0.25">
      <c r="B6413"/>
      <c r="Z6413"/>
    </row>
    <row r="6414" spans="2:26" x14ac:dyDescent="0.25">
      <c r="B6414"/>
      <c r="Z6414"/>
    </row>
    <row r="6415" spans="2:26" x14ac:dyDescent="0.25">
      <c r="B6415"/>
      <c r="Z6415"/>
    </row>
    <row r="6416" spans="2:26" x14ac:dyDescent="0.25">
      <c r="B6416"/>
      <c r="Z6416"/>
    </row>
    <row r="6417" spans="2:26" x14ac:dyDescent="0.25">
      <c r="B6417"/>
      <c r="Z6417"/>
    </row>
    <row r="6418" spans="2:26" x14ac:dyDescent="0.25">
      <c r="B6418"/>
      <c r="Z6418"/>
    </row>
    <row r="6419" spans="2:26" x14ac:dyDescent="0.25">
      <c r="B6419"/>
      <c r="Z6419"/>
    </row>
    <row r="6420" spans="2:26" x14ac:dyDescent="0.25">
      <c r="B6420"/>
      <c r="Z6420"/>
    </row>
    <row r="6421" spans="2:26" x14ac:dyDescent="0.25">
      <c r="B6421"/>
      <c r="Z6421"/>
    </row>
    <row r="6422" spans="2:26" x14ac:dyDescent="0.25">
      <c r="B6422"/>
      <c r="Z6422"/>
    </row>
    <row r="6423" spans="2:26" x14ac:dyDescent="0.25">
      <c r="B6423"/>
      <c r="Z6423"/>
    </row>
    <row r="6424" spans="2:26" x14ac:dyDescent="0.25">
      <c r="B6424"/>
      <c r="Z6424"/>
    </row>
    <row r="6425" spans="2:26" x14ac:dyDescent="0.25">
      <c r="B6425"/>
      <c r="Z6425"/>
    </row>
    <row r="6426" spans="2:26" x14ac:dyDescent="0.25">
      <c r="B6426"/>
      <c r="Z6426"/>
    </row>
    <row r="6427" spans="2:26" x14ac:dyDescent="0.25">
      <c r="B6427"/>
      <c r="Z6427"/>
    </row>
    <row r="6428" spans="2:26" x14ac:dyDescent="0.25">
      <c r="B6428"/>
      <c r="Z6428"/>
    </row>
    <row r="6429" spans="2:26" x14ac:dyDescent="0.25">
      <c r="B6429"/>
      <c r="Z6429"/>
    </row>
    <row r="6430" spans="2:26" x14ac:dyDescent="0.25">
      <c r="B6430"/>
      <c r="Z6430"/>
    </row>
    <row r="6431" spans="2:26" x14ac:dyDescent="0.25">
      <c r="B6431"/>
      <c r="Z6431"/>
    </row>
    <row r="6432" spans="2:26" x14ac:dyDescent="0.25">
      <c r="B6432"/>
      <c r="Z6432"/>
    </row>
    <row r="6433" spans="2:26" x14ac:dyDescent="0.25">
      <c r="B6433"/>
      <c r="Z6433"/>
    </row>
    <row r="6434" spans="2:26" x14ac:dyDescent="0.25">
      <c r="B6434"/>
      <c r="Z6434"/>
    </row>
    <row r="6435" spans="2:26" x14ac:dyDescent="0.25">
      <c r="B6435"/>
      <c r="Z6435"/>
    </row>
    <row r="6436" spans="2:26" x14ac:dyDescent="0.25">
      <c r="B6436"/>
      <c r="Z6436"/>
    </row>
    <row r="6437" spans="2:26" x14ac:dyDescent="0.25">
      <c r="B6437"/>
      <c r="Z6437"/>
    </row>
    <row r="6438" spans="2:26" x14ac:dyDescent="0.25">
      <c r="B6438"/>
      <c r="Z6438"/>
    </row>
    <row r="6439" spans="2:26" x14ac:dyDescent="0.25">
      <c r="B6439"/>
      <c r="Z6439"/>
    </row>
    <row r="6440" spans="2:26" x14ac:dyDescent="0.25">
      <c r="B6440"/>
      <c r="Z6440"/>
    </row>
    <row r="6441" spans="2:26" x14ac:dyDescent="0.25">
      <c r="B6441"/>
      <c r="Z6441"/>
    </row>
    <row r="6442" spans="2:26" x14ac:dyDescent="0.25">
      <c r="B6442"/>
      <c r="Z6442"/>
    </row>
    <row r="6443" spans="2:26" x14ac:dyDescent="0.25">
      <c r="B6443"/>
      <c r="Z6443"/>
    </row>
    <row r="6444" spans="2:26" x14ac:dyDescent="0.25">
      <c r="B6444"/>
      <c r="Z6444"/>
    </row>
    <row r="6445" spans="2:26" x14ac:dyDescent="0.25">
      <c r="B6445"/>
      <c r="Z6445"/>
    </row>
    <row r="6446" spans="2:26" x14ac:dyDescent="0.25">
      <c r="B6446"/>
      <c r="Z6446"/>
    </row>
    <row r="6447" spans="2:26" x14ac:dyDescent="0.25">
      <c r="B6447"/>
      <c r="Z6447"/>
    </row>
    <row r="6448" spans="2:26" x14ac:dyDescent="0.25">
      <c r="B6448"/>
      <c r="Z6448"/>
    </row>
    <row r="6449" spans="2:26" x14ac:dyDescent="0.25">
      <c r="B6449"/>
      <c r="Z6449"/>
    </row>
    <row r="6450" spans="2:26" x14ac:dyDescent="0.25">
      <c r="B6450"/>
      <c r="Z6450"/>
    </row>
    <row r="6451" spans="2:26" x14ac:dyDescent="0.25">
      <c r="B6451"/>
      <c r="Z6451"/>
    </row>
    <row r="6452" spans="2:26" x14ac:dyDescent="0.25">
      <c r="B6452"/>
      <c r="Z6452"/>
    </row>
    <row r="6453" spans="2:26" x14ac:dyDescent="0.25">
      <c r="B6453"/>
      <c r="Z6453"/>
    </row>
    <row r="6454" spans="2:26" x14ac:dyDescent="0.25">
      <c r="B6454"/>
      <c r="Z6454"/>
    </row>
    <row r="6455" spans="2:26" x14ac:dyDescent="0.25">
      <c r="B6455"/>
      <c r="Z6455"/>
    </row>
    <row r="6456" spans="2:26" x14ac:dyDescent="0.25">
      <c r="B6456"/>
      <c r="Z6456"/>
    </row>
    <row r="6457" spans="2:26" x14ac:dyDescent="0.25">
      <c r="B6457"/>
      <c r="Z6457"/>
    </row>
    <row r="6458" spans="2:26" x14ac:dyDescent="0.25">
      <c r="B6458"/>
      <c r="Z6458"/>
    </row>
    <row r="6459" spans="2:26" x14ac:dyDescent="0.25">
      <c r="B6459"/>
      <c r="Z6459"/>
    </row>
    <row r="6460" spans="2:26" x14ac:dyDescent="0.25">
      <c r="B6460"/>
      <c r="Z6460"/>
    </row>
    <row r="6461" spans="2:26" x14ac:dyDescent="0.25">
      <c r="B6461"/>
      <c r="Z6461"/>
    </row>
    <row r="6462" spans="2:26" x14ac:dyDescent="0.25">
      <c r="B6462"/>
      <c r="Z6462"/>
    </row>
    <row r="6463" spans="2:26" x14ac:dyDescent="0.25">
      <c r="B6463"/>
      <c r="Z6463"/>
    </row>
    <row r="6464" spans="2:26" x14ac:dyDescent="0.25">
      <c r="B6464"/>
      <c r="Z6464"/>
    </row>
    <row r="6465" spans="1:33" x14ac:dyDescent="0.25">
      <c r="B6465"/>
      <c r="Z6465"/>
    </row>
    <row r="6466" spans="1:33" x14ac:dyDescent="0.25">
      <c r="B6466"/>
      <c r="Z6466"/>
    </row>
    <row r="6467" spans="1:33" x14ac:dyDescent="0.25">
      <c r="B6467"/>
      <c r="Z6467"/>
    </row>
    <row r="6468" spans="1:33" x14ac:dyDescent="0.25">
      <c r="B6468"/>
      <c r="Z6468"/>
    </row>
    <row r="6469" spans="1:33" x14ac:dyDescent="0.25">
      <c r="B6469"/>
      <c r="Z6469"/>
    </row>
    <row r="6470" spans="1:33" x14ac:dyDescent="0.25">
      <c r="B6470"/>
      <c r="Z6470"/>
    </row>
    <row r="6471" spans="1:33" x14ac:dyDescent="0.25">
      <c r="B6471"/>
      <c r="K6471" s="6"/>
      <c r="Z6471"/>
    </row>
    <row r="6472" spans="1:33" x14ac:dyDescent="0.25">
      <c r="B6472"/>
      <c r="Z6472"/>
    </row>
    <row r="6473" spans="1:33" x14ac:dyDescent="0.25">
      <c r="A6473" s="6"/>
      <c r="B6473" s="6"/>
      <c r="C6473" s="6"/>
      <c r="D6473" s="6"/>
      <c r="E6473" s="6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  <c r="T6473" s="6"/>
      <c r="U6473" s="6"/>
      <c r="V6473" s="6"/>
      <c r="W6473" s="6"/>
      <c r="X6473" s="6"/>
      <c r="Y6473" s="6"/>
      <c r="Z6473" s="6"/>
      <c r="AA6473" s="6"/>
      <c r="AB6473" s="6"/>
      <c r="AC6473" s="6"/>
      <c r="AD6473" s="6"/>
      <c r="AE6473" s="6"/>
      <c r="AF6473" s="6"/>
      <c r="AG6473" s="6"/>
    </row>
    <row r="6474" spans="1:33" x14ac:dyDescent="0.25">
      <c r="B6474"/>
      <c r="Z6474"/>
    </row>
    <row r="6475" spans="1:33" x14ac:dyDescent="0.25">
      <c r="B6475"/>
      <c r="Z6475"/>
    </row>
    <row r="6476" spans="1:33" x14ac:dyDescent="0.25">
      <c r="B6476"/>
      <c r="Z6476"/>
    </row>
    <row r="6477" spans="1:33" x14ac:dyDescent="0.25">
      <c r="B6477"/>
      <c r="Z6477"/>
    </row>
    <row r="6478" spans="1:33" x14ac:dyDescent="0.25">
      <c r="B6478"/>
      <c r="Z6478"/>
    </row>
    <row r="6479" spans="1:33" x14ac:dyDescent="0.25">
      <c r="B6479"/>
      <c r="Z6479"/>
    </row>
    <row r="6480" spans="1:33" x14ac:dyDescent="0.25">
      <c r="B6480"/>
      <c r="Z6480"/>
    </row>
    <row r="6481" spans="2:26" x14ac:dyDescent="0.25">
      <c r="B6481"/>
      <c r="Z6481"/>
    </row>
    <row r="6482" spans="2:26" x14ac:dyDescent="0.25">
      <c r="B6482"/>
      <c r="Z6482"/>
    </row>
    <row r="6483" spans="2:26" x14ac:dyDescent="0.25">
      <c r="B6483"/>
      <c r="Z6483"/>
    </row>
    <row r="6484" spans="2:26" x14ac:dyDescent="0.25">
      <c r="B6484"/>
      <c r="Z6484"/>
    </row>
    <row r="6485" spans="2:26" x14ac:dyDescent="0.25">
      <c r="B6485"/>
      <c r="Z6485"/>
    </row>
    <row r="6486" spans="2:26" x14ac:dyDescent="0.25">
      <c r="B6486"/>
      <c r="Z6486"/>
    </row>
    <row r="6487" spans="2:26" x14ac:dyDescent="0.25">
      <c r="B6487"/>
      <c r="Z6487"/>
    </row>
    <row r="6488" spans="2:26" x14ac:dyDescent="0.25">
      <c r="B6488"/>
      <c r="Z6488"/>
    </row>
    <row r="6489" spans="2:26" x14ac:dyDescent="0.25">
      <c r="B6489"/>
      <c r="Z6489"/>
    </row>
    <row r="6490" spans="2:26" x14ac:dyDescent="0.25">
      <c r="B6490"/>
      <c r="Z6490"/>
    </row>
    <row r="6491" spans="2:26" x14ac:dyDescent="0.25">
      <c r="B6491"/>
      <c r="Z6491"/>
    </row>
    <row r="6492" spans="2:26" x14ac:dyDescent="0.25">
      <c r="B6492"/>
      <c r="Z6492"/>
    </row>
    <row r="6493" spans="2:26" x14ac:dyDescent="0.25">
      <c r="B6493"/>
      <c r="Z6493"/>
    </row>
    <row r="6494" spans="2:26" x14ac:dyDescent="0.25">
      <c r="B6494"/>
      <c r="Z6494"/>
    </row>
    <row r="6495" spans="2:26" x14ac:dyDescent="0.25">
      <c r="B6495"/>
      <c r="Z6495"/>
    </row>
    <row r="6496" spans="2:26" x14ac:dyDescent="0.25">
      <c r="B6496"/>
      <c r="Z6496"/>
    </row>
    <row r="6497" spans="2:26" x14ac:dyDescent="0.25">
      <c r="B6497"/>
      <c r="Z6497"/>
    </row>
    <row r="6498" spans="2:26" x14ac:dyDescent="0.25">
      <c r="B6498"/>
      <c r="Z6498"/>
    </row>
    <row r="6499" spans="2:26" x14ac:dyDescent="0.25">
      <c r="B6499"/>
      <c r="Z6499"/>
    </row>
    <row r="6500" spans="2:26" x14ac:dyDescent="0.25">
      <c r="B6500"/>
      <c r="Z6500"/>
    </row>
    <row r="6501" spans="2:26" x14ac:dyDescent="0.25">
      <c r="B6501"/>
      <c r="Z6501"/>
    </row>
    <row r="6502" spans="2:26" x14ac:dyDescent="0.25">
      <c r="B6502"/>
      <c r="Z6502"/>
    </row>
    <row r="6503" spans="2:26" x14ac:dyDescent="0.25">
      <c r="B6503"/>
      <c r="Z6503"/>
    </row>
    <row r="6504" spans="2:26" x14ac:dyDescent="0.25">
      <c r="B6504"/>
      <c r="Z6504"/>
    </row>
    <row r="6505" spans="2:26" x14ac:dyDescent="0.25">
      <c r="B6505"/>
      <c r="Z6505"/>
    </row>
    <row r="6506" spans="2:26" x14ac:dyDescent="0.25">
      <c r="B6506"/>
      <c r="Z6506"/>
    </row>
    <row r="6507" spans="2:26" x14ac:dyDescent="0.25">
      <c r="B6507"/>
      <c r="Z6507"/>
    </row>
    <row r="6508" spans="2:26" x14ac:dyDescent="0.25">
      <c r="B6508"/>
      <c r="Z6508"/>
    </row>
    <row r="6509" spans="2:26" x14ac:dyDescent="0.25">
      <c r="B6509"/>
      <c r="Z6509"/>
    </row>
    <row r="6510" spans="2:26" x14ac:dyDescent="0.25">
      <c r="B6510"/>
      <c r="Z6510"/>
    </row>
    <row r="6511" spans="2:26" x14ac:dyDescent="0.25">
      <c r="B6511"/>
      <c r="Z6511"/>
    </row>
    <row r="6512" spans="2:26" x14ac:dyDescent="0.25">
      <c r="B6512"/>
      <c r="Z6512"/>
    </row>
    <row r="6513" spans="2:26" x14ac:dyDescent="0.25">
      <c r="B6513"/>
      <c r="Z6513"/>
    </row>
    <row r="6514" spans="2:26" x14ac:dyDescent="0.25">
      <c r="B6514"/>
      <c r="Z6514"/>
    </row>
    <row r="6515" spans="2:26" x14ac:dyDescent="0.25">
      <c r="B6515"/>
      <c r="Z6515"/>
    </row>
    <row r="6516" spans="2:26" x14ac:dyDescent="0.25">
      <c r="B6516"/>
      <c r="Z6516"/>
    </row>
    <row r="6517" spans="2:26" x14ac:dyDescent="0.25">
      <c r="B6517"/>
      <c r="Z6517"/>
    </row>
    <row r="6518" spans="2:26" x14ac:dyDescent="0.25">
      <c r="B6518"/>
      <c r="Z6518"/>
    </row>
    <row r="6519" spans="2:26" x14ac:dyDescent="0.25">
      <c r="B6519"/>
      <c r="Z6519"/>
    </row>
    <row r="6520" spans="2:26" x14ac:dyDescent="0.25">
      <c r="B6520"/>
      <c r="Z6520"/>
    </row>
    <row r="6521" spans="2:26" x14ac:dyDescent="0.25">
      <c r="B6521"/>
      <c r="Z6521"/>
    </row>
    <row r="6522" spans="2:26" x14ac:dyDescent="0.25">
      <c r="B6522"/>
      <c r="Z6522"/>
    </row>
    <row r="6523" spans="2:26" x14ac:dyDescent="0.25">
      <c r="B6523"/>
      <c r="Z6523"/>
    </row>
    <row r="6524" spans="2:26" x14ac:dyDescent="0.25">
      <c r="B6524"/>
      <c r="Z6524"/>
    </row>
    <row r="6525" spans="2:26" x14ac:dyDescent="0.25">
      <c r="B6525"/>
      <c r="Z6525"/>
    </row>
    <row r="6526" spans="2:26" x14ac:dyDescent="0.25">
      <c r="B6526"/>
      <c r="Z6526"/>
    </row>
    <row r="6527" spans="2:26" x14ac:dyDescent="0.25">
      <c r="B6527"/>
      <c r="Z6527"/>
    </row>
    <row r="6528" spans="2:26" x14ac:dyDescent="0.25">
      <c r="B6528"/>
      <c r="Z6528"/>
    </row>
    <row r="6529" spans="2:26" x14ac:dyDescent="0.25">
      <c r="B6529"/>
      <c r="Z6529"/>
    </row>
    <row r="6530" spans="2:26" x14ac:dyDescent="0.25">
      <c r="B6530"/>
      <c r="Z6530"/>
    </row>
    <row r="6531" spans="2:26" x14ac:dyDescent="0.25">
      <c r="B6531"/>
      <c r="Z6531"/>
    </row>
    <row r="6532" spans="2:26" x14ac:dyDescent="0.25">
      <c r="B6532"/>
      <c r="Z6532"/>
    </row>
    <row r="6533" spans="2:26" x14ac:dyDescent="0.25">
      <c r="B6533"/>
      <c r="Z6533"/>
    </row>
    <row r="6534" spans="2:26" x14ac:dyDescent="0.25">
      <c r="B6534"/>
      <c r="Z6534"/>
    </row>
    <row r="6535" spans="2:26" x14ac:dyDescent="0.25">
      <c r="B6535"/>
      <c r="Z6535"/>
    </row>
    <row r="6536" spans="2:26" x14ac:dyDescent="0.25">
      <c r="B6536"/>
      <c r="Z6536"/>
    </row>
    <row r="6537" spans="2:26" x14ac:dyDescent="0.25">
      <c r="B6537"/>
      <c r="Z6537"/>
    </row>
    <row r="6538" spans="2:26" x14ac:dyDescent="0.25">
      <c r="B6538"/>
      <c r="Z6538"/>
    </row>
    <row r="6539" spans="2:26" x14ac:dyDescent="0.25">
      <c r="B6539"/>
      <c r="Z6539"/>
    </row>
    <row r="6540" spans="2:26" x14ac:dyDescent="0.25">
      <c r="B6540"/>
      <c r="Z6540"/>
    </row>
    <row r="6541" spans="2:26" x14ac:dyDescent="0.25">
      <c r="B6541"/>
      <c r="Z6541"/>
    </row>
    <row r="6542" spans="2:26" x14ac:dyDescent="0.25">
      <c r="B6542"/>
      <c r="Z6542"/>
    </row>
    <row r="6543" spans="2:26" x14ac:dyDescent="0.25">
      <c r="B6543"/>
      <c r="Z6543"/>
    </row>
    <row r="6544" spans="2:26" x14ac:dyDescent="0.25">
      <c r="B6544"/>
      <c r="Z6544"/>
    </row>
    <row r="6545" spans="2:26" x14ac:dyDescent="0.25">
      <c r="B6545"/>
      <c r="Z6545"/>
    </row>
    <row r="6546" spans="2:26" x14ac:dyDescent="0.25">
      <c r="B6546"/>
      <c r="Z6546"/>
    </row>
    <row r="6547" spans="2:26" x14ac:dyDescent="0.25">
      <c r="B6547"/>
      <c r="Z6547"/>
    </row>
    <row r="6548" spans="2:26" x14ac:dyDescent="0.25">
      <c r="B6548"/>
      <c r="Z6548"/>
    </row>
    <row r="6549" spans="2:26" x14ac:dyDescent="0.25">
      <c r="B6549"/>
      <c r="Z6549"/>
    </row>
    <row r="6550" spans="2:26" x14ac:dyDescent="0.25">
      <c r="B6550"/>
      <c r="Z6550"/>
    </row>
    <row r="6551" spans="2:26" x14ac:dyDescent="0.25">
      <c r="B6551"/>
      <c r="Z6551"/>
    </row>
    <row r="6552" spans="2:26" x14ac:dyDescent="0.25">
      <c r="B6552"/>
      <c r="Z6552"/>
    </row>
    <row r="6553" spans="2:26" x14ac:dyDescent="0.25">
      <c r="B6553"/>
      <c r="Z6553"/>
    </row>
    <row r="6554" spans="2:26" x14ac:dyDescent="0.25">
      <c r="B6554"/>
      <c r="Z6554"/>
    </row>
    <row r="6555" spans="2:26" x14ac:dyDescent="0.25">
      <c r="B6555"/>
      <c r="Z6555"/>
    </row>
    <row r="6556" spans="2:26" x14ac:dyDescent="0.25">
      <c r="B6556"/>
      <c r="Z6556"/>
    </row>
    <row r="6557" spans="2:26" x14ac:dyDescent="0.25">
      <c r="B6557"/>
      <c r="Z6557"/>
    </row>
    <row r="6558" spans="2:26" x14ac:dyDescent="0.25">
      <c r="B6558"/>
      <c r="Z6558"/>
    </row>
    <row r="6559" spans="2:26" x14ac:dyDescent="0.25">
      <c r="B6559"/>
      <c r="Z6559"/>
    </row>
    <row r="6560" spans="2:26" x14ac:dyDescent="0.25">
      <c r="B6560"/>
      <c r="Z6560"/>
    </row>
    <row r="6561" spans="2:26" x14ac:dyDescent="0.25">
      <c r="B6561"/>
      <c r="Z6561"/>
    </row>
    <row r="6562" spans="2:26" x14ac:dyDescent="0.25">
      <c r="B6562"/>
      <c r="Z6562"/>
    </row>
    <row r="6563" spans="2:26" x14ac:dyDescent="0.25">
      <c r="B6563"/>
      <c r="Z6563"/>
    </row>
    <row r="6564" spans="2:26" x14ac:dyDescent="0.25">
      <c r="B6564"/>
      <c r="Z6564"/>
    </row>
    <row r="6565" spans="2:26" x14ac:dyDescent="0.25">
      <c r="B6565"/>
      <c r="Z6565"/>
    </row>
    <row r="6566" spans="2:26" x14ac:dyDescent="0.25">
      <c r="B6566"/>
      <c r="Z6566"/>
    </row>
    <row r="6567" spans="2:26" x14ac:dyDescent="0.25">
      <c r="B6567"/>
      <c r="Z6567"/>
    </row>
    <row r="6568" spans="2:26" x14ac:dyDescent="0.25">
      <c r="B6568"/>
      <c r="Z6568"/>
    </row>
    <row r="6569" spans="2:26" x14ac:dyDescent="0.25">
      <c r="B6569"/>
      <c r="Z6569"/>
    </row>
    <row r="6570" spans="2:26" x14ac:dyDescent="0.25">
      <c r="B6570"/>
      <c r="K6570" s="6"/>
      <c r="Z6570"/>
    </row>
    <row r="6571" spans="2:26" x14ac:dyDescent="0.25">
      <c r="B6571"/>
      <c r="Z6571"/>
    </row>
    <row r="6572" spans="2:26" x14ac:dyDescent="0.25">
      <c r="B6572"/>
      <c r="Z6572"/>
    </row>
    <row r="6573" spans="2:26" x14ac:dyDescent="0.25">
      <c r="B6573"/>
      <c r="Z6573"/>
    </row>
    <row r="6574" spans="2:26" x14ac:dyDescent="0.25">
      <c r="B6574"/>
      <c r="Z6574"/>
    </row>
    <row r="6575" spans="2:26" x14ac:dyDescent="0.25">
      <c r="B6575"/>
      <c r="Z6575"/>
    </row>
    <row r="6576" spans="2:26" x14ac:dyDescent="0.25">
      <c r="B6576"/>
      <c r="Z6576"/>
    </row>
    <row r="6577" spans="1:33" x14ac:dyDescent="0.25">
      <c r="A6577" s="6"/>
      <c r="B6577" s="6"/>
      <c r="C6577" s="6"/>
      <c r="D6577" s="6"/>
      <c r="E6577" s="6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  <c r="T6577" s="6"/>
      <c r="U6577" s="6"/>
      <c r="V6577" s="6"/>
      <c r="W6577" s="6"/>
      <c r="X6577" s="6"/>
      <c r="Y6577" s="6"/>
      <c r="Z6577" s="6"/>
      <c r="AA6577" s="6"/>
      <c r="AB6577" s="6"/>
      <c r="AC6577" s="6"/>
      <c r="AD6577" s="6"/>
      <c r="AE6577" s="6"/>
      <c r="AF6577" s="6"/>
      <c r="AG6577" s="6"/>
    </row>
    <row r="6578" spans="1:33" x14ac:dyDescent="0.25">
      <c r="B6578"/>
      <c r="Z6578"/>
    </row>
    <row r="6579" spans="1:33" x14ac:dyDescent="0.25">
      <c r="B6579"/>
      <c r="Z6579"/>
    </row>
    <row r="6580" spans="1:33" x14ac:dyDescent="0.25">
      <c r="B6580"/>
      <c r="Z6580"/>
    </row>
    <row r="6581" spans="1:33" x14ac:dyDescent="0.25">
      <c r="B6581"/>
      <c r="Z6581"/>
    </row>
    <row r="6582" spans="1:33" x14ac:dyDescent="0.25">
      <c r="B6582"/>
      <c r="Z6582"/>
    </row>
    <row r="6583" spans="1:33" x14ac:dyDescent="0.25">
      <c r="B6583"/>
      <c r="Z6583"/>
    </row>
    <row r="6584" spans="1:33" x14ac:dyDescent="0.25">
      <c r="B6584"/>
      <c r="Z6584"/>
    </row>
    <row r="6585" spans="1:33" x14ac:dyDescent="0.25">
      <c r="B6585"/>
      <c r="Z6585"/>
    </row>
    <row r="6586" spans="1:33" x14ac:dyDescent="0.25">
      <c r="B6586"/>
      <c r="Z6586"/>
    </row>
    <row r="6587" spans="1:33" x14ac:dyDescent="0.25">
      <c r="B6587"/>
      <c r="Z6587"/>
    </row>
    <row r="6588" spans="1:33" x14ac:dyDescent="0.25">
      <c r="B6588"/>
      <c r="Z6588"/>
    </row>
    <row r="6589" spans="1:33" x14ac:dyDescent="0.25">
      <c r="B6589"/>
      <c r="Z6589"/>
    </row>
    <row r="6590" spans="1:33" x14ac:dyDescent="0.25">
      <c r="B6590"/>
      <c r="Z6590"/>
    </row>
    <row r="6591" spans="1:33" x14ac:dyDescent="0.25">
      <c r="B6591"/>
      <c r="Z6591"/>
    </row>
    <row r="6592" spans="1:33" x14ac:dyDescent="0.25">
      <c r="B6592"/>
      <c r="Z6592"/>
    </row>
    <row r="6593" spans="2:26" x14ac:dyDescent="0.25">
      <c r="B6593"/>
      <c r="Z6593"/>
    </row>
    <row r="6594" spans="2:26" x14ac:dyDescent="0.25">
      <c r="B6594"/>
      <c r="Z6594"/>
    </row>
    <row r="6595" spans="2:26" x14ac:dyDescent="0.25">
      <c r="B6595"/>
      <c r="Z6595"/>
    </row>
    <row r="6596" spans="2:26" x14ac:dyDescent="0.25">
      <c r="B6596"/>
      <c r="Z6596"/>
    </row>
    <row r="6597" spans="2:26" x14ac:dyDescent="0.25">
      <c r="B6597"/>
      <c r="Z6597"/>
    </row>
    <row r="6598" spans="2:26" x14ac:dyDescent="0.25">
      <c r="B6598"/>
      <c r="Z6598"/>
    </row>
    <row r="6599" spans="2:26" x14ac:dyDescent="0.25">
      <c r="B6599"/>
      <c r="Z6599"/>
    </row>
    <row r="6600" spans="2:26" x14ac:dyDescent="0.25">
      <c r="B6600"/>
      <c r="Z6600"/>
    </row>
    <row r="6601" spans="2:26" x14ac:dyDescent="0.25">
      <c r="B6601"/>
      <c r="Z6601"/>
    </row>
    <row r="6602" spans="2:26" x14ac:dyDescent="0.25">
      <c r="B6602"/>
      <c r="Z6602"/>
    </row>
    <row r="6603" spans="2:26" x14ac:dyDescent="0.25">
      <c r="B6603"/>
      <c r="Z6603"/>
    </row>
    <row r="6604" spans="2:26" x14ac:dyDescent="0.25">
      <c r="B6604"/>
      <c r="Z6604"/>
    </row>
    <row r="6605" spans="2:26" x14ac:dyDescent="0.25">
      <c r="B6605"/>
      <c r="Z6605"/>
    </row>
    <row r="6606" spans="2:26" x14ac:dyDescent="0.25">
      <c r="B6606"/>
      <c r="Z6606"/>
    </row>
    <row r="6607" spans="2:26" x14ac:dyDescent="0.25">
      <c r="B6607"/>
      <c r="Z6607"/>
    </row>
    <row r="6608" spans="2:26" x14ac:dyDescent="0.25">
      <c r="B6608"/>
      <c r="Z6608"/>
    </row>
    <row r="6609" spans="2:26" x14ac:dyDescent="0.25">
      <c r="B6609"/>
      <c r="Z6609"/>
    </row>
    <row r="6610" spans="2:26" x14ac:dyDescent="0.25">
      <c r="B6610"/>
      <c r="Z6610"/>
    </row>
    <row r="6611" spans="2:26" x14ac:dyDescent="0.25">
      <c r="B6611"/>
      <c r="Z6611"/>
    </row>
    <row r="6612" spans="2:26" x14ac:dyDescent="0.25">
      <c r="B6612"/>
      <c r="Z6612"/>
    </row>
    <row r="6613" spans="2:26" x14ac:dyDescent="0.25">
      <c r="B6613"/>
      <c r="Z6613"/>
    </row>
    <row r="6614" spans="2:26" x14ac:dyDescent="0.25">
      <c r="B6614"/>
      <c r="Z6614"/>
    </row>
    <row r="6615" spans="2:26" x14ac:dyDescent="0.25">
      <c r="B6615"/>
      <c r="Z6615"/>
    </row>
    <row r="6616" spans="2:26" x14ac:dyDescent="0.25">
      <c r="B6616"/>
      <c r="Z6616"/>
    </row>
    <row r="6617" spans="2:26" x14ac:dyDescent="0.25">
      <c r="B6617"/>
      <c r="Z6617"/>
    </row>
    <row r="6618" spans="2:26" x14ac:dyDescent="0.25">
      <c r="B6618"/>
      <c r="Z6618"/>
    </row>
    <row r="6619" spans="2:26" x14ac:dyDescent="0.25">
      <c r="B6619"/>
      <c r="Z6619"/>
    </row>
    <row r="6620" spans="2:26" x14ac:dyDescent="0.25">
      <c r="B6620"/>
      <c r="Z6620"/>
    </row>
    <row r="6621" spans="2:26" x14ac:dyDescent="0.25">
      <c r="B6621"/>
      <c r="Z6621"/>
    </row>
    <row r="6622" spans="2:26" x14ac:dyDescent="0.25">
      <c r="B6622"/>
      <c r="Z6622"/>
    </row>
    <row r="6623" spans="2:26" x14ac:dyDescent="0.25">
      <c r="B6623"/>
      <c r="Z6623"/>
    </row>
    <row r="6624" spans="2:26" x14ac:dyDescent="0.25">
      <c r="B6624"/>
      <c r="Z6624"/>
    </row>
    <row r="6625" spans="2:26" x14ac:dyDescent="0.25">
      <c r="B6625"/>
      <c r="Z6625"/>
    </row>
    <row r="6626" spans="2:26" x14ac:dyDescent="0.25">
      <c r="B6626"/>
      <c r="Z6626"/>
    </row>
    <row r="6627" spans="2:26" x14ac:dyDescent="0.25">
      <c r="B6627"/>
      <c r="Z6627"/>
    </row>
    <row r="6628" spans="2:26" x14ac:dyDescent="0.25">
      <c r="B6628"/>
      <c r="Z6628"/>
    </row>
    <row r="6629" spans="2:26" x14ac:dyDescent="0.25">
      <c r="B6629"/>
      <c r="Z6629"/>
    </row>
    <row r="6630" spans="2:26" x14ac:dyDescent="0.25">
      <c r="B6630"/>
      <c r="Z6630"/>
    </row>
    <row r="6631" spans="2:26" x14ac:dyDescent="0.25">
      <c r="B6631"/>
      <c r="Z6631"/>
    </row>
    <row r="6632" spans="2:26" x14ac:dyDescent="0.25">
      <c r="B6632"/>
      <c r="Z6632"/>
    </row>
    <row r="6633" spans="2:26" x14ac:dyDescent="0.25">
      <c r="B6633"/>
      <c r="Z6633"/>
    </row>
    <row r="6634" spans="2:26" x14ac:dyDescent="0.25">
      <c r="B6634"/>
      <c r="Z6634"/>
    </row>
    <row r="6635" spans="2:26" x14ac:dyDescent="0.25">
      <c r="B6635"/>
      <c r="Z6635"/>
    </row>
    <row r="6636" spans="2:26" x14ac:dyDescent="0.25">
      <c r="B6636"/>
      <c r="Z6636"/>
    </row>
    <row r="6637" spans="2:26" x14ac:dyDescent="0.25">
      <c r="B6637"/>
      <c r="Z6637"/>
    </row>
    <row r="6638" spans="2:26" x14ac:dyDescent="0.25">
      <c r="B6638"/>
      <c r="Z6638"/>
    </row>
    <row r="6639" spans="2:26" x14ac:dyDescent="0.25">
      <c r="B6639"/>
      <c r="Z6639"/>
    </row>
    <row r="6640" spans="2:26" x14ac:dyDescent="0.25">
      <c r="B6640"/>
      <c r="Z6640"/>
    </row>
    <row r="6641" spans="2:26" x14ac:dyDescent="0.25">
      <c r="B6641"/>
      <c r="Z6641"/>
    </row>
    <row r="6642" spans="2:26" x14ac:dyDescent="0.25">
      <c r="B6642"/>
      <c r="Z6642"/>
    </row>
    <row r="6643" spans="2:26" x14ac:dyDescent="0.25">
      <c r="B6643"/>
      <c r="Z6643"/>
    </row>
    <row r="6644" spans="2:26" x14ac:dyDescent="0.25">
      <c r="B6644"/>
      <c r="Z6644"/>
    </row>
    <row r="6645" spans="2:26" x14ac:dyDescent="0.25">
      <c r="B6645"/>
      <c r="Z6645"/>
    </row>
    <row r="6646" spans="2:26" x14ac:dyDescent="0.25">
      <c r="B6646"/>
      <c r="Z6646"/>
    </row>
    <row r="6647" spans="2:26" x14ac:dyDescent="0.25">
      <c r="B6647"/>
      <c r="Z6647"/>
    </row>
    <row r="6648" spans="2:26" x14ac:dyDescent="0.25">
      <c r="B6648"/>
      <c r="Z6648"/>
    </row>
    <row r="6649" spans="2:26" x14ac:dyDescent="0.25">
      <c r="B6649"/>
      <c r="Z6649"/>
    </row>
    <row r="6650" spans="2:26" x14ac:dyDescent="0.25">
      <c r="B6650"/>
      <c r="Z6650"/>
    </row>
    <row r="6651" spans="2:26" x14ac:dyDescent="0.25">
      <c r="B6651"/>
      <c r="Z6651"/>
    </row>
    <row r="6652" spans="2:26" x14ac:dyDescent="0.25">
      <c r="B6652"/>
      <c r="Z6652"/>
    </row>
    <row r="6653" spans="2:26" x14ac:dyDescent="0.25">
      <c r="B6653"/>
      <c r="Z6653"/>
    </row>
    <row r="6654" spans="2:26" x14ac:dyDescent="0.25">
      <c r="B6654"/>
      <c r="Z6654"/>
    </row>
    <row r="6655" spans="2:26" x14ac:dyDescent="0.25">
      <c r="B6655"/>
      <c r="Z6655"/>
    </row>
    <row r="6656" spans="2:26" x14ac:dyDescent="0.25">
      <c r="B6656"/>
      <c r="Z6656"/>
    </row>
    <row r="6657" spans="2:26" x14ac:dyDescent="0.25">
      <c r="B6657"/>
      <c r="Z6657"/>
    </row>
    <row r="6658" spans="2:26" x14ac:dyDescent="0.25">
      <c r="B6658"/>
      <c r="Z6658"/>
    </row>
    <row r="6659" spans="2:26" x14ac:dyDescent="0.25">
      <c r="B6659"/>
      <c r="Z6659"/>
    </row>
    <row r="6660" spans="2:26" x14ac:dyDescent="0.25">
      <c r="B6660"/>
      <c r="Z6660"/>
    </row>
    <row r="6661" spans="2:26" x14ac:dyDescent="0.25">
      <c r="B6661"/>
      <c r="Z6661"/>
    </row>
    <row r="6662" spans="2:26" x14ac:dyDescent="0.25">
      <c r="B6662"/>
      <c r="Z6662"/>
    </row>
    <row r="6663" spans="2:26" x14ac:dyDescent="0.25">
      <c r="B6663"/>
      <c r="Z6663"/>
    </row>
    <row r="6664" spans="2:26" x14ac:dyDescent="0.25">
      <c r="B6664"/>
      <c r="Z6664"/>
    </row>
    <row r="6665" spans="2:26" x14ac:dyDescent="0.25">
      <c r="B6665"/>
      <c r="Z6665"/>
    </row>
    <row r="6666" spans="2:26" x14ac:dyDescent="0.25">
      <c r="B6666"/>
      <c r="Z6666"/>
    </row>
    <row r="6667" spans="2:26" x14ac:dyDescent="0.25">
      <c r="B6667"/>
      <c r="Z6667"/>
    </row>
    <row r="6668" spans="2:26" x14ac:dyDescent="0.25">
      <c r="B6668"/>
      <c r="Z6668"/>
    </row>
    <row r="6669" spans="2:26" x14ac:dyDescent="0.25">
      <c r="B6669"/>
      <c r="Z6669"/>
    </row>
    <row r="6670" spans="2:26" x14ac:dyDescent="0.25">
      <c r="B6670"/>
      <c r="Z6670"/>
    </row>
    <row r="6671" spans="2:26" x14ac:dyDescent="0.25">
      <c r="B6671"/>
      <c r="Z6671"/>
    </row>
    <row r="6672" spans="2:26" x14ac:dyDescent="0.25">
      <c r="B6672"/>
      <c r="Z6672"/>
    </row>
    <row r="6673" spans="1:33" x14ac:dyDescent="0.25">
      <c r="B6673"/>
      <c r="Z6673"/>
    </row>
    <row r="6674" spans="1:33" x14ac:dyDescent="0.25">
      <c r="B6674"/>
      <c r="K6674" s="6"/>
      <c r="Z6674"/>
    </row>
    <row r="6675" spans="1:33" x14ac:dyDescent="0.25">
      <c r="B6675"/>
      <c r="Z6675"/>
    </row>
    <row r="6676" spans="1:33" x14ac:dyDescent="0.25">
      <c r="B6676"/>
      <c r="Z6676"/>
    </row>
    <row r="6677" spans="1:33" x14ac:dyDescent="0.25">
      <c r="B6677"/>
      <c r="Z6677"/>
    </row>
    <row r="6678" spans="1:33" x14ac:dyDescent="0.25">
      <c r="B6678"/>
      <c r="Z6678"/>
    </row>
    <row r="6679" spans="1:33" x14ac:dyDescent="0.25">
      <c r="B6679"/>
      <c r="Z6679"/>
    </row>
    <row r="6680" spans="1:33" x14ac:dyDescent="0.25">
      <c r="B6680"/>
      <c r="Z6680"/>
    </row>
    <row r="6681" spans="1:33" x14ac:dyDescent="0.25">
      <c r="A6681" s="6"/>
      <c r="B6681" s="6"/>
      <c r="C6681" s="6"/>
      <c r="D6681" s="6"/>
      <c r="E6681" s="6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  <c r="T6681" s="6"/>
      <c r="U6681" s="6"/>
      <c r="V6681" s="6"/>
      <c r="W6681" s="6"/>
      <c r="X6681" s="6"/>
      <c r="Y6681" s="6"/>
      <c r="Z6681" s="6"/>
      <c r="AA6681" s="6"/>
      <c r="AB6681" s="6"/>
      <c r="AC6681" s="6"/>
      <c r="AD6681" s="6"/>
      <c r="AE6681" s="6"/>
      <c r="AF6681" s="6"/>
      <c r="AG6681" s="6"/>
    </row>
    <row r="6682" spans="1:33" x14ac:dyDescent="0.25">
      <c r="B6682"/>
      <c r="Z6682"/>
    </row>
    <row r="6683" spans="1:33" x14ac:dyDescent="0.25">
      <c r="B6683"/>
      <c r="Z6683"/>
    </row>
    <row r="6684" spans="1:33" x14ac:dyDescent="0.25">
      <c r="B6684"/>
      <c r="Z6684"/>
    </row>
    <row r="6685" spans="1:33" x14ac:dyDescent="0.25">
      <c r="B6685"/>
      <c r="Z6685"/>
    </row>
    <row r="6686" spans="1:33" x14ac:dyDescent="0.25">
      <c r="B6686"/>
      <c r="Z6686"/>
    </row>
    <row r="6687" spans="1:33" x14ac:dyDescent="0.25">
      <c r="B6687"/>
      <c r="Z6687"/>
    </row>
    <row r="6688" spans="1:33" x14ac:dyDescent="0.25">
      <c r="B6688"/>
      <c r="Z6688"/>
    </row>
    <row r="6689" spans="2:26" x14ac:dyDescent="0.25">
      <c r="B6689"/>
      <c r="Z6689"/>
    </row>
    <row r="6690" spans="2:26" x14ac:dyDescent="0.25">
      <c r="B6690"/>
      <c r="Z6690"/>
    </row>
    <row r="6691" spans="2:26" x14ac:dyDescent="0.25">
      <c r="B6691"/>
      <c r="Z6691"/>
    </row>
    <row r="6692" spans="2:26" x14ac:dyDescent="0.25">
      <c r="B6692"/>
      <c r="Z6692"/>
    </row>
    <row r="6693" spans="2:26" x14ac:dyDescent="0.25">
      <c r="B6693"/>
      <c r="Z6693"/>
    </row>
    <row r="6694" spans="2:26" x14ac:dyDescent="0.25">
      <c r="B6694"/>
      <c r="Z6694"/>
    </row>
    <row r="6695" spans="2:26" x14ac:dyDescent="0.25">
      <c r="B6695"/>
      <c r="Z6695"/>
    </row>
    <row r="6696" spans="2:26" x14ac:dyDescent="0.25">
      <c r="B6696"/>
      <c r="Z6696"/>
    </row>
    <row r="6697" spans="2:26" x14ac:dyDescent="0.25">
      <c r="B6697"/>
      <c r="Z6697"/>
    </row>
    <row r="6698" spans="2:26" x14ac:dyDescent="0.25">
      <c r="B6698"/>
      <c r="Z6698"/>
    </row>
    <row r="6699" spans="2:26" x14ac:dyDescent="0.25">
      <c r="B6699"/>
      <c r="Z6699"/>
    </row>
    <row r="6700" spans="2:26" x14ac:dyDescent="0.25">
      <c r="B6700"/>
      <c r="Z6700"/>
    </row>
    <row r="6701" spans="2:26" x14ac:dyDescent="0.25">
      <c r="B6701"/>
      <c r="Z6701"/>
    </row>
    <row r="6702" spans="2:26" x14ac:dyDescent="0.25">
      <c r="B6702"/>
      <c r="Z6702"/>
    </row>
    <row r="6703" spans="2:26" x14ac:dyDescent="0.25">
      <c r="B6703"/>
      <c r="Z6703"/>
    </row>
    <row r="6704" spans="2:26" x14ac:dyDescent="0.25">
      <c r="B6704"/>
      <c r="Z6704"/>
    </row>
    <row r="6705" spans="2:26" x14ac:dyDescent="0.25">
      <c r="B6705"/>
      <c r="Z6705"/>
    </row>
    <row r="6706" spans="2:26" x14ac:dyDescent="0.25">
      <c r="B6706"/>
      <c r="Z6706"/>
    </row>
    <row r="6707" spans="2:26" x14ac:dyDescent="0.25">
      <c r="B6707"/>
      <c r="Z6707"/>
    </row>
    <row r="6708" spans="2:26" x14ac:dyDescent="0.25">
      <c r="B6708"/>
      <c r="Z6708"/>
    </row>
    <row r="6709" spans="2:26" x14ac:dyDescent="0.25">
      <c r="B6709"/>
      <c r="Z6709"/>
    </row>
    <row r="6710" spans="2:26" x14ac:dyDescent="0.25">
      <c r="B6710"/>
      <c r="Z6710"/>
    </row>
    <row r="6711" spans="2:26" x14ac:dyDescent="0.25">
      <c r="B6711"/>
      <c r="Z6711"/>
    </row>
    <row r="6712" spans="2:26" x14ac:dyDescent="0.25">
      <c r="B6712"/>
      <c r="Z6712"/>
    </row>
    <row r="6713" spans="2:26" x14ac:dyDescent="0.25">
      <c r="B6713"/>
      <c r="Z6713"/>
    </row>
    <row r="6714" spans="2:26" x14ac:dyDescent="0.25">
      <c r="B6714"/>
      <c r="Z6714"/>
    </row>
    <row r="6715" spans="2:26" x14ac:dyDescent="0.25">
      <c r="B6715"/>
      <c r="Z6715"/>
    </row>
    <row r="6716" spans="2:26" x14ac:dyDescent="0.25">
      <c r="B6716"/>
      <c r="Z6716"/>
    </row>
    <row r="6717" spans="2:26" x14ac:dyDescent="0.25">
      <c r="B6717"/>
      <c r="Z6717"/>
    </row>
    <row r="6718" spans="2:26" x14ac:dyDescent="0.25">
      <c r="B6718"/>
      <c r="Z6718"/>
    </row>
    <row r="6719" spans="2:26" x14ac:dyDescent="0.25">
      <c r="B6719"/>
      <c r="Z6719"/>
    </row>
    <row r="6720" spans="2:26" x14ac:dyDescent="0.25">
      <c r="B6720"/>
      <c r="Z6720"/>
    </row>
    <row r="6721" spans="2:26" x14ac:dyDescent="0.25">
      <c r="B6721"/>
      <c r="Z6721"/>
    </row>
    <row r="6722" spans="2:26" x14ac:dyDescent="0.25">
      <c r="B6722"/>
      <c r="Z6722"/>
    </row>
    <row r="6723" spans="2:26" x14ac:dyDescent="0.25">
      <c r="B6723"/>
      <c r="Z6723"/>
    </row>
    <row r="6724" spans="2:26" x14ac:dyDescent="0.25">
      <c r="B6724"/>
      <c r="Z6724"/>
    </row>
    <row r="6725" spans="2:26" x14ac:dyDescent="0.25">
      <c r="B6725"/>
      <c r="Z6725"/>
    </row>
    <row r="6726" spans="2:26" x14ac:dyDescent="0.25">
      <c r="B6726"/>
      <c r="Z6726"/>
    </row>
    <row r="6727" spans="2:26" x14ac:dyDescent="0.25">
      <c r="B6727"/>
      <c r="Z6727"/>
    </row>
    <row r="6728" spans="2:26" x14ac:dyDescent="0.25">
      <c r="B6728"/>
      <c r="Z6728"/>
    </row>
    <row r="6729" spans="2:26" x14ac:dyDescent="0.25">
      <c r="B6729"/>
      <c r="Z6729"/>
    </row>
    <row r="6730" spans="2:26" x14ac:dyDescent="0.25">
      <c r="B6730"/>
      <c r="Z6730"/>
    </row>
    <row r="6731" spans="2:26" x14ac:dyDescent="0.25">
      <c r="B6731"/>
      <c r="Z6731"/>
    </row>
    <row r="6732" spans="2:26" x14ac:dyDescent="0.25">
      <c r="B6732"/>
      <c r="Z6732"/>
    </row>
    <row r="6733" spans="2:26" x14ac:dyDescent="0.25">
      <c r="B6733"/>
      <c r="Z6733"/>
    </row>
    <row r="6734" spans="2:26" x14ac:dyDescent="0.25">
      <c r="B6734"/>
      <c r="Z6734"/>
    </row>
    <row r="6735" spans="2:26" x14ac:dyDescent="0.25">
      <c r="B6735"/>
      <c r="Z6735"/>
    </row>
    <row r="6736" spans="2:26" x14ac:dyDescent="0.25">
      <c r="B6736"/>
      <c r="Z6736"/>
    </row>
    <row r="6737" spans="2:26" x14ac:dyDescent="0.25">
      <c r="B6737"/>
      <c r="Z6737"/>
    </row>
    <row r="6738" spans="2:26" x14ac:dyDescent="0.25">
      <c r="B6738"/>
      <c r="Z6738"/>
    </row>
    <row r="6739" spans="2:26" x14ac:dyDescent="0.25">
      <c r="B6739"/>
      <c r="Z6739"/>
    </row>
    <row r="6740" spans="2:26" x14ac:dyDescent="0.25">
      <c r="B6740"/>
      <c r="Z6740"/>
    </row>
    <row r="6741" spans="2:26" x14ac:dyDescent="0.25">
      <c r="B6741"/>
      <c r="Z6741"/>
    </row>
    <row r="6742" spans="2:26" x14ac:dyDescent="0.25">
      <c r="B6742"/>
      <c r="Z6742"/>
    </row>
    <row r="6743" spans="2:26" x14ac:dyDescent="0.25">
      <c r="B6743"/>
      <c r="Z6743"/>
    </row>
    <row r="6744" spans="2:26" x14ac:dyDescent="0.25">
      <c r="B6744"/>
      <c r="Z6744"/>
    </row>
    <row r="6745" spans="2:26" x14ac:dyDescent="0.25">
      <c r="B6745"/>
      <c r="Z6745"/>
    </row>
    <row r="6746" spans="2:26" x14ac:dyDescent="0.25">
      <c r="B6746"/>
      <c r="Z6746"/>
    </row>
    <row r="6747" spans="2:26" x14ac:dyDescent="0.25">
      <c r="B6747"/>
      <c r="Z6747"/>
    </row>
    <row r="6748" spans="2:26" x14ac:dyDescent="0.25">
      <c r="B6748"/>
      <c r="Z6748"/>
    </row>
    <row r="6749" spans="2:26" x14ac:dyDescent="0.25">
      <c r="B6749"/>
      <c r="Z6749"/>
    </row>
    <row r="6750" spans="2:26" x14ac:dyDescent="0.25">
      <c r="B6750"/>
      <c r="Z6750"/>
    </row>
    <row r="6751" spans="2:26" x14ac:dyDescent="0.25">
      <c r="B6751"/>
      <c r="Z6751"/>
    </row>
    <row r="6752" spans="2:26" x14ac:dyDescent="0.25">
      <c r="B6752"/>
      <c r="Z6752"/>
    </row>
    <row r="6753" spans="2:26" x14ac:dyDescent="0.25">
      <c r="B6753"/>
      <c r="Z6753"/>
    </row>
    <row r="6754" spans="2:26" x14ac:dyDescent="0.25">
      <c r="B6754"/>
      <c r="Z6754"/>
    </row>
    <row r="6755" spans="2:26" x14ac:dyDescent="0.25">
      <c r="B6755"/>
      <c r="Z6755"/>
    </row>
    <row r="6756" spans="2:26" x14ac:dyDescent="0.25">
      <c r="B6756"/>
      <c r="Z6756"/>
    </row>
    <row r="6757" spans="2:26" x14ac:dyDescent="0.25">
      <c r="B6757"/>
      <c r="Z6757"/>
    </row>
    <row r="6758" spans="2:26" x14ac:dyDescent="0.25">
      <c r="B6758"/>
      <c r="Z6758"/>
    </row>
    <row r="6759" spans="2:26" x14ac:dyDescent="0.25">
      <c r="B6759"/>
      <c r="Z6759"/>
    </row>
    <row r="6760" spans="2:26" x14ac:dyDescent="0.25">
      <c r="B6760"/>
      <c r="Z6760"/>
    </row>
    <row r="6761" spans="2:26" x14ac:dyDescent="0.25">
      <c r="B6761"/>
      <c r="Z6761"/>
    </row>
    <row r="6762" spans="2:26" x14ac:dyDescent="0.25">
      <c r="B6762"/>
      <c r="Z6762"/>
    </row>
    <row r="6763" spans="2:26" x14ac:dyDescent="0.25">
      <c r="B6763"/>
      <c r="Z6763"/>
    </row>
    <row r="6764" spans="2:26" x14ac:dyDescent="0.25">
      <c r="B6764"/>
      <c r="Z6764"/>
    </row>
    <row r="6765" spans="2:26" x14ac:dyDescent="0.25">
      <c r="B6765"/>
      <c r="Z6765"/>
    </row>
    <row r="6766" spans="2:26" x14ac:dyDescent="0.25">
      <c r="B6766"/>
      <c r="Z6766"/>
    </row>
    <row r="6767" spans="2:26" x14ac:dyDescent="0.25">
      <c r="B6767"/>
      <c r="Z6767"/>
    </row>
    <row r="6768" spans="2:26" x14ac:dyDescent="0.25">
      <c r="B6768"/>
      <c r="Z6768"/>
    </row>
    <row r="6769" spans="2:26" x14ac:dyDescent="0.25">
      <c r="B6769"/>
      <c r="Z6769"/>
    </row>
    <row r="6770" spans="2:26" x14ac:dyDescent="0.25">
      <c r="B6770"/>
      <c r="Z6770"/>
    </row>
    <row r="6771" spans="2:26" x14ac:dyDescent="0.25">
      <c r="B6771"/>
      <c r="Z6771"/>
    </row>
    <row r="6772" spans="2:26" x14ac:dyDescent="0.25">
      <c r="B6772"/>
      <c r="Z6772"/>
    </row>
    <row r="6773" spans="2:26" x14ac:dyDescent="0.25">
      <c r="B6773"/>
      <c r="Z6773"/>
    </row>
    <row r="6774" spans="2:26" x14ac:dyDescent="0.25">
      <c r="B6774"/>
      <c r="Z6774"/>
    </row>
    <row r="6775" spans="2:26" x14ac:dyDescent="0.25">
      <c r="B6775"/>
      <c r="Z6775"/>
    </row>
    <row r="6776" spans="2:26" x14ac:dyDescent="0.25">
      <c r="B6776"/>
      <c r="Z6776"/>
    </row>
    <row r="6777" spans="2:26" x14ac:dyDescent="0.25">
      <c r="B6777"/>
      <c r="Z6777"/>
    </row>
    <row r="6778" spans="2:26" x14ac:dyDescent="0.25">
      <c r="B6778"/>
      <c r="Z6778"/>
    </row>
    <row r="6779" spans="2:26" x14ac:dyDescent="0.25">
      <c r="B6779"/>
      <c r="Z6779"/>
    </row>
    <row r="6780" spans="2:26" x14ac:dyDescent="0.25">
      <c r="B6780"/>
      <c r="Z6780"/>
    </row>
    <row r="6781" spans="2:26" x14ac:dyDescent="0.25">
      <c r="B6781"/>
      <c r="K6781" s="6"/>
      <c r="Z6781"/>
    </row>
    <row r="6782" spans="2:26" x14ac:dyDescent="0.25">
      <c r="B6782"/>
      <c r="Z6782"/>
    </row>
    <row r="6783" spans="2:26" x14ac:dyDescent="0.25">
      <c r="B6783"/>
      <c r="Z6783"/>
    </row>
    <row r="6784" spans="2:26" x14ac:dyDescent="0.25">
      <c r="B6784"/>
      <c r="Z6784"/>
    </row>
    <row r="6785" spans="1:33" x14ac:dyDescent="0.25">
      <c r="B6785"/>
      <c r="Z6785"/>
    </row>
    <row r="6786" spans="1:33" x14ac:dyDescent="0.25">
      <c r="B6786"/>
      <c r="Z6786"/>
    </row>
    <row r="6787" spans="1:33" x14ac:dyDescent="0.25">
      <c r="A6787" s="6"/>
      <c r="B6787" s="6"/>
      <c r="C6787" s="6"/>
      <c r="D6787" s="6"/>
      <c r="E6787" s="6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  <c r="T6787" s="6"/>
      <c r="U6787" s="6"/>
      <c r="V6787" s="6"/>
      <c r="W6787" s="6"/>
      <c r="X6787" s="6"/>
      <c r="Y6787" s="6"/>
      <c r="Z6787" s="6"/>
      <c r="AA6787" s="6"/>
      <c r="AB6787" s="6"/>
      <c r="AC6787" s="6"/>
      <c r="AD6787" s="6"/>
      <c r="AE6787" s="6"/>
      <c r="AF6787" s="6"/>
      <c r="AG6787" s="6"/>
    </row>
    <row r="6788" spans="1:33" x14ac:dyDescent="0.25">
      <c r="B6788"/>
      <c r="Z6788"/>
    </row>
    <row r="6789" spans="1:33" x14ac:dyDescent="0.25">
      <c r="B6789"/>
      <c r="Z6789"/>
    </row>
    <row r="6790" spans="1:33" x14ac:dyDescent="0.25">
      <c r="B6790"/>
      <c r="Z6790"/>
    </row>
    <row r="6791" spans="1:33" x14ac:dyDescent="0.25">
      <c r="B6791"/>
      <c r="Z6791"/>
    </row>
    <row r="6792" spans="1:33" x14ac:dyDescent="0.25">
      <c r="B6792"/>
      <c r="Z6792"/>
    </row>
    <row r="6793" spans="1:33" x14ac:dyDescent="0.25">
      <c r="B6793"/>
      <c r="Z6793"/>
    </row>
    <row r="6794" spans="1:33" x14ac:dyDescent="0.25">
      <c r="B6794"/>
      <c r="Z6794"/>
    </row>
    <row r="6795" spans="1:33" x14ac:dyDescent="0.25">
      <c r="B6795"/>
      <c r="Z6795"/>
    </row>
    <row r="6796" spans="1:33" x14ac:dyDescent="0.25">
      <c r="B6796"/>
      <c r="Z6796"/>
    </row>
    <row r="6797" spans="1:33" x14ac:dyDescent="0.25">
      <c r="B6797"/>
      <c r="Z6797"/>
    </row>
    <row r="6798" spans="1:33" x14ac:dyDescent="0.25">
      <c r="B6798"/>
      <c r="Z6798"/>
    </row>
    <row r="6799" spans="1:33" x14ac:dyDescent="0.25">
      <c r="B6799"/>
      <c r="Z6799"/>
    </row>
    <row r="6800" spans="1:33" x14ac:dyDescent="0.25">
      <c r="B6800"/>
      <c r="Z6800"/>
    </row>
    <row r="6801" spans="2:26" x14ac:dyDescent="0.25">
      <c r="B6801"/>
      <c r="Z6801"/>
    </row>
    <row r="6802" spans="2:26" x14ac:dyDescent="0.25">
      <c r="B6802"/>
      <c r="Z6802"/>
    </row>
    <row r="6803" spans="2:26" x14ac:dyDescent="0.25">
      <c r="B6803"/>
      <c r="Z6803"/>
    </row>
    <row r="6804" spans="2:26" x14ac:dyDescent="0.25">
      <c r="B6804"/>
      <c r="Z6804"/>
    </row>
    <row r="6805" spans="2:26" x14ac:dyDescent="0.25">
      <c r="B6805"/>
      <c r="Z6805"/>
    </row>
    <row r="6806" spans="2:26" x14ac:dyDescent="0.25">
      <c r="B6806"/>
      <c r="Z6806"/>
    </row>
    <row r="6807" spans="2:26" x14ac:dyDescent="0.25">
      <c r="B6807"/>
      <c r="Z6807"/>
    </row>
    <row r="6808" spans="2:26" x14ac:dyDescent="0.25">
      <c r="B6808"/>
      <c r="Z6808"/>
    </row>
    <row r="6809" spans="2:26" x14ac:dyDescent="0.25">
      <c r="B6809"/>
      <c r="Z6809"/>
    </row>
    <row r="6810" spans="2:26" x14ac:dyDescent="0.25">
      <c r="B6810"/>
      <c r="Z6810"/>
    </row>
    <row r="6811" spans="2:26" x14ac:dyDescent="0.25">
      <c r="B6811"/>
      <c r="Z6811"/>
    </row>
    <row r="6812" spans="2:26" x14ac:dyDescent="0.25">
      <c r="B6812"/>
      <c r="Z6812"/>
    </row>
    <row r="6813" spans="2:26" x14ac:dyDescent="0.25">
      <c r="B6813"/>
      <c r="Z6813"/>
    </row>
    <row r="6814" spans="2:26" x14ac:dyDescent="0.25">
      <c r="B6814"/>
      <c r="Z6814"/>
    </row>
    <row r="6815" spans="2:26" x14ac:dyDescent="0.25">
      <c r="B6815"/>
      <c r="Z6815"/>
    </row>
    <row r="6816" spans="2:26" x14ac:dyDescent="0.25">
      <c r="B6816"/>
      <c r="Z6816"/>
    </row>
    <row r="6817" spans="2:26" x14ac:dyDescent="0.25">
      <c r="B6817"/>
      <c r="Z6817"/>
    </row>
    <row r="6818" spans="2:26" x14ac:dyDescent="0.25">
      <c r="B6818"/>
      <c r="Z6818"/>
    </row>
    <row r="6819" spans="2:26" x14ac:dyDescent="0.25">
      <c r="B6819"/>
      <c r="Z6819"/>
    </row>
    <row r="6820" spans="2:26" x14ac:dyDescent="0.25">
      <c r="B6820"/>
      <c r="Z6820"/>
    </row>
    <row r="6821" spans="2:26" x14ac:dyDescent="0.25">
      <c r="B6821"/>
      <c r="Z6821"/>
    </row>
    <row r="6822" spans="2:26" x14ac:dyDescent="0.25">
      <c r="B6822"/>
      <c r="Z6822"/>
    </row>
    <row r="6823" spans="2:26" x14ac:dyDescent="0.25">
      <c r="B6823"/>
      <c r="Z6823"/>
    </row>
    <row r="6824" spans="2:26" x14ac:dyDescent="0.25">
      <c r="B6824"/>
      <c r="Z6824"/>
    </row>
    <row r="6825" spans="2:26" x14ac:dyDescent="0.25">
      <c r="B6825"/>
      <c r="Z6825"/>
    </row>
    <row r="6826" spans="2:26" x14ac:dyDescent="0.25">
      <c r="B6826"/>
      <c r="Z6826"/>
    </row>
    <row r="6827" spans="2:26" x14ac:dyDescent="0.25">
      <c r="B6827"/>
      <c r="Z6827"/>
    </row>
    <row r="6828" spans="2:26" x14ac:dyDescent="0.25">
      <c r="B6828"/>
      <c r="Z6828"/>
    </row>
    <row r="6829" spans="2:26" x14ac:dyDescent="0.25">
      <c r="B6829"/>
      <c r="Z6829"/>
    </row>
    <row r="6830" spans="2:26" x14ac:dyDescent="0.25">
      <c r="B6830"/>
      <c r="Z6830"/>
    </row>
    <row r="6831" spans="2:26" x14ac:dyDescent="0.25">
      <c r="B6831"/>
      <c r="Z6831"/>
    </row>
    <row r="6832" spans="2:26" x14ac:dyDescent="0.25">
      <c r="B6832"/>
      <c r="Z6832"/>
    </row>
    <row r="6833" spans="2:26" x14ac:dyDescent="0.25">
      <c r="B6833"/>
      <c r="Z6833"/>
    </row>
    <row r="6834" spans="2:26" x14ac:dyDescent="0.25">
      <c r="B6834"/>
      <c r="Z6834"/>
    </row>
    <row r="6835" spans="2:26" x14ac:dyDescent="0.25">
      <c r="B6835"/>
      <c r="Z6835"/>
    </row>
    <row r="6836" spans="2:26" x14ac:dyDescent="0.25">
      <c r="B6836"/>
      <c r="Z6836"/>
    </row>
    <row r="6837" spans="2:26" x14ac:dyDescent="0.25">
      <c r="B6837"/>
      <c r="Z6837"/>
    </row>
    <row r="6838" spans="2:26" x14ac:dyDescent="0.25">
      <c r="B6838"/>
      <c r="Z6838"/>
    </row>
    <row r="6839" spans="2:26" x14ac:dyDescent="0.25">
      <c r="B6839"/>
      <c r="Z6839"/>
    </row>
    <row r="6840" spans="2:26" x14ac:dyDescent="0.25">
      <c r="B6840"/>
      <c r="Z6840"/>
    </row>
    <row r="6841" spans="2:26" x14ac:dyDescent="0.25">
      <c r="B6841"/>
      <c r="Z6841"/>
    </row>
    <row r="6842" spans="2:26" x14ac:dyDescent="0.25">
      <c r="B6842"/>
      <c r="Z6842"/>
    </row>
    <row r="6843" spans="2:26" x14ac:dyDescent="0.25">
      <c r="B6843"/>
      <c r="Z6843"/>
    </row>
    <row r="6844" spans="2:26" x14ac:dyDescent="0.25">
      <c r="B6844"/>
      <c r="Z6844"/>
    </row>
    <row r="6845" spans="2:26" x14ac:dyDescent="0.25">
      <c r="B6845"/>
      <c r="Z6845"/>
    </row>
    <row r="6846" spans="2:26" x14ac:dyDescent="0.25">
      <c r="B6846"/>
      <c r="Z6846"/>
    </row>
    <row r="6847" spans="2:26" x14ac:dyDescent="0.25">
      <c r="B6847"/>
      <c r="Z6847"/>
    </row>
    <row r="6848" spans="2:26" x14ac:dyDescent="0.25">
      <c r="B6848"/>
      <c r="Z6848"/>
    </row>
    <row r="6849" spans="2:26" x14ac:dyDescent="0.25">
      <c r="B6849"/>
      <c r="Z6849"/>
    </row>
    <row r="6850" spans="2:26" x14ac:dyDescent="0.25">
      <c r="B6850"/>
      <c r="Z6850"/>
    </row>
    <row r="6851" spans="2:26" x14ac:dyDescent="0.25">
      <c r="B6851"/>
      <c r="Z6851"/>
    </row>
    <row r="6852" spans="2:26" x14ac:dyDescent="0.25">
      <c r="B6852"/>
      <c r="Z6852"/>
    </row>
    <row r="6853" spans="2:26" x14ac:dyDescent="0.25">
      <c r="B6853"/>
      <c r="Z6853"/>
    </row>
    <row r="6854" spans="2:26" x14ac:dyDescent="0.25">
      <c r="B6854"/>
      <c r="Z6854"/>
    </row>
    <row r="6855" spans="2:26" x14ac:dyDescent="0.25">
      <c r="B6855"/>
      <c r="Z6855"/>
    </row>
    <row r="6856" spans="2:26" x14ac:dyDescent="0.25">
      <c r="B6856"/>
      <c r="Z6856"/>
    </row>
    <row r="6857" spans="2:26" x14ac:dyDescent="0.25">
      <c r="B6857"/>
      <c r="Z6857"/>
    </row>
    <row r="6858" spans="2:26" x14ac:dyDescent="0.25">
      <c r="B6858"/>
      <c r="Z6858"/>
    </row>
    <row r="6859" spans="2:26" x14ac:dyDescent="0.25">
      <c r="B6859"/>
      <c r="Z6859"/>
    </row>
    <row r="6860" spans="2:26" x14ac:dyDescent="0.25">
      <c r="B6860"/>
      <c r="Z6860"/>
    </row>
    <row r="6861" spans="2:26" x14ac:dyDescent="0.25">
      <c r="B6861"/>
      <c r="Z6861"/>
    </row>
    <row r="6862" spans="2:26" x14ac:dyDescent="0.25">
      <c r="B6862"/>
      <c r="Z6862"/>
    </row>
    <row r="6863" spans="2:26" x14ac:dyDescent="0.25">
      <c r="B6863"/>
      <c r="Z6863"/>
    </row>
    <row r="6864" spans="2:26" x14ac:dyDescent="0.25">
      <c r="B6864"/>
      <c r="Z6864"/>
    </row>
    <row r="6865" spans="2:26" x14ac:dyDescent="0.25">
      <c r="B6865"/>
      <c r="Z6865"/>
    </row>
    <row r="6866" spans="2:26" x14ac:dyDescent="0.25">
      <c r="B6866"/>
      <c r="Z6866"/>
    </row>
    <row r="6867" spans="2:26" x14ac:dyDescent="0.25">
      <c r="B6867"/>
      <c r="Z6867"/>
    </row>
    <row r="6868" spans="2:26" x14ac:dyDescent="0.25">
      <c r="B6868"/>
      <c r="Z6868"/>
    </row>
    <row r="6869" spans="2:26" x14ac:dyDescent="0.25">
      <c r="B6869"/>
      <c r="Z6869"/>
    </row>
    <row r="6870" spans="2:26" x14ac:dyDescent="0.25">
      <c r="B6870"/>
      <c r="Z6870"/>
    </row>
    <row r="6871" spans="2:26" x14ac:dyDescent="0.25">
      <c r="B6871"/>
      <c r="Z6871"/>
    </row>
    <row r="6872" spans="2:26" x14ac:dyDescent="0.25">
      <c r="B6872"/>
      <c r="Z6872"/>
    </row>
    <row r="6873" spans="2:26" x14ac:dyDescent="0.25">
      <c r="B6873"/>
      <c r="Z6873"/>
    </row>
    <row r="6874" spans="2:26" x14ac:dyDescent="0.25">
      <c r="B6874"/>
      <c r="Z6874"/>
    </row>
    <row r="6875" spans="2:26" x14ac:dyDescent="0.25">
      <c r="B6875"/>
      <c r="Z6875"/>
    </row>
    <row r="6876" spans="2:26" x14ac:dyDescent="0.25">
      <c r="B6876"/>
      <c r="Z6876"/>
    </row>
    <row r="6877" spans="2:26" x14ac:dyDescent="0.25">
      <c r="B6877"/>
      <c r="Z6877"/>
    </row>
    <row r="6878" spans="2:26" x14ac:dyDescent="0.25">
      <c r="B6878"/>
      <c r="Z6878"/>
    </row>
    <row r="6879" spans="2:26" x14ac:dyDescent="0.25">
      <c r="B6879"/>
      <c r="Z6879"/>
    </row>
    <row r="6880" spans="2:26" x14ac:dyDescent="0.25">
      <c r="B6880"/>
      <c r="Z6880"/>
    </row>
    <row r="6881" spans="1:33" x14ac:dyDescent="0.25">
      <c r="B6881"/>
      <c r="Z6881"/>
    </row>
    <row r="6882" spans="1:33" x14ac:dyDescent="0.25">
      <c r="B6882"/>
      <c r="Z6882"/>
    </row>
    <row r="6883" spans="1:33" x14ac:dyDescent="0.25">
      <c r="B6883"/>
      <c r="Z6883"/>
    </row>
    <row r="6884" spans="1:33" x14ac:dyDescent="0.25">
      <c r="B6884"/>
      <c r="Z6884"/>
    </row>
    <row r="6885" spans="1:33" x14ac:dyDescent="0.25">
      <c r="B6885"/>
      <c r="Z6885"/>
    </row>
    <row r="6886" spans="1:33" x14ac:dyDescent="0.25">
      <c r="B6886"/>
      <c r="Z6886"/>
    </row>
    <row r="6887" spans="1:33" x14ac:dyDescent="0.25">
      <c r="B6887"/>
      <c r="Z6887"/>
    </row>
    <row r="6888" spans="1:33" x14ac:dyDescent="0.25">
      <c r="B6888"/>
      <c r="Z6888"/>
    </row>
    <row r="6889" spans="1:33" x14ac:dyDescent="0.25">
      <c r="B6889"/>
      <c r="Z6889"/>
    </row>
    <row r="6890" spans="1:33" x14ac:dyDescent="0.25">
      <c r="B6890"/>
      <c r="K6890" s="6"/>
      <c r="Z6890"/>
    </row>
    <row r="6891" spans="1:33" x14ac:dyDescent="0.25">
      <c r="B6891"/>
      <c r="Z6891"/>
    </row>
    <row r="6892" spans="1:33" x14ac:dyDescent="0.25">
      <c r="A6892" s="6"/>
      <c r="B6892" s="6"/>
      <c r="C6892" s="6"/>
      <c r="D6892" s="6"/>
      <c r="E6892" s="6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  <c r="T6892" s="6"/>
      <c r="U6892" s="6"/>
      <c r="V6892" s="6"/>
      <c r="W6892" s="6"/>
      <c r="X6892" s="6"/>
      <c r="Y6892" s="6"/>
      <c r="Z6892" s="6"/>
      <c r="AA6892" s="6"/>
      <c r="AB6892" s="6"/>
      <c r="AC6892" s="6"/>
      <c r="AD6892" s="6"/>
      <c r="AE6892" s="6"/>
      <c r="AF6892" s="6"/>
      <c r="AG6892" s="6"/>
    </row>
    <row r="6893" spans="1:33" x14ac:dyDescent="0.25">
      <c r="B6893"/>
      <c r="Z6893"/>
    </row>
    <row r="6894" spans="1:33" x14ac:dyDescent="0.25">
      <c r="B6894"/>
      <c r="Z6894"/>
    </row>
    <row r="6895" spans="1:33" x14ac:dyDescent="0.25">
      <c r="B6895"/>
      <c r="Z6895"/>
    </row>
    <row r="6896" spans="1:33" x14ac:dyDescent="0.25">
      <c r="B6896"/>
      <c r="Z6896"/>
    </row>
    <row r="6897" spans="2:26" x14ac:dyDescent="0.25">
      <c r="B6897"/>
      <c r="Z6897"/>
    </row>
    <row r="6898" spans="2:26" x14ac:dyDescent="0.25">
      <c r="B6898"/>
      <c r="Z6898"/>
    </row>
    <row r="6899" spans="2:26" x14ac:dyDescent="0.25">
      <c r="B6899"/>
      <c r="Z6899"/>
    </row>
    <row r="6900" spans="2:26" x14ac:dyDescent="0.25">
      <c r="B6900"/>
      <c r="Z6900"/>
    </row>
    <row r="6901" spans="2:26" x14ac:dyDescent="0.25">
      <c r="B6901"/>
      <c r="Z6901"/>
    </row>
    <row r="6902" spans="2:26" x14ac:dyDescent="0.25">
      <c r="B6902"/>
      <c r="Z6902"/>
    </row>
    <row r="6903" spans="2:26" x14ac:dyDescent="0.25">
      <c r="B6903"/>
      <c r="Z6903"/>
    </row>
    <row r="6904" spans="2:26" x14ac:dyDescent="0.25">
      <c r="B6904"/>
      <c r="Z6904"/>
    </row>
    <row r="6905" spans="2:26" x14ac:dyDescent="0.25">
      <c r="B6905"/>
      <c r="Z6905"/>
    </row>
    <row r="6906" spans="2:26" x14ac:dyDescent="0.25">
      <c r="B6906"/>
      <c r="Z6906"/>
    </row>
    <row r="6907" spans="2:26" x14ac:dyDescent="0.25">
      <c r="B6907"/>
      <c r="Z6907"/>
    </row>
    <row r="6908" spans="2:26" x14ac:dyDescent="0.25">
      <c r="B6908"/>
      <c r="Z6908"/>
    </row>
    <row r="6909" spans="2:26" x14ac:dyDescent="0.25">
      <c r="B6909"/>
      <c r="Z6909"/>
    </row>
    <row r="6910" spans="2:26" x14ac:dyDescent="0.25">
      <c r="B6910"/>
      <c r="Z6910"/>
    </row>
    <row r="6911" spans="2:26" x14ac:dyDescent="0.25">
      <c r="B6911"/>
      <c r="Z6911"/>
    </row>
    <row r="6912" spans="2:26" x14ac:dyDescent="0.25">
      <c r="B6912"/>
      <c r="Z6912"/>
    </row>
    <row r="6913" spans="2:26" x14ac:dyDescent="0.25">
      <c r="B6913"/>
      <c r="Z6913"/>
    </row>
    <row r="6914" spans="2:26" x14ac:dyDescent="0.25">
      <c r="B6914"/>
      <c r="Z6914"/>
    </row>
    <row r="6915" spans="2:26" x14ac:dyDescent="0.25">
      <c r="B6915"/>
      <c r="Z6915"/>
    </row>
    <row r="6916" spans="2:26" x14ac:dyDescent="0.25">
      <c r="B6916"/>
      <c r="Z6916"/>
    </row>
    <row r="6917" spans="2:26" x14ac:dyDescent="0.25">
      <c r="B6917"/>
      <c r="Z6917"/>
    </row>
    <row r="6918" spans="2:26" x14ac:dyDescent="0.25">
      <c r="B6918"/>
      <c r="Z6918"/>
    </row>
    <row r="6919" spans="2:26" x14ac:dyDescent="0.25">
      <c r="B6919"/>
      <c r="Z6919"/>
    </row>
    <row r="6920" spans="2:26" x14ac:dyDescent="0.25">
      <c r="B6920"/>
      <c r="Z6920"/>
    </row>
    <row r="6921" spans="2:26" x14ac:dyDescent="0.25">
      <c r="B6921"/>
      <c r="Z6921"/>
    </row>
    <row r="6922" spans="2:26" x14ac:dyDescent="0.25">
      <c r="B6922"/>
      <c r="Z6922"/>
    </row>
    <row r="6923" spans="2:26" x14ac:dyDescent="0.25">
      <c r="B6923"/>
      <c r="Z6923"/>
    </row>
    <row r="6924" spans="2:26" x14ac:dyDescent="0.25">
      <c r="B6924"/>
      <c r="Z6924"/>
    </row>
    <row r="6925" spans="2:26" x14ac:dyDescent="0.25">
      <c r="B6925"/>
      <c r="Z6925"/>
    </row>
    <row r="6926" spans="2:26" x14ac:dyDescent="0.25">
      <c r="B6926"/>
      <c r="Z6926"/>
    </row>
    <row r="6927" spans="2:26" x14ac:dyDescent="0.25">
      <c r="B6927"/>
      <c r="Z6927"/>
    </row>
    <row r="6928" spans="2:26" x14ac:dyDescent="0.25">
      <c r="B6928"/>
      <c r="Z6928"/>
    </row>
    <row r="6929" spans="2:26" x14ac:dyDescent="0.25">
      <c r="B6929"/>
      <c r="Z6929"/>
    </row>
    <row r="6930" spans="2:26" x14ac:dyDescent="0.25">
      <c r="B6930"/>
      <c r="Z6930"/>
    </row>
    <row r="6931" spans="2:26" x14ac:dyDescent="0.25">
      <c r="B6931"/>
      <c r="Z6931"/>
    </row>
    <row r="6932" spans="2:26" x14ac:dyDescent="0.25">
      <c r="B6932"/>
      <c r="Z6932"/>
    </row>
    <row r="6933" spans="2:26" x14ac:dyDescent="0.25">
      <c r="B6933"/>
      <c r="Z6933"/>
    </row>
    <row r="6934" spans="2:26" x14ac:dyDescent="0.25">
      <c r="B6934"/>
      <c r="Z6934"/>
    </row>
    <row r="6935" spans="2:26" x14ac:dyDescent="0.25">
      <c r="B6935"/>
      <c r="Z6935"/>
    </row>
    <row r="6936" spans="2:26" x14ac:dyDescent="0.25">
      <c r="B6936"/>
      <c r="Z6936"/>
    </row>
    <row r="6937" spans="2:26" x14ac:dyDescent="0.25">
      <c r="B6937"/>
      <c r="Z6937"/>
    </row>
    <row r="6938" spans="2:26" x14ac:dyDescent="0.25">
      <c r="B6938"/>
      <c r="Z6938"/>
    </row>
    <row r="6939" spans="2:26" x14ac:dyDescent="0.25">
      <c r="B6939"/>
      <c r="Z6939"/>
    </row>
    <row r="6940" spans="2:26" x14ac:dyDescent="0.25">
      <c r="B6940"/>
      <c r="Z6940"/>
    </row>
    <row r="6941" spans="2:26" x14ac:dyDescent="0.25">
      <c r="B6941"/>
      <c r="Z6941"/>
    </row>
    <row r="6942" spans="2:26" x14ac:dyDescent="0.25">
      <c r="B6942"/>
      <c r="Z6942"/>
    </row>
    <row r="6943" spans="2:26" x14ac:dyDescent="0.25">
      <c r="B6943"/>
      <c r="Z6943"/>
    </row>
    <row r="6944" spans="2:26" x14ac:dyDescent="0.25">
      <c r="B6944"/>
      <c r="Z6944"/>
    </row>
    <row r="6945" spans="2:26" x14ac:dyDescent="0.25">
      <c r="B6945"/>
      <c r="Z6945"/>
    </row>
    <row r="6946" spans="2:26" x14ac:dyDescent="0.25">
      <c r="B6946"/>
      <c r="Z6946"/>
    </row>
    <row r="6947" spans="2:26" x14ac:dyDescent="0.25">
      <c r="B6947"/>
      <c r="Z6947"/>
    </row>
    <row r="6948" spans="2:26" x14ac:dyDescent="0.25">
      <c r="B6948"/>
      <c r="Z6948"/>
    </row>
    <row r="6949" spans="2:26" x14ac:dyDescent="0.25">
      <c r="B6949"/>
      <c r="Z6949"/>
    </row>
    <row r="6950" spans="2:26" x14ac:dyDescent="0.25">
      <c r="B6950"/>
      <c r="Z6950"/>
    </row>
    <row r="6951" spans="2:26" x14ac:dyDescent="0.25">
      <c r="B6951"/>
      <c r="Z6951"/>
    </row>
    <row r="6952" spans="2:26" x14ac:dyDescent="0.25">
      <c r="B6952"/>
      <c r="Z6952"/>
    </row>
    <row r="6953" spans="2:26" x14ac:dyDescent="0.25">
      <c r="B6953"/>
      <c r="Z6953"/>
    </row>
    <row r="6954" spans="2:26" x14ac:dyDescent="0.25">
      <c r="B6954"/>
      <c r="Z6954"/>
    </row>
    <row r="6955" spans="2:26" x14ac:dyDescent="0.25">
      <c r="B6955"/>
      <c r="Z6955"/>
    </row>
    <row r="6956" spans="2:26" x14ac:dyDescent="0.25">
      <c r="B6956"/>
      <c r="Z6956"/>
    </row>
    <row r="6957" spans="2:26" x14ac:dyDescent="0.25">
      <c r="B6957"/>
      <c r="Z6957"/>
    </row>
    <row r="6958" spans="2:26" x14ac:dyDescent="0.25">
      <c r="B6958"/>
      <c r="Z6958"/>
    </row>
    <row r="6959" spans="2:26" x14ac:dyDescent="0.25">
      <c r="B6959"/>
      <c r="Z6959"/>
    </row>
    <row r="6960" spans="2:26" x14ac:dyDescent="0.25">
      <c r="B6960"/>
      <c r="Z6960"/>
    </row>
    <row r="6961" spans="2:26" x14ac:dyDescent="0.25">
      <c r="B6961"/>
      <c r="Z6961"/>
    </row>
    <row r="6962" spans="2:26" x14ac:dyDescent="0.25">
      <c r="B6962"/>
      <c r="Z6962"/>
    </row>
    <row r="6963" spans="2:26" x14ac:dyDescent="0.25">
      <c r="B6963"/>
      <c r="Z6963"/>
    </row>
    <row r="6964" spans="2:26" x14ac:dyDescent="0.25">
      <c r="B6964"/>
      <c r="Z6964"/>
    </row>
    <row r="6965" spans="2:26" x14ac:dyDescent="0.25">
      <c r="B6965"/>
      <c r="Z6965"/>
    </row>
    <row r="6966" spans="2:26" x14ac:dyDescent="0.25">
      <c r="B6966"/>
      <c r="Z6966"/>
    </row>
    <row r="6967" spans="2:26" x14ac:dyDescent="0.25">
      <c r="B6967"/>
      <c r="Z6967"/>
    </row>
    <row r="6968" spans="2:26" x14ac:dyDescent="0.25">
      <c r="B6968"/>
      <c r="Z6968"/>
    </row>
    <row r="6969" spans="2:26" x14ac:dyDescent="0.25">
      <c r="B6969"/>
      <c r="Z6969"/>
    </row>
    <row r="6970" spans="2:26" x14ac:dyDescent="0.25">
      <c r="B6970"/>
      <c r="Z6970"/>
    </row>
    <row r="6971" spans="2:26" x14ac:dyDescent="0.25">
      <c r="B6971"/>
      <c r="Z6971"/>
    </row>
    <row r="6972" spans="2:26" x14ac:dyDescent="0.25">
      <c r="B6972"/>
      <c r="Z6972"/>
    </row>
    <row r="6973" spans="2:26" x14ac:dyDescent="0.25">
      <c r="B6973"/>
      <c r="Z6973"/>
    </row>
    <row r="6974" spans="2:26" x14ac:dyDescent="0.25">
      <c r="B6974"/>
      <c r="Z6974"/>
    </row>
    <row r="6975" spans="2:26" x14ac:dyDescent="0.25">
      <c r="B6975"/>
      <c r="Z6975"/>
    </row>
    <row r="6976" spans="2:26" x14ac:dyDescent="0.25">
      <c r="B6976"/>
      <c r="Z6976"/>
    </row>
    <row r="6977" spans="2:26" x14ac:dyDescent="0.25">
      <c r="B6977"/>
      <c r="Z6977"/>
    </row>
    <row r="6978" spans="2:26" x14ac:dyDescent="0.25">
      <c r="B6978"/>
      <c r="Z6978"/>
    </row>
    <row r="6979" spans="2:26" x14ac:dyDescent="0.25">
      <c r="B6979"/>
      <c r="Z6979"/>
    </row>
    <row r="6980" spans="2:26" x14ac:dyDescent="0.25">
      <c r="B6980"/>
      <c r="Z6980"/>
    </row>
    <row r="6981" spans="2:26" x14ac:dyDescent="0.25">
      <c r="B6981"/>
      <c r="Z6981"/>
    </row>
    <row r="6982" spans="2:26" x14ac:dyDescent="0.25">
      <c r="B6982"/>
      <c r="Z6982"/>
    </row>
    <row r="6983" spans="2:26" x14ac:dyDescent="0.25">
      <c r="B6983"/>
      <c r="Z6983"/>
    </row>
    <row r="6984" spans="2:26" x14ac:dyDescent="0.25">
      <c r="B6984"/>
      <c r="Z6984"/>
    </row>
    <row r="6985" spans="2:26" x14ac:dyDescent="0.25">
      <c r="B6985"/>
      <c r="Z6985"/>
    </row>
    <row r="6986" spans="2:26" x14ac:dyDescent="0.25">
      <c r="B6986"/>
      <c r="Z6986"/>
    </row>
    <row r="6987" spans="2:26" x14ac:dyDescent="0.25">
      <c r="B6987"/>
      <c r="Z6987"/>
    </row>
    <row r="6988" spans="2:26" x14ac:dyDescent="0.25">
      <c r="B6988"/>
      <c r="K6988" s="6"/>
      <c r="Z6988"/>
    </row>
    <row r="6989" spans="2:26" x14ac:dyDescent="0.25">
      <c r="B6989"/>
      <c r="Z6989"/>
    </row>
    <row r="6990" spans="2:26" x14ac:dyDescent="0.25">
      <c r="B6990"/>
      <c r="Z6990"/>
    </row>
    <row r="6991" spans="2:26" x14ac:dyDescent="0.25">
      <c r="B6991"/>
      <c r="Z6991"/>
    </row>
    <row r="6992" spans="2:26" x14ac:dyDescent="0.25">
      <c r="B6992"/>
      <c r="Z6992"/>
    </row>
    <row r="6993" spans="2:26" x14ac:dyDescent="0.25">
      <c r="B6993"/>
      <c r="Z6993"/>
    </row>
    <row r="6994" spans="2:26" x14ac:dyDescent="0.25">
      <c r="B6994"/>
      <c r="Z6994"/>
    </row>
    <row r="6995" spans="2:26" x14ac:dyDescent="0.25">
      <c r="B6995"/>
      <c r="Z6995"/>
    </row>
    <row r="6996" spans="2:26" x14ac:dyDescent="0.25">
      <c r="B6996"/>
      <c r="Z6996"/>
    </row>
    <row r="6997" spans="2:26" x14ac:dyDescent="0.25">
      <c r="B6997"/>
      <c r="Z6997"/>
    </row>
    <row r="6998" spans="2:26" x14ac:dyDescent="0.25">
      <c r="B6998"/>
      <c r="Z6998"/>
    </row>
    <row r="6999" spans="2:26" x14ac:dyDescent="0.25">
      <c r="B6999"/>
      <c r="Z6999"/>
    </row>
    <row r="7000" spans="2:26" x14ac:dyDescent="0.25">
      <c r="B7000"/>
      <c r="Z7000"/>
    </row>
    <row r="7001" spans="2:26" x14ac:dyDescent="0.25">
      <c r="B7001"/>
      <c r="Z7001"/>
    </row>
    <row r="7002" spans="2:26" x14ac:dyDescent="0.25">
      <c r="B7002"/>
      <c r="Z7002"/>
    </row>
    <row r="7003" spans="2:26" x14ac:dyDescent="0.25">
      <c r="B7003"/>
      <c r="Z7003"/>
    </row>
    <row r="7004" spans="2:26" x14ac:dyDescent="0.25">
      <c r="B7004"/>
      <c r="Z7004"/>
    </row>
    <row r="7005" spans="2:26" x14ac:dyDescent="0.25">
      <c r="B7005"/>
      <c r="Z7005"/>
    </row>
    <row r="7006" spans="2:26" x14ac:dyDescent="0.25">
      <c r="B7006"/>
      <c r="Z7006"/>
    </row>
    <row r="7007" spans="2:26" x14ac:dyDescent="0.25">
      <c r="B7007"/>
      <c r="Z7007"/>
    </row>
    <row r="7008" spans="2:26" x14ac:dyDescent="0.25">
      <c r="B7008"/>
      <c r="Z7008"/>
    </row>
    <row r="7009" spans="2:26" x14ac:dyDescent="0.25">
      <c r="B7009"/>
      <c r="Z7009"/>
    </row>
    <row r="7010" spans="2:26" x14ac:dyDescent="0.25">
      <c r="B7010"/>
      <c r="Z7010"/>
    </row>
    <row r="7011" spans="2:26" x14ac:dyDescent="0.25">
      <c r="B7011"/>
      <c r="Z7011"/>
    </row>
    <row r="7012" spans="2:26" x14ac:dyDescent="0.25">
      <c r="B7012"/>
      <c r="Z7012"/>
    </row>
    <row r="7013" spans="2:26" x14ac:dyDescent="0.25">
      <c r="B7013"/>
      <c r="Z7013"/>
    </row>
    <row r="7014" spans="2:26" x14ac:dyDescent="0.25">
      <c r="B7014"/>
      <c r="Z7014"/>
    </row>
    <row r="7015" spans="2:26" x14ac:dyDescent="0.25">
      <c r="B7015"/>
      <c r="Z7015"/>
    </row>
    <row r="7016" spans="2:26" x14ac:dyDescent="0.25">
      <c r="B7016"/>
      <c r="Z7016"/>
    </row>
    <row r="7017" spans="2:26" x14ac:dyDescent="0.25">
      <c r="B7017"/>
      <c r="K7017" s="6"/>
      <c r="Z7017"/>
    </row>
    <row r="7018" spans="2:26" x14ac:dyDescent="0.25">
      <c r="B7018"/>
      <c r="Z7018"/>
    </row>
    <row r="7019" spans="2:26" x14ac:dyDescent="0.25">
      <c r="B7019"/>
      <c r="Z7019"/>
    </row>
    <row r="7020" spans="2:26" x14ac:dyDescent="0.25">
      <c r="B7020"/>
      <c r="Z7020"/>
    </row>
    <row r="7021" spans="2:26" x14ac:dyDescent="0.25">
      <c r="B7021"/>
      <c r="Z7021"/>
    </row>
    <row r="7022" spans="2:26" x14ac:dyDescent="0.25">
      <c r="B7022"/>
      <c r="Z7022"/>
    </row>
    <row r="7023" spans="2:26" x14ac:dyDescent="0.25">
      <c r="B7023"/>
      <c r="Z7023"/>
    </row>
    <row r="7024" spans="2:26" x14ac:dyDescent="0.25">
      <c r="B7024"/>
      <c r="Z7024"/>
    </row>
    <row r="7025" spans="1:33" x14ac:dyDescent="0.25">
      <c r="B7025"/>
      <c r="Z7025"/>
    </row>
    <row r="7026" spans="1:33" x14ac:dyDescent="0.25">
      <c r="B7026"/>
      <c r="Z7026"/>
    </row>
    <row r="7027" spans="1:33" x14ac:dyDescent="0.25">
      <c r="B7027"/>
      <c r="Z7027"/>
    </row>
    <row r="7028" spans="1:33" x14ac:dyDescent="0.25">
      <c r="B7028"/>
      <c r="Z7028"/>
    </row>
    <row r="7029" spans="1:33" x14ac:dyDescent="0.25">
      <c r="B7029"/>
      <c r="Z7029"/>
    </row>
    <row r="7030" spans="1:33" x14ac:dyDescent="0.25">
      <c r="B7030"/>
      <c r="Z7030"/>
    </row>
    <row r="7031" spans="1:33" x14ac:dyDescent="0.25">
      <c r="B7031"/>
      <c r="Z7031"/>
    </row>
    <row r="7032" spans="1:33" x14ac:dyDescent="0.25">
      <c r="A7032" s="6"/>
      <c r="B7032" s="6"/>
      <c r="C7032" s="6"/>
      <c r="D7032" s="6"/>
      <c r="E7032" s="6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  <c r="T7032" s="6"/>
      <c r="U7032" s="6"/>
      <c r="V7032" s="6"/>
      <c r="W7032" s="6"/>
      <c r="X7032" s="6"/>
      <c r="Y7032" s="6"/>
      <c r="Z7032" s="6"/>
      <c r="AA7032" s="6"/>
      <c r="AB7032" s="6"/>
      <c r="AC7032" s="6"/>
      <c r="AD7032" s="6"/>
      <c r="AE7032" s="6"/>
      <c r="AF7032" s="6"/>
      <c r="AG7032" s="6"/>
    </row>
    <row r="7033" spans="1:33" x14ac:dyDescent="0.25">
      <c r="B7033"/>
      <c r="Z7033"/>
    </row>
    <row r="7034" spans="1:33" x14ac:dyDescent="0.25">
      <c r="B7034"/>
      <c r="Z7034"/>
    </row>
    <row r="7035" spans="1:33" x14ac:dyDescent="0.25">
      <c r="B7035"/>
      <c r="Z7035"/>
    </row>
    <row r="7036" spans="1:33" x14ac:dyDescent="0.25">
      <c r="B7036"/>
      <c r="Z7036"/>
    </row>
    <row r="7037" spans="1:33" x14ac:dyDescent="0.25">
      <c r="B7037"/>
      <c r="Z7037"/>
    </row>
    <row r="7038" spans="1:33" x14ac:dyDescent="0.25">
      <c r="B7038"/>
      <c r="Z7038"/>
    </row>
    <row r="7039" spans="1:33" x14ac:dyDescent="0.25">
      <c r="B7039"/>
      <c r="Z7039"/>
    </row>
    <row r="7040" spans="1:33" x14ac:dyDescent="0.25">
      <c r="B7040"/>
      <c r="Z7040"/>
    </row>
    <row r="7041" spans="2:26" x14ac:dyDescent="0.25">
      <c r="B7041"/>
      <c r="Z7041"/>
    </row>
    <row r="7042" spans="2:26" x14ac:dyDescent="0.25">
      <c r="B7042"/>
      <c r="Z7042"/>
    </row>
    <row r="7043" spans="2:26" x14ac:dyDescent="0.25">
      <c r="B7043"/>
      <c r="Z7043"/>
    </row>
    <row r="7044" spans="2:26" x14ac:dyDescent="0.25">
      <c r="B7044"/>
      <c r="Z7044"/>
    </row>
    <row r="7045" spans="2:26" x14ac:dyDescent="0.25">
      <c r="B7045"/>
      <c r="Z7045"/>
    </row>
    <row r="7046" spans="2:26" x14ac:dyDescent="0.25">
      <c r="B7046"/>
      <c r="Z7046"/>
    </row>
    <row r="7047" spans="2:26" x14ac:dyDescent="0.25">
      <c r="B7047"/>
      <c r="Z7047"/>
    </row>
    <row r="7048" spans="2:26" x14ac:dyDescent="0.25">
      <c r="B7048"/>
      <c r="Z7048"/>
    </row>
    <row r="7049" spans="2:26" x14ac:dyDescent="0.25">
      <c r="B7049"/>
      <c r="Z7049"/>
    </row>
    <row r="7050" spans="2:26" x14ac:dyDescent="0.25">
      <c r="B7050"/>
      <c r="Z7050"/>
    </row>
    <row r="7051" spans="2:26" x14ac:dyDescent="0.25">
      <c r="B7051"/>
      <c r="Z7051"/>
    </row>
    <row r="7052" spans="2:26" x14ac:dyDescent="0.25">
      <c r="B7052"/>
      <c r="Z7052"/>
    </row>
    <row r="7053" spans="2:26" x14ac:dyDescent="0.25">
      <c r="B7053"/>
      <c r="Z7053"/>
    </row>
    <row r="7054" spans="2:26" x14ac:dyDescent="0.25">
      <c r="B7054"/>
      <c r="Z7054"/>
    </row>
    <row r="7055" spans="2:26" x14ac:dyDescent="0.25">
      <c r="B7055"/>
      <c r="Z7055"/>
    </row>
    <row r="7056" spans="2:26" x14ac:dyDescent="0.25">
      <c r="B7056"/>
      <c r="Z7056"/>
    </row>
    <row r="7057" spans="2:26" x14ac:dyDescent="0.25">
      <c r="B7057"/>
      <c r="Z7057"/>
    </row>
    <row r="7058" spans="2:26" x14ac:dyDescent="0.25">
      <c r="B7058"/>
      <c r="Z7058"/>
    </row>
    <row r="7059" spans="2:26" x14ac:dyDescent="0.25">
      <c r="B7059"/>
      <c r="Z7059"/>
    </row>
    <row r="7060" spans="2:26" x14ac:dyDescent="0.25">
      <c r="B7060"/>
      <c r="Z7060"/>
    </row>
    <row r="7061" spans="2:26" x14ac:dyDescent="0.25">
      <c r="B7061"/>
      <c r="Z7061"/>
    </row>
    <row r="7062" spans="2:26" x14ac:dyDescent="0.25">
      <c r="B7062"/>
      <c r="Z7062"/>
    </row>
    <row r="7063" spans="2:26" x14ac:dyDescent="0.25">
      <c r="B7063"/>
      <c r="Z7063"/>
    </row>
    <row r="7064" spans="2:26" x14ac:dyDescent="0.25">
      <c r="B7064"/>
      <c r="Z7064"/>
    </row>
    <row r="7065" spans="2:26" x14ac:dyDescent="0.25">
      <c r="B7065"/>
      <c r="Z7065"/>
    </row>
    <row r="7066" spans="2:26" x14ac:dyDescent="0.25">
      <c r="B7066"/>
      <c r="Z7066"/>
    </row>
    <row r="7067" spans="2:26" x14ac:dyDescent="0.25">
      <c r="B7067"/>
      <c r="Z7067"/>
    </row>
    <row r="7068" spans="2:26" x14ac:dyDescent="0.25">
      <c r="B7068"/>
      <c r="Z7068"/>
    </row>
    <row r="7069" spans="2:26" x14ac:dyDescent="0.25">
      <c r="B7069"/>
      <c r="Z7069"/>
    </row>
    <row r="7070" spans="2:26" x14ac:dyDescent="0.25">
      <c r="B7070"/>
      <c r="Z7070"/>
    </row>
    <row r="7071" spans="2:26" x14ac:dyDescent="0.25">
      <c r="B7071"/>
      <c r="Z7071"/>
    </row>
    <row r="7072" spans="2:26" x14ac:dyDescent="0.25">
      <c r="B7072"/>
      <c r="Z7072"/>
    </row>
    <row r="7073" spans="2:26" x14ac:dyDescent="0.25">
      <c r="B7073"/>
      <c r="Z7073"/>
    </row>
    <row r="7074" spans="2:26" x14ac:dyDescent="0.25">
      <c r="B7074"/>
      <c r="Z7074"/>
    </row>
    <row r="7075" spans="2:26" x14ac:dyDescent="0.25">
      <c r="B7075"/>
      <c r="Z7075"/>
    </row>
    <row r="7076" spans="2:26" x14ac:dyDescent="0.25">
      <c r="B7076"/>
      <c r="Z7076"/>
    </row>
    <row r="7077" spans="2:26" x14ac:dyDescent="0.25">
      <c r="B7077"/>
      <c r="Z7077"/>
    </row>
    <row r="7078" spans="2:26" x14ac:dyDescent="0.25">
      <c r="B7078"/>
      <c r="Z7078"/>
    </row>
    <row r="7079" spans="2:26" x14ac:dyDescent="0.25">
      <c r="B7079"/>
      <c r="Z7079"/>
    </row>
    <row r="7080" spans="2:26" x14ac:dyDescent="0.25">
      <c r="B7080"/>
      <c r="Z7080"/>
    </row>
    <row r="7081" spans="2:26" x14ac:dyDescent="0.25">
      <c r="B7081"/>
      <c r="Z7081"/>
    </row>
    <row r="7082" spans="2:26" x14ac:dyDescent="0.25">
      <c r="B7082"/>
      <c r="Z7082"/>
    </row>
    <row r="7083" spans="2:26" x14ac:dyDescent="0.25">
      <c r="B7083"/>
      <c r="Z7083"/>
    </row>
    <row r="7084" spans="2:26" x14ac:dyDescent="0.25">
      <c r="B7084"/>
      <c r="Z7084"/>
    </row>
    <row r="7085" spans="2:26" x14ac:dyDescent="0.25">
      <c r="B7085"/>
      <c r="Z7085"/>
    </row>
    <row r="7086" spans="2:26" x14ac:dyDescent="0.25">
      <c r="B7086"/>
      <c r="Z7086"/>
    </row>
    <row r="7087" spans="2:26" x14ac:dyDescent="0.25">
      <c r="B7087"/>
      <c r="Z7087"/>
    </row>
    <row r="7088" spans="2:26" x14ac:dyDescent="0.25">
      <c r="B7088"/>
      <c r="Z7088"/>
    </row>
    <row r="7089" spans="2:26" x14ac:dyDescent="0.25">
      <c r="B7089"/>
      <c r="Z7089"/>
    </row>
    <row r="7090" spans="2:26" x14ac:dyDescent="0.25">
      <c r="B7090"/>
      <c r="Z7090"/>
    </row>
    <row r="7091" spans="2:26" x14ac:dyDescent="0.25">
      <c r="B7091"/>
      <c r="Z7091"/>
    </row>
    <row r="7092" spans="2:26" x14ac:dyDescent="0.25">
      <c r="B7092"/>
      <c r="Z7092"/>
    </row>
    <row r="7093" spans="2:26" x14ac:dyDescent="0.25">
      <c r="B7093"/>
      <c r="Z7093"/>
    </row>
    <row r="7094" spans="2:26" x14ac:dyDescent="0.25">
      <c r="B7094"/>
      <c r="Z7094"/>
    </row>
    <row r="7095" spans="2:26" x14ac:dyDescent="0.25">
      <c r="B7095"/>
      <c r="Z7095"/>
    </row>
    <row r="7096" spans="2:26" x14ac:dyDescent="0.25">
      <c r="B7096"/>
      <c r="Z7096"/>
    </row>
    <row r="7097" spans="2:26" x14ac:dyDescent="0.25">
      <c r="B7097"/>
      <c r="Z7097"/>
    </row>
    <row r="7098" spans="2:26" x14ac:dyDescent="0.25">
      <c r="B7098"/>
      <c r="Z7098"/>
    </row>
    <row r="7099" spans="2:26" x14ac:dyDescent="0.25">
      <c r="B7099"/>
      <c r="Z7099"/>
    </row>
    <row r="7100" spans="2:26" x14ac:dyDescent="0.25">
      <c r="B7100"/>
      <c r="Z7100"/>
    </row>
    <row r="7101" spans="2:26" x14ac:dyDescent="0.25">
      <c r="B7101"/>
      <c r="Z7101"/>
    </row>
    <row r="7102" spans="2:26" x14ac:dyDescent="0.25">
      <c r="B7102"/>
      <c r="Z7102"/>
    </row>
    <row r="7103" spans="2:26" x14ac:dyDescent="0.25">
      <c r="B7103"/>
      <c r="Z7103"/>
    </row>
    <row r="7104" spans="2:26" x14ac:dyDescent="0.25">
      <c r="B7104"/>
      <c r="Z7104"/>
    </row>
    <row r="7105" spans="2:26" x14ac:dyDescent="0.25">
      <c r="B7105"/>
      <c r="Z7105"/>
    </row>
    <row r="7106" spans="2:26" x14ac:dyDescent="0.25">
      <c r="B7106"/>
      <c r="Z7106"/>
    </row>
    <row r="7107" spans="2:26" x14ac:dyDescent="0.25">
      <c r="B7107"/>
      <c r="Z7107"/>
    </row>
    <row r="7108" spans="2:26" x14ac:dyDescent="0.25">
      <c r="B7108"/>
      <c r="Z7108"/>
    </row>
    <row r="7109" spans="2:26" x14ac:dyDescent="0.25">
      <c r="B7109"/>
      <c r="Z7109"/>
    </row>
    <row r="7110" spans="2:26" x14ac:dyDescent="0.25">
      <c r="B7110"/>
      <c r="Z7110"/>
    </row>
    <row r="7111" spans="2:26" x14ac:dyDescent="0.25">
      <c r="B7111"/>
      <c r="Z7111"/>
    </row>
    <row r="7112" spans="2:26" x14ac:dyDescent="0.25">
      <c r="B7112"/>
      <c r="Z7112"/>
    </row>
    <row r="7113" spans="2:26" x14ac:dyDescent="0.25">
      <c r="B7113"/>
      <c r="Z7113"/>
    </row>
    <row r="7114" spans="2:26" x14ac:dyDescent="0.25">
      <c r="B7114"/>
      <c r="Z7114"/>
    </row>
    <row r="7115" spans="2:26" x14ac:dyDescent="0.25">
      <c r="B7115"/>
      <c r="Z7115"/>
    </row>
    <row r="7116" spans="2:26" x14ac:dyDescent="0.25">
      <c r="B7116"/>
      <c r="Z7116"/>
    </row>
    <row r="7117" spans="2:26" x14ac:dyDescent="0.25">
      <c r="B7117"/>
      <c r="Z7117"/>
    </row>
    <row r="7118" spans="2:26" x14ac:dyDescent="0.25">
      <c r="B7118"/>
      <c r="Z7118"/>
    </row>
    <row r="7119" spans="2:26" x14ac:dyDescent="0.25">
      <c r="B7119"/>
      <c r="Z7119"/>
    </row>
    <row r="7120" spans="2:26" x14ac:dyDescent="0.25">
      <c r="B7120"/>
      <c r="Z7120"/>
    </row>
    <row r="7121" spans="2:26" x14ac:dyDescent="0.25">
      <c r="B7121"/>
      <c r="Z7121"/>
    </row>
    <row r="7122" spans="2:26" x14ac:dyDescent="0.25">
      <c r="B7122"/>
      <c r="Z7122"/>
    </row>
    <row r="7123" spans="2:26" x14ac:dyDescent="0.25">
      <c r="B7123"/>
      <c r="Z7123"/>
    </row>
    <row r="7124" spans="2:26" x14ac:dyDescent="0.25">
      <c r="B7124"/>
      <c r="Z7124"/>
    </row>
    <row r="7125" spans="2:26" x14ac:dyDescent="0.25">
      <c r="B7125"/>
      <c r="Z7125"/>
    </row>
    <row r="7126" spans="2:26" x14ac:dyDescent="0.25">
      <c r="B7126"/>
      <c r="Z7126"/>
    </row>
    <row r="7127" spans="2:26" x14ac:dyDescent="0.25">
      <c r="B7127"/>
      <c r="Z7127"/>
    </row>
    <row r="7128" spans="2:26" x14ac:dyDescent="0.25">
      <c r="B7128"/>
      <c r="Z7128"/>
    </row>
    <row r="7129" spans="2:26" x14ac:dyDescent="0.25">
      <c r="B7129"/>
      <c r="K7129" s="6"/>
      <c r="Z7129"/>
    </row>
    <row r="7130" spans="2:26" x14ac:dyDescent="0.25">
      <c r="B7130"/>
      <c r="Z7130"/>
    </row>
    <row r="7131" spans="2:26" x14ac:dyDescent="0.25">
      <c r="B7131"/>
      <c r="Z7131"/>
    </row>
    <row r="7132" spans="2:26" x14ac:dyDescent="0.25">
      <c r="B7132"/>
      <c r="Z7132"/>
    </row>
    <row r="7133" spans="2:26" x14ac:dyDescent="0.25">
      <c r="B7133"/>
      <c r="Z7133"/>
    </row>
    <row r="7134" spans="2:26" x14ac:dyDescent="0.25">
      <c r="B7134"/>
      <c r="Z7134"/>
    </row>
    <row r="7135" spans="2:26" x14ac:dyDescent="0.25">
      <c r="B7135"/>
      <c r="Z7135"/>
    </row>
    <row r="7136" spans="2:26" x14ac:dyDescent="0.25">
      <c r="B7136"/>
      <c r="Z7136"/>
    </row>
    <row r="7137" spans="1:33" x14ac:dyDescent="0.25">
      <c r="A7137" s="6"/>
      <c r="B7137" s="6"/>
      <c r="C7137" s="6"/>
      <c r="D7137" s="6"/>
      <c r="E7137" s="6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  <c r="T7137" s="6"/>
      <c r="U7137" s="6"/>
      <c r="V7137" s="6"/>
      <c r="W7137" s="6"/>
      <c r="X7137" s="6"/>
      <c r="Y7137" s="6"/>
      <c r="Z7137" s="6"/>
      <c r="AA7137" s="6"/>
      <c r="AB7137" s="6"/>
      <c r="AC7137" s="6"/>
      <c r="AD7137" s="6"/>
      <c r="AE7137" s="6"/>
      <c r="AF7137" s="6"/>
      <c r="AG7137" s="6"/>
    </row>
    <row r="7138" spans="1:33" x14ac:dyDescent="0.25">
      <c r="B7138"/>
      <c r="Z7138"/>
    </row>
    <row r="7139" spans="1:33" x14ac:dyDescent="0.25">
      <c r="B7139"/>
      <c r="Z7139"/>
    </row>
    <row r="7140" spans="1:33" x14ac:dyDescent="0.25">
      <c r="B7140"/>
      <c r="Z7140"/>
    </row>
    <row r="7141" spans="1:33" x14ac:dyDescent="0.25">
      <c r="B7141"/>
      <c r="Z7141"/>
    </row>
    <row r="7142" spans="1:33" x14ac:dyDescent="0.25">
      <c r="B7142"/>
      <c r="Z7142"/>
    </row>
    <row r="7143" spans="1:33" x14ac:dyDescent="0.25">
      <c r="B7143"/>
      <c r="Z7143"/>
    </row>
    <row r="7144" spans="1:33" x14ac:dyDescent="0.25">
      <c r="B7144"/>
      <c r="Z7144"/>
    </row>
    <row r="7145" spans="1:33" x14ac:dyDescent="0.25">
      <c r="B7145"/>
      <c r="Z7145"/>
    </row>
    <row r="7146" spans="1:33" x14ac:dyDescent="0.25">
      <c r="B7146"/>
      <c r="Z7146"/>
    </row>
    <row r="7147" spans="1:33" x14ac:dyDescent="0.25">
      <c r="B7147"/>
      <c r="Z7147"/>
    </row>
    <row r="7148" spans="1:33" x14ac:dyDescent="0.25">
      <c r="B7148"/>
      <c r="Z7148"/>
    </row>
    <row r="7149" spans="1:33" x14ac:dyDescent="0.25">
      <c r="B7149"/>
      <c r="Z7149"/>
    </row>
    <row r="7150" spans="1:33" x14ac:dyDescent="0.25">
      <c r="B7150"/>
      <c r="Z7150"/>
    </row>
    <row r="7151" spans="1:33" x14ac:dyDescent="0.25">
      <c r="B7151"/>
      <c r="Z7151"/>
    </row>
    <row r="7152" spans="1:33" x14ac:dyDescent="0.25">
      <c r="B7152"/>
      <c r="Z7152"/>
    </row>
    <row r="7153" spans="2:26" x14ac:dyDescent="0.25">
      <c r="B7153"/>
      <c r="Z7153"/>
    </row>
    <row r="7154" spans="2:26" x14ac:dyDescent="0.25">
      <c r="B7154"/>
      <c r="Z7154"/>
    </row>
    <row r="7155" spans="2:26" x14ac:dyDescent="0.25">
      <c r="B7155"/>
      <c r="Z7155"/>
    </row>
    <row r="7156" spans="2:26" x14ac:dyDescent="0.25">
      <c r="B7156"/>
      <c r="Z7156"/>
    </row>
    <row r="7157" spans="2:26" x14ac:dyDescent="0.25">
      <c r="B7157"/>
      <c r="Z7157"/>
    </row>
    <row r="7158" spans="2:26" x14ac:dyDescent="0.25">
      <c r="B7158"/>
      <c r="Z7158"/>
    </row>
    <row r="7159" spans="2:26" x14ac:dyDescent="0.25">
      <c r="B7159"/>
      <c r="Z7159"/>
    </row>
    <row r="7160" spans="2:26" x14ac:dyDescent="0.25">
      <c r="B7160"/>
      <c r="Z7160"/>
    </row>
    <row r="7161" spans="2:26" x14ac:dyDescent="0.25">
      <c r="B7161"/>
      <c r="Z7161"/>
    </row>
    <row r="7162" spans="2:26" x14ac:dyDescent="0.25">
      <c r="B7162"/>
      <c r="Z7162"/>
    </row>
    <row r="7163" spans="2:26" x14ac:dyDescent="0.25">
      <c r="B7163"/>
      <c r="Z7163"/>
    </row>
    <row r="7164" spans="2:26" x14ac:dyDescent="0.25">
      <c r="B7164"/>
      <c r="Z7164"/>
    </row>
    <row r="7165" spans="2:26" x14ac:dyDescent="0.25">
      <c r="B7165"/>
      <c r="Z7165"/>
    </row>
    <row r="7166" spans="2:26" x14ac:dyDescent="0.25">
      <c r="B7166"/>
      <c r="Z7166"/>
    </row>
    <row r="7167" spans="2:26" x14ac:dyDescent="0.25">
      <c r="B7167"/>
      <c r="Z7167"/>
    </row>
    <row r="7168" spans="2:26" x14ac:dyDescent="0.25">
      <c r="B7168"/>
      <c r="Z7168"/>
    </row>
    <row r="7169" spans="2:26" x14ac:dyDescent="0.25">
      <c r="B7169"/>
      <c r="Z7169"/>
    </row>
    <row r="7170" spans="2:26" x14ac:dyDescent="0.25">
      <c r="B7170"/>
      <c r="Z7170"/>
    </row>
    <row r="7171" spans="2:26" x14ac:dyDescent="0.25">
      <c r="B7171"/>
      <c r="Z7171"/>
    </row>
    <row r="7172" spans="2:26" x14ac:dyDescent="0.25">
      <c r="B7172"/>
      <c r="Z7172"/>
    </row>
    <row r="7173" spans="2:26" x14ac:dyDescent="0.25">
      <c r="B7173"/>
      <c r="Z7173"/>
    </row>
    <row r="7174" spans="2:26" x14ac:dyDescent="0.25">
      <c r="B7174"/>
      <c r="Z7174"/>
    </row>
    <row r="7175" spans="2:26" x14ac:dyDescent="0.25">
      <c r="B7175"/>
      <c r="Z7175"/>
    </row>
    <row r="7176" spans="2:26" x14ac:dyDescent="0.25">
      <c r="B7176"/>
      <c r="Z7176"/>
    </row>
    <row r="7177" spans="2:26" x14ac:dyDescent="0.25">
      <c r="B7177"/>
      <c r="Z7177"/>
    </row>
    <row r="7178" spans="2:26" x14ac:dyDescent="0.25">
      <c r="B7178"/>
      <c r="Z7178"/>
    </row>
    <row r="7179" spans="2:26" x14ac:dyDescent="0.25">
      <c r="B7179"/>
      <c r="Z7179"/>
    </row>
    <row r="7180" spans="2:26" x14ac:dyDescent="0.25">
      <c r="B7180"/>
      <c r="Z7180"/>
    </row>
    <row r="7181" spans="2:26" x14ac:dyDescent="0.25">
      <c r="B7181"/>
      <c r="Z7181"/>
    </row>
    <row r="7182" spans="2:26" x14ac:dyDescent="0.25">
      <c r="B7182"/>
      <c r="Z7182"/>
    </row>
    <row r="7183" spans="2:26" x14ac:dyDescent="0.25">
      <c r="B7183"/>
      <c r="Z7183"/>
    </row>
    <row r="7184" spans="2:26" x14ac:dyDescent="0.25">
      <c r="B7184"/>
      <c r="Z7184"/>
    </row>
    <row r="7185" spans="2:26" x14ac:dyDescent="0.25">
      <c r="B7185"/>
      <c r="Z7185"/>
    </row>
    <row r="7186" spans="2:26" x14ac:dyDescent="0.25">
      <c r="B7186"/>
      <c r="Z7186"/>
    </row>
    <row r="7187" spans="2:26" x14ac:dyDescent="0.25">
      <c r="B7187"/>
      <c r="Z7187"/>
    </row>
    <row r="7188" spans="2:26" x14ac:dyDescent="0.25">
      <c r="B7188"/>
      <c r="Z7188"/>
    </row>
    <row r="7189" spans="2:26" x14ac:dyDescent="0.25">
      <c r="B7189"/>
      <c r="Z7189"/>
    </row>
    <row r="7190" spans="2:26" x14ac:dyDescent="0.25">
      <c r="B7190"/>
      <c r="Z7190"/>
    </row>
    <row r="7191" spans="2:26" x14ac:dyDescent="0.25">
      <c r="B7191"/>
      <c r="Z7191"/>
    </row>
    <row r="7192" spans="2:26" x14ac:dyDescent="0.25">
      <c r="B7192"/>
      <c r="Z7192"/>
    </row>
    <row r="7193" spans="2:26" x14ac:dyDescent="0.25">
      <c r="B7193"/>
      <c r="Z7193"/>
    </row>
    <row r="7194" spans="2:26" x14ac:dyDescent="0.25">
      <c r="B7194"/>
      <c r="Z7194"/>
    </row>
    <row r="7195" spans="2:26" x14ac:dyDescent="0.25">
      <c r="B7195"/>
      <c r="Z7195"/>
    </row>
    <row r="7196" spans="2:26" x14ac:dyDescent="0.25">
      <c r="B7196"/>
      <c r="Z7196"/>
    </row>
    <row r="7197" spans="2:26" x14ac:dyDescent="0.25">
      <c r="B7197"/>
      <c r="Z7197"/>
    </row>
    <row r="7198" spans="2:26" x14ac:dyDescent="0.25">
      <c r="B7198"/>
      <c r="Z7198"/>
    </row>
    <row r="7199" spans="2:26" x14ac:dyDescent="0.25">
      <c r="B7199"/>
      <c r="Z7199"/>
    </row>
    <row r="7200" spans="2:26" x14ac:dyDescent="0.25">
      <c r="B7200"/>
      <c r="Z7200"/>
    </row>
    <row r="7201" spans="2:26" x14ac:dyDescent="0.25">
      <c r="B7201"/>
      <c r="Z7201"/>
    </row>
    <row r="7202" spans="2:26" x14ac:dyDescent="0.25">
      <c r="B7202"/>
      <c r="Z7202"/>
    </row>
    <row r="7203" spans="2:26" x14ac:dyDescent="0.25">
      <c r="B7203"/>
      <c r="Z7203"/>
    </row>
    <row r="7204" spans="2:26" x14ac:dyDescent="0.25">
      <c r="B7204"/>
      <c r="Z7204"/>
    </row>
    <row r="7205" spans="2:26" x14ac:dyDescent="0.25">
      <c r="B7205"/>
      <c r="Z7205"/>
    </row>
    <row r="7206" spans="2:26" x14ac:dyDescent="0.25">
      <c r="B7206"/>
      <c r="Z7206"/>
    </row>
    <row r="7207" spans="2:26" x14ac:dyDescent="0.25">
      <c r="B7207"/>
      <c r="Z7207"/>
    </row>
    <row r="7208" spans="2:26" x14ac:dyDescent="0.25">
      <c r="B7208"/>
      <c r="Z7208"/>
    </row>
    <row r="7209" spans="2:26" x14ac:dyDescent="0.25">
      <c r="B7209"/>
      <c r="Z7209"/>
    </row>
    <row r="7210" spans="2:26" x14ac:dyDescent="0.25">
      <c r="B7210"/>
      <c r="Z7210"/>
    </row>
    <row r="7211" spans="2:26" x14ac:dyDescent="0.25">
      <c r="B7211"/>
      <c r="Z7211"/>
    </row>
    <row r="7212" spans="2:26" x14ac:dyDescent="0.25">
      <c r="B7212"/>
      <c r="Z7212"/>
    </row>
    <row r="7213" spans="2:26" x14ac:dyDescent="0.25">
      <c r="B7213"/>
      <c r="Z7213"/>
    </row>
    <row r="7214" spans="2:26" x14ac:dyDescent="0.25">
      <c r="B7214"/>
      <c r="Z7214"/>
    </row>
    <row r="7215" spans="2:26" x14ac:dyDescent="0.25">
      <c r="B7215"/>
      <c r="Z7215"/>
    </row>
    <row r="7216" spans="2:26" x14ac:dyDescent="0.25">
      <c r="B7216"/>
      <c r="Z7216"/>
    </row>
    <row r="7217" spans="2:26" x14ac:dyDescent="0.25">
      <c r="B7217"/>
      <c r="Z7217"/>
    </row>
    <row r="7218" spans="2:26" x14ac:dyDescent="0.25">
      <c r="B7218"/>
      <c r="Z7218"/>
    </row>
    <row r="7219" spans="2:26" x14ac:dyDescent="0.25">
      <c r="B7219"/>
      <c r="Z7219"/>
    </row>
    <row r="7220" spans="2:26" x14ac:dyDescent="0.25">
      <c r="B7220"/>
      <c r="Z7220"/>
    </row>
    <row r="7221" spans="2:26" x14ac:dyDescent="0.25">
      <c r="B7221"/>
      <c r="Z7221"/>
    </row>
    <row r="7222" spans="2:26" x14ac:dyDescent="0.25">
      <c r="B7222"/>
      <c r="Z7222"/>
    </row>
    <row r="7223" spans="2:26" x14ac:dyDescent="0.25">
      <c r="B7223"/>
      <c r="Z7223"/>
    </row>
    <row r="7224" spans="2:26" x14ac:dyDescent="0.25">
      <c r="B7224"/>
      <c r="Z7224"/>
    </row>
    <row r="7225" spans="2:26" x14ac:dyDescent="0.25">
      <c r="B7225"/>
      <c r="Z7225"/>
    </row>
    <row r="7226" spans="2:26" x14ac:dyDescent="0.25">
      <c r="B7226"/>
      <c r="Z7226"/>
    </row>
    <row r="7227" spans="2:26" x14ac:dyDescent="0.25">
      <c r="B7227"/>
      <c r="Z7227"/>
    </row>
    <row r="7228" spans="2:26" x14ac:dyDescent="0.25">
      <c r="B7228"/>
      <c r="Z7228"/>
    </row>
    <row r="7229" spans="2:26" x14ac:dyDescent="0.25">
      <c r="B7229"/>
      <c r="Z7229"/>
    </row>
    <row r="7230" spans="2:26" x14ac:dyDescent="0.25">
      <c r="B7230"/>
      <c r="Z7230"/>
    </row>
    <row r="7231" spans="2:26" x14ac:dyDescent="0.25">
      <c r="B7231"/>
      <c r="Z7231"/>
    </row>
    <row r="7232" spans="2:26" x14ac:dyDescent="0.25">
      <c r="B7232"/>
      <c r="Z7232"/>
    </row>
    <row r="7233" spans="1:33" x14ac:dyDescent="0.25">
      <c r="B7233"/>
      <c r="Z7233"/>
    </row>
    <row r="7234" spans="1:33" x14ac:dyDescent="0.25">
      <c r="B7234"/>
      <c r="Z7234"/>
    </row>
    <row r="7235" spans="1:33" x14ac:dyDescent="0.25">
      <c r="B7235"/>
      <c r="Z7235"/>
    </row>
    <row r="7236" spans="1:33" x14ac:dyDescent="0.25">
      <c r="B7236"/>
      <c r="Z7236"/>
    </row>
    <row r="7237" spans="1:33" x14ac:dyDescent="0.25">
      <c r="B7237"/>
      <c r="Z7237"/>
    </row>
    <row r="7238" spans="1:33" x14ac:dyDescent="0.25">
      <c r="B7238"/>
      <c r="Z7238"/>
    </row>
    <row r="7239" spans="1:33" x14ac:dyDescent="0.25">
      <c r="B7239"/>
      <c r="Z7239"/>
    </row>
    <row r="7240" spans="1:33" x14ac:dyDescent="0.25">
      <c r="B7240"/>
      <c r="K7240" s="6"/>
      <c r="Z7240"/>
    </row>
    <row r="7241" spans="1:33" x14ac:dyDescent="0.25">
      <c r="B7241"/>
      <c r="Z7241"/>
    </row>
    <row r="7242" spans="1:33" x14ac:dyDescent="0.25">
      <c r="A7242" s="6"/>
      <c r="B7242" s="6"/>
      <c r="C7242" s="6"/>
      <c r="D7242" s="6"/>
      <c r="E7242" s="6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  <c r="T7242" s="6"/>
      <c r="U7242" s="6"/>
      <c r="V7242" s="6"/>
      <c r="W7242" s="6"/>
      <c r="X7242" s="6"/>
      <c r="Y7242" s="6"/>
      <c r="Z7242" s="6"/>
      <c r="AA7242" s="6"/>
      <c r="AB7242" s="6"/>
      <c r="AC7242" s="6"/>
      <c r="AD7242" s="6"/>
      <c r="AE7242" s="6"/>
      <c r="AF7242" s="6"/>
      <c r="AG7242" s="6"/>
    </row>
    <row r="7243" spans="1:33" x14ac:dyDescent="0.25">
      <c r="B7243"/>
      <c r="Z7243"/>
    </row>
    <row r="7244" spans="1:33" x14ac:dyDescent="0.25">
      <c r="B7244"/>
      <c r="Z7244"/>
    </row>
    <row r="7245" spans="1:33" x14ac:dyDescent="0.25">
      <c r="B7245"/>
      <c r="Z7245"/>
    </row>
    <row r="7246" spans="1:33" x14ac:dyDescent="0.25">
      <c r="B7246"/>
      <c r="Z7246"/>
    </row>
    <row r="7247" spans="1:33" x14ac:dyDescent="0.25">
      <c r="B7247"/>
      <c r="Z7247"/>
    </row>
    <row r="7248" spans="1:33" x14ac:dyDescent="0.25">
      <c r="B7248"/>
      <c r="Z7248"/>
    </row>
    <row r="7249" spans="2:26" x14ac:dyDescent="0.25">
      <c r="B7249"/>
      <c r="Z7249"/>
    </row>
    <row r="7250" spans="2:26" x14ac:dyDescent="0.25">
      <c r="B7250"/>
      <c r="Z7250"/>
    </row>
    <row r="7251" spans="2:26" x14ac:dyDescent="0.25">
      <c r="B7251"/>
      <c r="Z7251"/>
    </row>
    <row r="7252" spans="2:26" x14ac:dyDescent="0.25">
      <c r="B7252"/>
      <c r="Z7252"/>
    </row>
    <row r="7253" spans="2:26" x14ac:dyDescent="0.25">
      <c r="B7253"/>
      <c r="Z7253"/>
    </row>
    <row r="7254" spans="2:26" x14ac:dyDescent="0.25">
      <c r="B7254"/>
      <c r="Z7254"/>
    </row>
    <row r="7255" spans="2:26" x14ac:dyDescent="0.25">
      <c r="B7255"/>
      <c r="Z7255"/>
    </row>
    <row r="7256" spans="2:26" x14ac:dyDescent="0.25">
      <c r="B7256"/>
      <c r="Z7256"/>
    </row>
    <row r="7257" spans="2:26" x14ac:dyDescent="0.25">
      <c r="B7257"/>
      <c r="Z7257"/>
    </row>
    <row r="7258" spans="2:26" x14ac:dyDescent="0.25">
      <c r="B7258"/>
      <c r="Z7258"/>
    </row>
    <row r="7259" spans="2:26" x14ac:dyDescent="0.25">
      <c r="B7259"/>
      <c r="Z7259"/>
    </row>
    <row r="7260" spans="2:26" x14ac:dyDescent="0.25">
      <c r="B7260"/>
      <c r="Z7260"/>
    </row>
    <row r="7261" spans="2:26" x14ac:dyDescent="0.25">
      <c r="B7261"/>
      <c r="Z7261"/>
    </row>
    <row r="7262" spans="2:26" x14ac:dyDescent="0.25">
      <c r="B7262"/>
      <c r="Z7262"/>
    </row>
    <row r="7263" spans="2:26" x14ac:dyDescent="0.25">
      <c r="B7263"/>
      <c r="Z7263"/>
    </row>
    <row r="7264" spans="2:26" x14ac:dyDescent="0.25">
      <c r="B7264"/>
      <c r="Z7264"/>
    </row>
    <row r="7265" spans="2:26" x14ac:dyDescent="0.25">
      <c r="B7265"/>
      <c r="Z7265"/>
    </row>
    <row r="7266" spans="2:26" x14ac:dyDescent="0.25">
      <c r="B7266"/>
      <c r="Z7266"/>
    </row>
    <row r="7267" spans="2:26" x14ac:dyDescent="0.25">
      <c r="B7267"/>
      <c r="Z7267"/>
    </row>
    <row r="7268" spans="2:26" x14ac:dyDescent="0.25">
      <c r="B7268"/>
      <c r="Z7268"/>
    </row>
    <row r="7269" spans="2:26" x14ac:dyDescent="0.25">
      <c r="B7269"/>
      <c r="Z7269"/>
    </row>
    <row r="7270" spans="2:26" x14ac:dyDescent="0.25">
      <c r="B7270"/>
      <c r="Z7270"/>
    </row>
    <row r="7271" spans="2:26" x14ac:dyDescent="0.25">
      <c r="B7271"/>
      <c r="Z7271"/>
    </row>
    <row r="7272" spans="2:26" x14ac:dyDescent="0.25">
      <c r="B7272"/>
      <c r="Z7272"/>
    </row>
    <row r="7273" spans="2:26" x14ac:dyDescent="0.25">
      <c r="B7273"/>
      <c r="Z7273"/>
    </row>
    <row r="7274" spans="2:26" x14ac:dyDescent="0.25">
      <c r="B7274"/>
      <c r="Z7274"/>
    </row>
    <row r="7275" spans="2:26" x14ac:dyDescent="0.25">
      <c r="B7275"/>
      <c r="Z7275"/>
    </row>
    <row r="7276" spans="2:26" x14ac:dyDescent="0.25">
      <c r="B7276"/>
      <c r="Z7276"/>
    </row>
    <row r="7277" spans="2:26" x14ac:dyDescent="0.25">
      <c r="B7277"/>
      <c r="Z7277"/>
    </row>
    <row r="7278" spans="2:26" x14ac:dyDescent="0.25">
      <c r="B7278"/>
      <c r="Z7278"/>
    </row>
    <row r="7279" spans="2:26" x14ac:dyDescent="0.25">
      <c r="B7279"/>
      <c r="Z7279"/>
    </row>
    <row r="7280" spans="2:26" x14ac:dyDescent="0.25">
      <c r="B7280"/>
      <c r="Z7280"/>
    </row>
    <row r="7281" spans="2:26" x14ac:dyDescent="0.25">
      <c r="B7281"/>
      <c r="Z7281"/>
    </row>
    <row r="7282" spans="2:26" x14ac:dyDescent="0.25">
      <c r="B7282"/>
      <c r="Z7282"/>
    </row>
    <row r="7283" spans="2:26" x14ac:dyDescent="0.25">
      <c r="B7283"/>
      <c r="Z7283"/>
    </row>
    <row r="7284" spans="2:26" x14ac:dyDescent="0.25">
      <c r="B7284"/>
      <c r="Z7284"/>
    </row>
    <row r="7285" spans="2:26" x14ac:dyDescent="0.25">
      <c r="B7285"/>
      <c r="Z7285"/>
    </row>
    <row r="7286" spans="2:26" x14ac:dyDescent="0.25">
      <c r="B7286"/>
      <c r="Z7286"/>
    </row>
    <row r="7287" spans="2:26" x14ac:dyDescent="0.25">
      <c r="B7287"/>
      <c r="Z7287"/>
    </row>
    <row r="7288" spans="2:26" x14ac:dyDescent="0.25">
      <c r="B7288"/>
      <c r="Z7288"/>
    </row>
    <row r="7289" spans="2:26" x14ac:dyDescent="0.25">
      <c r="B7289"/>
      <c r="Z7289"/>
    </row>
    <row r="7290" spans="2:26" x14ac:dyDescent="0.25">
      <c r="B7290"/>
      <c r="Z7290"/>
    </row>
    <row r="7291" spans="2:26" x14ac:dyDescent="0.25">
      <c r="B7291"/>
      <c r="Z7291"/>
    </row>
    <row r="7292" spans="2:26" x14ac:dyDescent="0.25">
      <c r="B7292"/>
      <c r="Z7292"/>
    </row>
    <row r="7293" spans="2:26" x14ac:dyDescent="0.25">
      <c r="B7293"/>
      <c r="Z7293"/>
    </row>
    <row r="7294" spans="2:26" x14ac:dyDescent="0.25">
      <c r="B7294"/>
      <c r="Z7294"/>
    </row>
    <row r="7295" spans="2:26" x14ac:dyDescent="0.25">
      <c r="B7295"/>
      <c r="Z7295"/>
    </row>
    <row r="7296" spans="2:26" x14ac:dyDescent="0.25">
      <c r="B7296"/>
      <c r="Z7296"/>
    </row>
    <row r="7297" spans="2:26" x14ac:dyDescent="0.25">
      <c r="B7297"/>
      <c r="Z7297"/>
    </row>
    <row r="7298" spans="2:26" x14ac:dyDescent="0.25">
      <c r="B7298"/>
      <c r="Z7298"/>
    </row>
    <row r="7299" spans="2:26" x14ac:dyDescent="0.25">
      <c r="B7299"/>
      <c r="Z7299"/>
    </row>
    <row r="7300" spans="2:26" x14ac:dyDescent="0.25">
      <c r="B7300"/>
      <c r="Z7300"/>
    </row>
    <row r="7301" spans="2:26" x14ac:dyDescent="0.25">
      <c r="B7301"/>
      <c r="Z7301"/>
    </row>
    <row r="7302" spans="2:26" x14ac:dyDescent="0.25">
      <c r="B7302"/>
      <c r="Z7302"/>
    </row>
    <row r="7303" spans="2:26" x14ac:dyDescent="0.25">
      <c r="B7303"/>
      <c r="Z7303"/>
    </row>
    <row r="7304" spans="2:26" x14ac:dyDescent="0.25">
      <c r="B7304"/>
      <c r="Z7304"/>
    </row>
    <row r="7305" spans="2:26" x14ac:dyDescent="0.25">
      <c r="B7305"/>
      <c r="Z7305"/>
    </row>
    <row r="7306" spans="2:26" x14ac:dyDescent="0.25">
      <c r="B7306"/>
      <c r="Z7306"/>
    </row>
    <row r="7307" spans="2:26" x14ac:dyDescent="0.25">
      <c r="B7307"/>
      <c r="Z7307"/>
    </row>
    <row r="7308" spans="2:26" x14ac:dyDescent="0.25">
      <c r="B7308"/>
      <c r="Z7308"/>
    </row>
    <row r="7309" spans="2:26" x14ac:dyDescent="0.25">
      <c r="B7309"/>
      <c r="Z7309"/>
    </row>
    <row r="7310" spans="2:26" x14ac:dyDescent="0.25">
      <c r="B7310"/>
      <c r="Z7310"/>
    </row>
    <row r="7311" spans="2:26" x14ac:dyDescent="0.25">
      <c r="B7311"/>
      <c r="Z7311"/>
    </row>
    <row r="7312" spans="2:26" x14ac:dyDescent="0.25">
      <c r="B7312"/>
      <c r="Z7312"/>
    </row>
    <row r="7313" spans="2:26" x14ac:dyDescent="0.25">
      <c r="B7313"/>
      <c r="Z7313"/>
    </row>
    <row r="7314" spans="2:26" x14ac:dyDescent="0.25">
      <c r="B7314"/>
      <c r="Z7314"/>
    </row>
    <row r="7315" spans="2:26" x14ac:dyDescent="0.25">
      <c r="B7315"/>
      <c r="Z7315"/>
    </row>
    <row r="7316" spans="2:26" x14ac:dyDescent="0.25">
      <c r="B7316"/>
      <c r="Z7316"/>
    </row>
    <row r="7317" spans="2:26" x14ac:dyDescent="0.25">
      <c r="B7317"/>
      <c r="Z7317"/>
    </row>
    <row r="7318" spans="2:26" x14ac:dyDescent="0.25">
      <c r="B7318"/>
      <c r="Z7318"/>
    </row>
    <row r="7319" spans="2:26" x14ac:dyDescent="0.25">
      <c r="B7319"/>
      <c r="Z7319"/>
    </row>
    <row r="7320" spans="2:26" x14ac:dyDescent="0.25">
      <c r="B7320"/>
      <c r="Z7320"/>
    </row>
    <row r="7321" spans="2:26" x14ac:dyDescent="0.25">
      <c r="B7321"/>
      <c r="Z7321"/>
    </row>
    <row r="7322" spans="2:26" x14ac:dyDescent="0.25">
      <c r="B7322"/>
      <c r="Z7322"/>
    </row>
    <row r="7323" spans="2:26" x14ac:dyDescent="0.25">
      <c r="B7323"/>
      <c r="Z7323"/>
    </row>
    <row r="7324" spans="2:26" x14ac:dyDescent="0.25">
      <c r="B7324"/>
      <c r="Z7324"/>
    </row>
    <row r="7325" spans="2:26" x14ac:dyDescent="0.25">
      <c r="B7325"/>
      <c r="Z7325"/>
    </row>
    <row r="7326" spans="2:26" x14ac:dyDescent="0.25">
      <c r="B7326"/>
      <c r="Z7326"/>
    </row>
    <row r="7327" spans="2:26" x14ac:dyDescent="0.25">
      <c r="B7327"/>
      <c r="Z7327"/>
    </row>
    <row r="7328" spans="2:26" x14ac:dyDescent="0.25">
      <c r="B7328"/>
      <c r="Z7328"/>
    </row>
    <row r="7329" spans="1:33" x14ac:dyDescent="0.25">
      <c r="B7329"/>
      <c r="Z7329"/>
    </row>
    <row r="7330" spans="1:33" x14ac:dyDescent="0.25">
      <c r="B7330"/>
      <c r="Z7330"/>
    </row>
    <row r="7331" spans="1:33" x14ac:dyDescent="0.25">
      <c r="B7331"/>
      <c r="Z7331"/>
    </row>
    <row r="7332" spans="1:33" x14ac:dyDescent="0.25">
      <c r="B7332"/>
      <c r="Z7332"/>
    </row>
    <row r="7333" spans="1:33" x14ac:dyDescent="0.25">
      <c r="A7333" s="6"/>
      <c r="B7333" s="6"/>
      <c r="C7333" s="6"/>
      <c r="D7333" s="6"/>
      <c r="E7333" s="6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  <c r="T7333" s="6"/>
      <c r="U7333" s="6"/>
      <c r="V7333" s="6"/>
      <c r="W7333" s="6"/>
      <c r="X7333" s="6"/>
      <c r="Y7333" s="6"/>
      <c r="Z7333" s="6"/>
      <c r="AA7333" s="6"/>
      <c r="AB7333" s="6"/>
      <c r="AC7333" s="6"/>
      <c r="AD7333" s="6"/>
      <c r="AE7333" s="6"/>
      <c r="AF7333" s="6"/>
      <c r="AG7333" s="6"/>
    </row>
    <row r="7334" spans="1:33" x14ac:dyDescent="0.25">
      <c r="B7334"/>
      <c r="Z7334"/>
    </row>
    <row r="7335" spans="1:33" x14ac:dyDescent="0.25">
      <c r="B7335"/>
      <c r="Z7335"/>
    </row>
    <row r="7336" spans="1:33" x14ac:dyDescent="0.25">
      <c r="B7336"/>
      <c r="Z7336"/>
    </row>
    <row r="7337" spans="1:33" x14ac:dyDescent="0.25">
      <c r="B7337"/>
      <c r="Z7337"/>
    </row>
    <row r="7338" spans="1:33" x14ac:dyDescent="0.25">
      <c r="B7338"/>
      <c r="Z7338"/>
    </row>
    <row r="7339" spans="1:33" x14ac:dyDescent="0.25">
      <c r="B7339"/>
      <c r="Z7339"/>
    </row>
    <row r="7340" spans="1:33" x14ac:dyDescent="0.25">
      <c r="B7340"/>
      <c r="Z7340"/>
    </row>
    <row r="7341" spans="1:33" x14ac:dyDescent="0.25">
      <c r="B7341"/>
      <c r="Z7341"/>
    </row>
    <row r="7342" spans="1:33" x14ac:dyDescent="0.25">
      <c r="B7342"/>
      <c r="Z7342"/>
    </row>
    <row r="7343" spans="1:33" x14ac:dyDescent="0.25">
      <c r="B7343"/>
      <c r="Z7343"/>
    </row>
    <row r="7344" spans="1:33" x14ac:dyDescent="0.25">
      <c r="B7344"/>
      <c r="Z7344"/>
    </row>
    <row r="7345" spans="1:33" x14ac:dyDescent="0.25">
      <c r="B7345"/>
      <c r="Z7345"/>
    </row>
    <row r="7346" spans="1:33" x14ac:dyDescent="0.25">
      <c r="B7346"/>
      <c r="Z7346"/>
    </row>
    <row r="7347" spans="1:33" x14ac:dyDescent="0.25">
      <c r="A7347" s="6"/>
      <c r="B7347" s="6"/>
      <c r="C7347" s="6"/>
      <c r="D7347" s="6"/>
      <c r="E7347" s="6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  <c r="T7347" s="6"/>
      <c r="U7347" s="6"/>
      <c r="V7347" s="6"/>
      <c r="W7347" s="6"/>
      <c r="X7347" s="6"/>
      <c r="Y7347" s="6"/>
      <c r="Z7347" s="6"/>
      <c r="AA7347" s="6"/>
      <c r="AB7347" s="6"/>
      <c r="AC7347" s="6"/>
      <c r="AD7347" s="6"/>
      <c r="AE7347" s="6"/>
      <c r="AF7347" s="6"/>
      <c r="AG7347" s="6"/>
    </row>
    <row r="7348" spans="1:33" x14ac:dyDescent="0.25">
      <c r="B7348"/>
      <c r="Z7348"/>
    </row>
    <row r="7349" spans="1:33" x14ac:dyDescent="0.25">
      <c r="B7349"/>
      <c r="Z7349"/>
    </row>
    <row r="7350" spans="1:33" x14ac:dyDescent="0.25">
      <c r="B7350"/>
      <c r="Z7350"/>
    </row>
    <row r="7351" spans="1:33" x14ac:dyDescent="0.25">
      <c r="B7351"/>
      <c r="Z7351"/>
    </row>
    <row r="7352" spans="1:33" x14ac:dyDescent="0.25">
      <c r="B7352"/>
      <c r="Z7352"/>
    </row>
    <row r="7353" spans="1:33" x14ac:dyDescent="0.25">
      <c r="B7353"/>
      <c r="Z7353"/>
    </row>
    <row r="7354" spans="1:33" x14ac:dyDescent="0.25">
      <c r="B7354"/>
      <c r="Z7354"/>
    </row>
    <row r="7355" spans="1:33" x14ac:dyDescent="0.25">
      <c r="B7355"/>
      <c r="Z7355"/>
    </row>
    <row r="7356" spans="1:33" x14ac:dyDescent="0.25">
      <c r="B7356"/>
      <c r="Z7356"/>
    </row>
    <row r="7357" spans="1:33" x14ac:dyDescent="0.25">
      <c r="B7357"/>
      <c r="Z7357"/>
    </row>
    <row r="7358" spans="1:33" x14ac:dyDescent="0.25">
      <c r="B7358"/>
      <c r="Z7358"/>
    </row>
    <row r="7359" spans="1:33" x14ac:dyDescent="0.25">
      <c r="B7359"/>
      <c r="Z7359"/>
    </row>
    <row r="7360" spans="1:33" x14ac:dyDescent="0.25">
      <c r="B7360"/>
      <c r="Z7360"/>
    </row>
    <row r="7361" spans="2:26" x14ac:dyDescent="0.25">
      <c r="B7361"/>
      <c r="Z7361"/>
    </row>
    <row r="7362" spans="2:26" x14ac:dyDescent="0.25">
      <c r="B7362"/>
      <c r="Z7362"/>
    </row>
    <row r="7363" spans="2:26" x14ac:dyDescent="0.25">
      <c r="B7363"/>
      <c r="Z7363"/>
    </row>
    <row r="7364" spans="2:26" x14ac:dyDescent="0.25">
      <c r="B7364"/>
      <c r="Z7364"/>
    </row>
    <row r="7365" spans="2:26" x14ac:dyDescent="0.25">
      <c r="B7365"/>
      <c r="Z7365"/>
    </row>
    <row r="7366" spans="2:26" x14ac:dyDescent="0.25">
      <c r="B7366"/>
      <c r="Z7366"/>
    </row>
    <row r="7367" spans="2:26" x14ac:dyDescent="0.25">
      <c r="B7367"/>
      <c r="Z7367"/>
    </row>
    <row r="7368" spans="2:26" x14ac:dyDescent="0.25">
      <c r="B7368"/>
      <c r="Z7368"/>
    </row>
    <row r="7369" spans="2:26" x14ac:dyDescent="0.25">
      <c r="B7369"/>
      <c r="Z7369"/>
    </row>
    <row r="7370" spans="2:26" x14ac:dyDescent="0.25">
      <c r="B7370"/>
      <c r="Z7370"/>
    </row>
    <row r="7371" spans="2:26" x14ac:dyDescent="0.25">
      <c r="B7371"/>
      <c r="Z7371"/>
    </row>
    <row r="7372" spans="2:26" x14ac:dyDescent="0.25">
      <c r="B7372"/>
      <c r="Z7372"/>
    </row>
    <row r="7373" spans="2:26" x14ac:dyDescent="0.25">
      <c r="B7373"/>
      <c r="Z7373"/>
    </row>
    <row r="7374" spans="2:26" x14ac:dyDescent="0.25">
      <c r="B7374"/>
      <c r="Z7374"/>
    </row>
    <row r="7375" spans="2:26" x14ac:dyDescent="0.25">
      <c r="B7375"/>
      <c r="Z7375"/>
    </row>
    <row r="7376" spans="2:26" x14ac:dyDescent="0.25">
      <c r="B7376"/>
      <c r="Z7376"/>
    </row>
    <row r="7377" spans="2:26" x14ac:dyDescent="0.25">
      <c r="B7377"/>
      <c r="Z7377"/>
    </row>
    <row r="7378" spans="2:26" x14ac:dyDescent="0.25">
      <c r="B7378"/>
      <c r="Z7378"/>
    </row>
    <row r="7379" spans="2:26" x14ac:dyDescent="0.25">
      <c r="B7379"/>
      <c r="Z7379"/>
    </row>
    <row r="7380" spans="2:26" x14ac:dyDescent="0.25">
      <c r="B7380"/>
      <c r="Z7380"/>
    </row>
    <row r="7381" spans="2:26" x14ac:dyDescent="0.25">
      <c r="B7381"/>
      <c r="Z7381"/>
    </row>
    <row r="7382" spans="2:26" x14ac:dyDescent="0.25">
      <c r="B7382"/>
      <c r="Z7382"/>
    </row>
    <row r="7383" spans="2:26" x14ac:dyDescent="0.25">
      <c r="B7383"/>
      <c r="Z7383"/>
    </row>
    <row r="7384" spans="2:26" x14ac:dyDescent="0.25">
      <c r="B7384"/>
      <c r="Z7384"/>
    </row>
    <row r="7385" spans="2:26" x14ac:dyDescent="0.25">
      <c r="B7385"/>
      <c r="Z7385"/>
    </row>
    <row r="7386" spans="2:26" x14ac:dyDescent="0.25">
      <c r="B7386"/>
      <c r="Z7386"/>
    </row>
    <row r="7387" spans="2:26" x14ac:dyDescent="0.25">
      <c r="B7387"/>
      <c r="Z7387"/>
    </row>
    <row r="7388" spans="2:26" x14ac:dyDescent="0.25">
      <c r="B7388"/>
      <c r="Z7388"/>
    </row>
    <row r="7389" spans="2:26" x14ac:dyDescent="0.25">
      <c r="B7389"/>
      <c r="Z7389"/>
    </row>
    <row r="7390" spans="2:26" x14ac:dyDescent="0.25">
      <c r="B7390"/>
      <c r="Z7390"/>
    </row>
    <row r="7391" spans="2:26" x14ac:dyDescent="0.25">
      <c r="B7391"/>
      <c r="Z7391"/>
    </row>
    <row r="7392" spans="2:26" x14ac:dyDescent="0.25">
      <c r="B7392"/>
      <c r="Z7392"/>
    </row>
    <row r="7393" spans="2:26" x14ac:dyDescent="0.25">
      <c r="B7393"/>
      <c r="Z7393"/>
    </row>
    <row r="7394" spans="2:26" x14ac:dyDescent="0.25">
      <c r="B7394"/>
      <c r="Z7394"/>
    </row>
    <row r="7395" spans="2:26" x14ac:dyDescent="0.25">
      <c r="B7395"/>
      <c r="Z7395"/>
    </row>
    <row r="7396" spans="2:26" x14ac:dyDescent="0.25">
      <c r="B7396"/>
      <c r="Z7396"/>
    </row>
    <row r="7397" spans="2:26" x14ac:dyDescent="0.25">
      <c r="B7397"/>
      <c r="Z7397"/>
    </row>
    <row r="7398" spans="2:26" x14ac:dyDescent="0.25">
      <c r="B7398"/>
      <c r="Z7398"/>
    </row>
    <row r="7399" spans="2:26" x14ac:dyDescent="0.25">
      <c r="B7399"/>
      <c r="Z7399"/>
    </row>
    <row r="7400" spans="2:26" x14ac:dyDescent="0.25">
      <c r="B7400"/>
      <c r="Z7400"/>
    </row>
    <row r="7401" spans="2:26" x14ac:dyDescent="0.25">
      <c r="B7401"/>
      <c r="Z7401"/>
    </row>
    <row r="7402" spans="2:26" x14ac:dyDescent="0.25">
      <c r="B7402"/>
      <c r="Z7402"/>
    </row>
    <row r="7403" spans="2:26" x14ac:dyDescent="0.25">
      <c r="B7403"/>
      <c r="Z7403"/>
    </row>
    <row r="7404" spans="2:26" x14ac:dyDescent="0.25">
      <c r="B7404"/>
      <c r="Z7404"/>
    </row>
    <row r="7405" spans="2:26" x14ac:dyDescent="0.25">
      <c r="B7405"/>
      <c r="Z7405"/>
    </row>
    <row r="7406" spans="2:26" x14ac:dyDescent="0.25">
      <c r="B7406"/>
      <c r="Z7406"/>
    </row>
    <row r="7407" spans="2:26" x14ac:dyDescent="0.25">
      <c r="B7407"/>
      <c r="Z7407"/>
    </row>
    <row r="7408" spans="2:26" x14ac:dyDescent="0.25">
      <c r="B7408"/>
      <c r="Z7408"/>
    </row>
    <row r="7409" spans="2:26" x14ac:dyDescent="0.25">
      <c r="B7409"/>
      <c r="Z7409"/>
    </row>
    <row r="7410" spans="2:26" x14ac:dyDescent="0.25">
      <c r="B7410"/>
      <c r="Z7410"/>
    </row>
    <row r="7411" spans="2:26" x14ac:dyDescent="0.25">
      <c r="B7411"/>
      <c r="Z7411"/>
    </row>
    <row r="7412" spans="2:26" x14ac:dyDescent="0.25">
      <c r="B7412"/>
      <c r="Z7412"/>
    </row>
    <row r="7413" spans="2:26" x14ac:dyDescent="0.25">
      <c r="B7413"/>
      <c r="Z7413"/>
    </row>
    <row r="7414" spans="2:26" x14ac:dyDescent="0.25">
      <c r="B7414"/>
      <c r="Z7414"/>
    </row>
    <row r="7415" spans="2:26" x14ac:dyDescent="0.25">
      <c r="B7415"/>
      <c r="Z7415"/>
    </row>
    <row r="7416" spans="2:26" x14ac:dyDescent="0.25">
      <c r="B7416"/>
      <c r="Z7416"/>
    </row>
    <row r="7417" spans="2:26" x14ac:dyDescent="0.25">
      <c r="B7417"/>
      <c r="Z7417"/>
    </row>
    <row r="7418" spans="2:26" x14ac:dyDescent="0.25">
      <c r="B7418"/>
      <c r="Z7418"/>
    </row>
    <row r="7419" spans="2:26" x14ac:dyDescent="0.25">
      <c r="B7419"/>
      <c r="Z7419"/>
    </row>
    <row r="7420" spans="2:26" x14ac:dyDescent="0.25">
      <c r="B7420"/>
      <c r="Z7420"/>
    </row>
    <row r="7421" spans="2:26" x14ac:dyDescent="0.25">
      <c r="B7421"/>
      <c r="Z7421"/>
    </row>
    <row r="7422" spans="2:26" x14ac:dyDescent="0.25">
      <c r="B7422"/>
      <c r="Z7422"/>
    </row>
    <row r="7423" spans="2:26" x14ac:dyDescent="0.25">
      <c r="B7423"/>
      <c r="Z7423"/>
    </row>
    <row r="7424" spans="2:26" x14ac:dyDescent="0.25">
      <c r="B7424"/>
      <c r="Z7424"/>
    </row>
    <row r="7425" spans="1:33" x14ac:dyDescent="0.25">
      <c r="B7425"/>
      <c r="Z7425"/>
    </row>
    <row r="7426" spans="1:33" x14ac:dyDescent="0.25">
      <c r="B7426"/>
      <c r="Z7426"/>
    </row>
    <row r="7427" spans="1:33" x14ac:dyDescent="0.25">
      <c r="B7427"/>
      <c r="Z7427"/>
    </row>
    <row r="7428" spans="1:33" x14ac:dyDescent="0.25">
      <c r="B7428"/>
      <c r="Z7428"/>
    </row>
    <row r="7429" spans="1:33" x14ac:dyDescent="0.25">
      <c r="B7429"/>
      <c r="Z7429"/>
    </row>
    <row r="7430" spans="1:33" x14ac:dyDescent="0.25">
      <c r="B7430"/>
      <c r="Z7430"/>
    </row>
    <row r="7431" spans="1:33" x14ac:dyDescent="0.25">
      <c r="B7431"/>
      <c r="Z7431"/>
    </row>
    <row r="7432" spans="1:33" x14ac:dyDescent="0.25">
      <c r="B7432"/>
      <c r="Z7432"/>
    </row>
    <row r="7433" spans="1:33" x14ac:dyDescent="0.25">
      <c r="B7433"/>
      <c r="Z7433"/>
    </row>
    <row r="7434" spans="1:33" x14ac:dyDescent="0.25">
      <c r="B7434"/>
      <c r="Z7434"/>
    </row>
    <row r="7435" spans="1:33" x14ac:dyDescent="0.25">
      <c r="B7435"/>
      <c r="Z7435"/>
    </row>
    <row r="7436" spans="1:33" x14ac:dyDescent="0.25">
      <c r="B7436"/>
      <c r="Z7436"/>
    </row>
    <row r="7437" spans="1:33" x14ac:dyDescent="0.25">
      <c r="B7437"/>
      <c r="Z7437"/>
    </row>
    <row r="7438" spans="1:33" x14ac:dyDescent="0.25">
      <c r="A7438" s="6"/>
      <c r="B7438" s="6"/>
      <c r="C7438" s="6"/>
      <c r="D7438" s="6"/>
      <c r="E7438" s="6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  <c r="T7438" s="6"/>
      <c r="U7438" s="6"/>
      <c r="V7438" s="6"/>
      <c r="W7438" s="6"/>
      <c r="X7438" s="6"/>
      <c r="Y7438" s="6"/>
      <c r="Z7438" s="6"/>
      <c r="AA7438" s="6"/>
      <c r="AB7438" s="6"/>
      <c r="AC7438" s="6"/>
      <c r="AD7438" s="6"/>
      <c r="AE7438" s="6"/>
      <c r="AF7438" s="6"/>
      <c r="AG7438" s="6"/>
    </row>
    <row r="7439" spans="1:33" x14ac:dyDescent="0.25">
      <c r="B7439"/>
      <c r="Z7439"/>
    </row>
    <row r="7440" spans="1:33" x14ac:dyDescent="0.25">
      <c r="B7440"/>
      <c r="Z7440"/>
    </row>
    <row r="7441" spans="1:33" x14ac:dyDescent="0.25">
      <c r="B7441"/>
      <c r="Z7441"/>
    </row>
    <row r="7442" spans="1:33" x14ac:dyDescent="0.25">
      <c r="B7442"/>
      <c r="Z7442"/>
    </row>
    <row r="7443" spans="1:33" x14ac:dyDescent="0.25">
      <c r="B7443"/>
      <c r="Z7443"/>
    </row>
    <row r="7444" spans="1:33" x14ac:dyDescent="0.25">
      <c r="B7444"/>
      <c r="Z7444"/>
    </row>
    <row r="7445" spans="1:33" x14ac:dyDescent="0.25">
      <c r="B7445"/>
      <c r="Z7445"/>
    </row>
    <row r="7446" spans="1:33" x14ac:dyDescent="0.25">
      <c r="B7446"/>
      <c r="Z7446"/>
    </row>
    <row r="7447" spans="1:33" x14ac:dyDescent="0.25">
      <c r="B7447"/>
      <c r="Z7447"/>
    </row>
    <row r="7448" spans="1:33" x14ac:dyDescent="0.25">
      <c r="B7448"/>
      <c r="Z7448"/>
    </row>
    <row r="7449" spans="1:33" x14ac:dyDescent="0.25">
      <c r="B7449"/>
      <c r="Z7449"/>
    </row>
    <row r="7450" spans="1:33" x14ac:dyDescent="0.25">
      <c r="B7450"/>
      <c r="Z7450"/>
    </row>
    <row r="7451" spans="1:33" x14ac:dyDescent="0.25">
      <c r="B7451"/>
      <c r="Z7451"/>
    </row>
    <row r="7452" spans="1:33" x14ac:dyDescent="0.25">
      <c r="A7452" s="6"/>
      <c r="B7452" s="6"/>
      <c r="C7452" s="6"/>
      <c r="D7452" s="6"/>
      <c r="E7452" s="6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  <c r="T7452" s="6"/>
      <c r="U7452" s="6"/>
      <c r="V7452" s="6"/>
      <c r="W7452" s="6"/>
      <c r="X7452" s="6"/>
      <c r="Y7452" s="6"/>
      <c r="Z7452" s="6"/>
      <c r="AA7452" s="6"/>
      <c r="AB7452" s="6"/>
      <c r="AC7452" s="6"/>
      <c r="AD7452" s="6"/>
      <c r="AE7452" s="6"/>
      <c r="AF7452" s="6"/>
      <c r="AG7452" s="6"/>
    </row>
    <row r="7453" spans="1:33" x14ac:dyDescent="0.25">
      <c r="B7453"/>
      <c r="Z7453"/>
    </row>
    <row r="7454" spans="1:33" x14ac:dyDescent="0.25">
      <c r="B7454"/>
      <c r="Z7454"/>
    </row>
    <row r="7455" spans="1:33" x14ac:dyDescent="0.25">
      <c r="B7455"/>
      <c r="Z7455"/>
    </row>
    <row r="7456" spans="1:33" x14ac:dyDescent="0.25">
      <c r="B7456"/>
      <c r="Z7456"/>
    </row>
    <row r="7457" spans="2:26" x14ac:dyDescent="0.25">
      <c r="B7457"/>
      <c r="Z7457"/>
    </row>
    <row r="7458" spans="2:26" x14ac:dyDescent="0.25">
      <c r="B7458"/>
      <c r="Z7458"/>
    </row>
    <row r="7459" spans="2:26" x14ac:dyDescent="0.25">
      <c r="B7459"/>
      <c r="Z7459"/>
    </row>
    <row r="7460" spans="2:26" x14ac:dyDescent="0.25">
      <c r="B7460"/>
      <c r="Z7460"/>
    </row>
    <row r="7461" spans="2:26" x14ac:dyDescent="0.25">
      <c r="B7461"/>
      <c r="Z7461"/>
    </row>
    <row r="7462" spans="2:26" x14ac:dyDescent="0.25">
      <c r="B7462"/>
      <c r="Z7462"/>
    </row>
    <row r="7463" spans="2:26" x14ac:dyDescent="0.25">
      <c r="B7463"/>
      <c r="Z7463"/>
    </row>
    <row r="7464" spans="2:26" x14ac:dyDescent="0.25">
      <c r="B7464"/>
      <c r="Z7464"/>
    </row>
    <row r="7465" spans="2:26" x14ac:dyDescent="0.25">
      <c r="B7465"/>
      <c r="Z7465"/>
    </row>
    <row r="7466" spans="2:26" x14ac:dyDescent="0.25">
      <c r="B7466"/>
      <c r="Z7466"/>
    </row>
    <row r="7467" spans="2:26" x14ac:dyDescent="0.25">
      <c r="B7467"/>
      <c r="Z7467"/>
    </row>
    <row r="7468" spans="2:26" x14ac:dyDescent="0.25">
      <c r="B7468"/>
      <c r="Z7468"/>
    </row>
    <row r="7469" spans="2:26" x14ac:dyDescent="0.25">
      <c r="B7469"/>
      <c r="Z7469"/>
    </row>
    <row r="7470" spans="2:26" x14ac:dyDescent="0.25">
      <c r="B7470"/>
      <c r="Z7470"/>
    </row>
    <row r="7471" spans="2:26" x14ac:dyDescent="0.25">
      <c r="B7471"/>
      <c r="Z7471"/>
    </row>
    <row r="7472" spans="2:26" x14ac:dyDescent="0.25">
      <c r="B7472"/>
      <c r="Z7472"/>
    </row>
    <row r="7473" spans="2:26" x14ac:dyDescent="0.25">
      <c r="B7473"/>
      <c r="Z7473"/>
    </row>
    <row r="7474" spans="2:26" x14ac:dyDescent="0.25">
      <c r="B7474"/>
      <c r="Z7474"/>
    </row>
    <row r="7475" spans="2:26" x14ac:dyDescent="0.25">
      <c r="B7475"/>
      <c r="Z7475"/>
    </row>
    <row r="7476" spans="2:26" x14ac:dyDescent="0.25">
      <c r="B7476"/>
      <c r="Z7476"/>
    </row>
    <row r="7477" spans="2:26" x14ac:dyDescent="0.25">
      <c r="B7477"/>
      <c r="Z7477"/>
    </row>
    <row r="7478" spans="2:26" x14ac:dyDescent="0.25">
      <c r="B7478"/>
      <c r="Z7478"/>
    </row>
    <row r="7479" spans="2:26" x14ac:dyDescent="0.25">
      <c r="B7479"/>
      <c r="Z7479"/>
    </row>
    <row r="7480" spans="2:26" x14ac:dyDescent="0.25">
      <c r="B7480"/>
      <c r="Z7480"/>
    </row>
    <row r="7481" spans="2:26" x14ac:dyDescent="0.25">
      <c r="B7481"/>
      <c r="Z7481"/>
    </row>
    <row r="7482" spans="2:26" x14ac:dyDescent="0.25">
      <c r="B7482"/>
      <c r="Z7482"/>
    </row>
    <row r="7483" spans="2:26" x14ac:dyDescent="0.25">
      <c r="B7483"/>
      <c r="Z7483"/>
    </row>
    <row r="7484" spans="2:26" x14ac:dyDescent="0.25">
      <c r="B7484"/>
      <c r="Z7484"/>
    </row>
    <row r="7485" spans="2:26" x14ac:dyDescent="0.25">
      <c r="B7485"/>
      <c r="Z7485"/>
    </row>
    <row r="7486" spans="2:26" x14ac:dyDescent="0.25">
      <c r="B7486"/>
      <c r="Z7486"/>
    </row>
    <row r="7487" spans="2:26" x14ac:dyDescent="0.25">
      <c r="B7487"/>
      <c r="Z7487"/>
    </row>
    <row r="7488" spans="2:26" x14ac:dyDescent="0.25">
      <c r="B7488"/>
      <c r="Z7488"/>
    </row>
    <row r="7489" spans="2:26" x14ac:dyDescent="0.25">
      <c r="B7489"/>
      <c r="Z7489"/>
    </row>
    <row r="7490" spans="2:26" x14ac:dyDescent="0.25">
      <c r="B7490"/>
      <c r="Z7490"/>
    </row>
    <row r="7491" spans="2:26" x14ac:dyDescent="0.25">
      <c r="B7491"/>
      <c r="Z7491"/>
    </row>
    <row r="7492" spans="2:26" x14ac:dyDescent="0.25">
      <c r="B7492"/>
      <c r="Z7492"/>
    </row>
    <row r="7493" spans="2:26" x14ac:dyDescent="0.25">
      <c r="B7493"/>
      <c r="Z7493"/>
    </row>
    <row r="7494" spans="2:26" x14ac:dyDescent="0.25">
      <c r="B7494"/>
      <c r="Z7494"/>
    </row>
    <row r="7495" spans="2:26" x14ac:dyDescent="0.25">
      <c r="B7495"/>
      <c r="Z7495"/>
    </row>
    <row r="7496" spans="2:26" x14ac:dyDescent="0.25">
      <c r="B7496"/>
      <c r="Z7496"/>
    </row>
    <row r="7497" spans="2:26" x14ac:dyDescent="0.25">
      <c r="B7497"/>
      <c r="Z7497"/>
    </row>
    <row r="7498" spans="2:26" x14ac:dyDescent="0.25">
      <c r="B7498"/>
      <c r="Z7498"/>
    </row>
    <row r="7499" spans="2:26" x14ac:dyDescent="0.25">
      <c r="B7499"/>
      <c r="Z7499"/>
    </row>
    <row r="7500" spans="2:26" x14ac:dyDescent="0.25">
      <c r="B7500"/>
      <c r="Z7500"/>
    </row>
    <row r="7501" spans="2:26" x14ac:dyDescent="0.25">
      <c r="B7501"/>
      <c r="Z7501"/>
    </row>
    <row r="7502" spans="2:26" x14ac:dyDescent="0.25">
      <c r="B7502"/>
      <c r="Z7502"/>
    </row>
    <row r="7503" spans="2:26" x14ac:dyDescent="0.25">
      <c r="B7503"/>
      <c r="Z7503"/>
    </row>
    <row r="7504" spans="2:26" x14ac:dyDescent="0.25">
      <c r="B7504"/>
      <c r="Z7504"/>
    </row>
    <row r="7505" spans="2:26" x14ac:dyDescent="0.25">
      <c r="B7505"/>
      <c r="Z7505"/>
    </row>
    <row r="7506" spans="2:26" x14ac:dyDescent="0.25">
      <c r="B7506"/>
      <c r="Z7506"/>
    </row>
    <row r="7507" spans="2:26" x14ac:dyDescent="0.25">
      <c r="B7507"/>
      <c r="Z7507"/>
    </row>
    <row r="7508" spans="2:26" x14ac:dyDescent="0.25">
      <c r="B7508"/>
      <c r="Z7508"/>
    </row>
    <row r="7509" spans="2:26" x14ac:dyDescent="0.25">
      <c r="B7509"/>
      <c r="Z7509"/>
    </row>
    <row r="7510" spans="2:26" x14ac:dyDescent="0.25">
      <c r="B7510"/>
      <c r="Z7510"/>
    </row>
    <row r="7511" spans="2:26" x14ac:dyDescent="0.25">
      <c r="B7511"/>
      <c r="Z7511"/>
    </row>
    <row r="7512" spans="2:26" x14ac:dyDescent="0.25">
      <c r="B7512"/>
      <c r="Z7512"/>
    </row>
    <row r="7513" spans="2:26" x14ac:dyDescent="0.25">
      <c r="B7513"/>
      <c r="Z7513"/>
    </row>
    <row r="7514" spans="2:26" x14ac:dyDescent="0.25">
      <c r="B7514"/>
      <c r="Z7514"/>
    </row>
    <row r="7515" spans="2:26" x14ac:dyDescent="0.25">
      <c r="B7515"/>
      <c r="Z7515"/>
    </row>
    <row r="7516" spans="2:26" x14ac:dyDescent="0.25">
      <c r="B7516"/>
      <c r="Z7516"/>
    </row>
    <row r="7517" spans="2:26" x14ac:dyDescent="0.25">
      <c r="B7517"/>
      <c r="Z7517"/>
    </row>
    <row r="7518" spans="2:26" x14ac:dyDescent="0.25">
      <c r="B7518"/>
      <c r="Z7518"/>
    </row>
    <row r="7519" spans="2:26" x14ac:dyDescent="0.25">
      <c r="B7519"/>
      <c r="Z7519"/>
    </row>
    <row r="7520" spans="2:26" x14ac:dyDescent="0.25">
      <c r="B7520"/>
      <c r="Z7520"/>
    </row>
    <row r="7521" spans="2:26" x14ac:dyDescent="0.25">
      <c r="B7521"/>
      <c r="Z7521"/>
    </row>
    <row r="7522" spans="2:26" x14ac:dyDescent="0.25">
      <c r="B7522"/>
      <c r="Z7522"/>
    </row>
    <row r="7523" spans="2:26" x14ac:dyDescent="0.25">
      <c r="B7523"/>
      <c r="Z7523"/>
    </row>
    <row r="7524" spans="2:26" x14ac:dyDescent="0.25">
      <c r="B7524"/>
      <c r="Z7524"/>
    </row>
    <row r="7525" spans="2:26" x14ac:dyDescent="0.25">
      <c r="B7525"/>
      <c r="Z7525"/>
    </row>
    <row r="7526" spans="2:26" x14ac:dyDescent="0.25">
      <c r="B7526"/>
      <c r="Z7526"/>
    </row>
    <row r="7527" spans="2:26" x14ac:dyDescent="0.25">
      <c r="B7527"/>
      <c r="Z7527"/>
    </row>
    <row r="7528" spans="2:26" x14ac:dyDescent="0.25">
      <c r="B7528"/>
      <c r="Z7528"/>
    </row>
    <row r="7529" spans="2:26" x14ac:dyDescent="0.25">
      <c r="B7529"/>
      <c r="Z7529"/>
    </row>
    <row r="7530" spans="2:26" x14ac:dyDescent="0.25">
      <c r="B7530"/>
      <c r="Z7530"/>
    </row>
    <row r="7531" spans="2:26" x14ac:dyDescent="0.25">
      <c r="B7531"/>
      <c r="Z7531"/>
    </row>
    <row r="7532" spans="2:26" x14ac:dyDescent="0.25">
      <c r="B7532"/>
      <c r="Z7532"/>
    </row>
    <row r="7533" spans="2:26" x14ac:dyDescent="0.25">
      <c r="B7533"/>
      <c r="Z7533"/>
    </row>
    <row r="7534" spans="2:26" x14ac:dyDescent="0.25">
      <c r="B7534"/>
      <c r="Z7534"/>
    </row>
    <row r="7535" spans="2:26" x14ac:dyDescent="0.25">
      <c r="B7535"/>
      <c r="Z7535"/>
    </row>
    <row r="7536" spans="2:26" x14ac:dyDescent="0.25">
      <c r="B7536"/>
      <c r="Z7536"/>
    </row>
    <row r="7537" spans="1:33" x14ac:dyDescent="0.25">
      <c r="B7537"/>
      <c r="Z7537"/>
    </row>
    <row r="7538" spans="1:33" x14ac:dyDescent="0.25">
      <c r="B7538"/>
      <c r="Z7538"/>
    </row>
    <row r="7539" spans="1:33" x14ac:dyDescent="0.25">
      <c r="B7539"/>
      <c r="Z7539"/>
    </row>
    <row r="7540" spans="1:33" x14ac:dyDescent="0.25">
      <c r="B7540"/>
      <c r="Z7540"/>
    </row>
    <row r="7541" spans="1:33" x14ac:dyDescent="0.25">
      <c r="B7541"/>
      <c r="Z7541"/>
    </row>
    <row r="7542" spans="1:33" x14ac:dyDescent="0.25">
      <c r="B7542"/>
      <c r="Z7542"/>
    </row>
    <row r="7543" spans="1:33" x14ac:dyDescent="0.25">
      <c r="A7543" s="6"/>
      <c r="B7543" s="6"/>
      <c r="C7543" s="6"/>
      <c r="D7543" s="6"/>
      <c r="E7543" s="6"/>
      <c r="F7543" s="6"/>
      <c r="G7543" s="6"/>
      <c r="H7543" s="6"/>
      <c r="I7543" s="6"/>
      <c r="J7543" s="6"/>
      <c r="K7543" s="6"/>
      <c r="L7543" s="6"/>
      <c r="M7543" s="6"/>
      <c r="N7543" s="6"/>
      <c r="O7543" s="6"/>
      <c r="P7543" s="6"/>
      <c r="Q7543" s="6"/>
      <c r="R7543" s="6"/>
      <c r="S7543" s="6"/>
      <c r="T7543" s="6"/>
      <c r="U7543" s="6"/>
      <c r="V7543" s="6"/>
      <c r="W7543" s="6"/>
      <c r="X7543" s="6"/>
      <c r="Y7543" s="6"/>
      <c r="Z7543" s="6"/>
      <c r="AA7543" s="6"/>
      <c r="AB7543" s="6"/>
      <c r="AC7543" s="6"/>
      <c r="AD7543" s="6"/>
      <c r="AE7543" s="6"/>
      <c r="AF7543" s="6"/>
      <c r="AG7543" s="6"/>
    </row>
    <row r="7544" spans="1:33" x14ac:dyDescent="0.25">
      <c r="B7544"/>
      <c r="Z7544"/>
    </row>
    <row r="7545" spans="1:33" x14ac:dyDescent="0.25">
      <c r="B7545"/>
      <c r="Z7545"/>
    </row>
    <row r="7546" spans="1:33" x14ac:dyDescent="0.25">
      <c r="B7546"/>
      <c r="Z7546"/>
    </row>
    <row r="7547" spans="1:33" x14ac:dyDescent="0.25">
      <c r="B7547"/>
      <c r="Z7547"/>
    </row>
    <row r="7548" spans="1:33" x14ac:dyDescent="0.25">
      <c r="B7548"/>
      <c r="Z7548"/>
    </row>
    <row r="7549" spans="1:33" x14ac:dyDescent="0.25">
      <c r="B7549"/>
      <c r="Z7549"/>
    </row>
    <row r="7550" spans="1:33" x14ac:dyDescent="0.25">
      <c r="B7550"/>
      <c r="Z7550"/>
    </row>
    <row r="7551" spans="1:33" x14ac:dyDescent="0.25">
      <c r="B7551"/>
      <c r="Z7551"/>
    </row>
    <row r="7552" spans="1:33" x14ac:dyDescent="0.25">
      <c r="B7552"/>
      <c r="Z7552"/>
    </row>
    <row r="7553" spans="1:33" x14ac:dyDescent="0.25">
      <c r="B7553"/>
      <c r="Z7553"/>
    </row>
    <row r="7554" spans="1:33" x14ac:dyDescent="0.25">
      <c r="B7554"/>
      <c r="Z7554"/>
    </row>
    <row r="7555" spans="1:33" x14ac:dyDescent="0.25">
      <c r="B7555"/>
      <c r="Z7555"/>
    </row>
    <row r="7556" spans="1:33" x14ac:dyDescent="0.25">
      <c r="B7556"/>
      <c r="Z7556"/>
    </row>
    <row r="7557" spans="1:33" x14ac:dyDescent="0.25">
      <c r="A7557" s="6"/>
      <c r="B7557" s="6"/>
      <c r="C7557" s="6"/>
      <c r="D7557" s="6"/>
      <c r="E7557" s="6"/>
      <c r="F7557" s="6"/>
      <c r="G7557" s="6"/>
      <c r="H7557" s="6"/>
      <c r="I7557" s="6"/>
      <c r="J7557" s="6"/>
      <c r="K7557" s="6"/>
      <c r="L7557" s="6"/>
      <c r="M7557" s="6"/>
      <c r="N7557" s="6"/>
      <c r="O7557" s="6"/>
      <c r="P7557" s="6"/>
      <c r="Q7557" s="6"/>
      <c r="R7557" s="6"/>
      <c r="S7557" s="6"/>
      <c r="T7557" s="6"/>
      <c r="U7557" s="6"/>
      <c r="V7557" s="6"/>
      <c r="W7557" s="6"/>
      <c r="X7557" s="6"/>
      <c r="Y7557" s="6"/>
      <c r="Z7557" s="6"/>
      <c r="AA7557" s="6"/>
      <c r="AB7557" s="6"/>
      <c r="AC7557" s="6"/>
      <c r="AD7557" s="6"/>
      <c r="AE7557" s="6"/>
      <c r="AF7557" s="6"/>
      <c r="AG7557" s="6"/>
    </row>
    <row r="7558" spans="1:33" x14ac:dyDescent="0.25">
      <c r="B7558"/>
      <c r="Z7558"/>
    </row>
    <row r="7559" spans="1:33" x14ac:dyDescent="0.25">
      <c r="B7559"/>
      <c r="Z7559"/>
    </row>
    <row r="7560" spans="1:33" x14ac:dyDescent="0.25">
      <c r="B7560"/>
      <c r="Z7560"/>
    </row>
    <row r="7561" spans="1:33" x14ac:dyDescent="0.25">
      <c r="B7561"/>
      <c r="Z7561"/>
    </row>
    <row r="7562" spans="1:33" x14ac:dyDescent="0.25">
      <c r="B7562"/>
      <c r="Z7562"/>
    </row>
    <row r="7563" spans="1:33" x14ac:dyDescent="0.25">
      <c r="B7563"/>
      <c r="Z7563"/>
    </row>
    <row r="7564" spans="1:33" x14ac:dyDescent="0.25">
      <c r="B7564"/>
      <c r="Z7564"/>
    </row>
    <row r="7565" spans="1:33" x14ac:dyDescent="0.25">
      <c r="B7565"/>
      <c r="Z7565"/>
    </row>
    <row r="7566" spans="1:33" x14ac:dyDescent="0.25">
      <c r="B7566"/>
      <c r="Z7566"/>
    </row>
    <row r="7567" spans="1:33" x14ac:dyDescent="0.25">
      <c r="B7567"/>
      <c r="Z7567"/>
    </row>
    <row r="7568" spans="1:33" x14ac:dyDescent="0.25">
      <c r="B7568"/>
      <c r="Z7568"/>
    </row>
    <row r="7569" spans="2:26" x14ac:dyDescent="0.25">
      <c r="B7569"/>
      <c r="Z7569"/>
    </row>
    <row r="7570" spans="2:26" x14ac:dyDescent="0.25">
      <c r="B7570"/>
      <c r="Z7570"/>
    </row>
    <row r="7571" spans="2:26" x14ac:dyDescent="0.25">
      <c r="B7571"/>
      <c r="Z7571"/>
    </row>
    <row r="7572" spans="2:26" x14ac:dyDescent="0.25">
      <c r="B7572"/>
      <c r="Z7572"/>
    </row>
    <row r="7573" spans="2:26" x14ac:dyDescent="0.25">
      <c r="B7573"/>
      <c r="Z7573"/>
    </row>
    <row r="7574" spans="2:26" x14ac:dyDescent="0.25">
      <c r="B7574"/>
      <c r="Z7574"/>
    </row>
    <row r="7575" spans="2:26" x14ac:dyDescent="0.25">
      <c r="B7575"/>
      <c r="Z7575"/>
    </row>
    <row r="7576" spans="2:26" x14ac:dyDescent="0.25">
      <c r="B7576"/>
      <c r="Z7576"/>
    </row>
    <row r="7577" spans="2:26" x14ac:dyDescent="0.25">
      <c r="B7577"/>
      <c r="Z7577"/>
    </row>
    <row r="7578" spans="2:26" x14ac:dyDescent="0.25">
      <c r="B7578"/>
      <c r="Z7578"/>
    </row>
    <row r="7579" spans="2:26" x14ac:dyDescent="0.25">
      <c r="B7579"/>
      <c r="Z7579"/>
    </row>
    <row r="7580" spans="2:26" x14ac:dyDescent="0.25">
      <c r="B7580"/>
      <c r="Z7580"/>
    </row>
    <row r="7581" spans="2:26" x14ac:dyDescent="0.25">
      <c r="B7581"/>
      <c r="Z7581"/>
    </row>
    <row r="7582" spans="2:26" x14ac:dyDescent="0.25">
      <c r="B7582"/>
      <c r="Z7582"/>
    </row>
    <row r="7583" spans="2:26" x14ac:dyDescent="0.25">
      <c r="B7583"/>
      <c r="Z7583"/>
    </row>
    <row r="7584" spans="2:26" x14ac:dyDescent="0.25">
      <c r="B7584"/>
      <c r="Z7584"/>
    </row>
    <row r="7585" spans="2:26" x14ac:dyDescent="0.25">
      <c r="B7585"/>
      <c r="Z7585"/>
    </row>
    <row r="7586" spans="2:26" x14ac:dyDescent="0.25">
      <c r="B7586"/>
      <c r="Z7586"/>
    </row>
    <row r="7587" spans="2:26" x14ac:dyDescent="0.25">
      <c r="B7587"/>
      <c r="Z7587"/>
    </row>
    <row r="7588" spans="2:26" x14ac:dyDescent="0.25">
      <c r="B7588"/>
      <c r="Z7588"/>
    </row>
    <row r="7589" spans="2:26" x14ac:dyDescent="0.25">
      <c r="B7589"/>
      <c r="Z7589"/>
    </row>
    <row r="7590" spans="2:26" x14ac:dyDescent="0.25">
      <c r="B7590"/>
      <c r="Z7590"/>
    </row>
    <row r="7591" spans="2:26" x14ac:dyDescent="0.25">
      <c r="B7591"/>
      <c r="Z7591"/>
    </row>
    <row r="7592" spans="2:26" x14ac:dyDescent="0.25">
      <c r="B7592"/>
      <c r="Z7592"/>
    </row>
    <row r="7593" spans="2:26" x14ac:dyDescent="0.25">
      <c r="B7593"/>
      <c r="Z7593"/>
    </row>
    <row r="7594" spans="2:26" x14ac:dyDescent="0.25">
      <c r="B7594"/>
      <c r="Z7594"/>
    </row>
    <row r="7595" spans="2:26" x14ac:dyDescent="0.25">
      <c r="B7595"/>
      <c r="Z7595"/>
    </row>
    <row r="7596" spans="2:26" x14ac:dyDescent="0.25">
      <c r="B7596"/>
      <c r="Z7596"/>
    </row>
    <row r="7597" spans="2:26" x14ac:dyDescent="0.25">
      <c r="B7597"/>
      <c r="Z7597"/>
    </row>
    <row r="7598" spans="2:26" x14ac:dyDescent="0.25">
      <c r="B7598"/>
      <c r="Z7598"/>
    </row>
    <row r="7599" spans="2:26" x14ac:dyDescent="0.25">
      <c r="B7599"/>
      <c r="Z7599"/>
    </row>
    <row r="7600" spans="2:26" x14ac:dyDescent="0.25">
      <c r="B7600"/>
      <c r="Z7600"/>
    </row>
    <row r="7601" spans="2:26" x14ac:dyDescent="0.25">
      <c r="B7601"/>
      <c r="Z7601"/>
    </row>
    <row r="7602" spans="2:26" x14ac:dyDescent="0.25">
      <c r="B7602"/>
      <c r="Z7602"/>
    </row>
    <row r="7603" spans="2:26" x14ac:dyDescent="0.25">
      <c r="B7603"/>
      <c r="Z7603"/>
    </row>
    <row r="7604" spans="2:26" x14ac:dyDescent="0.25">
      <c r="B7604"/>
      <c r="Z7604"/>
    </row>
    <row r="7605" spans="2:26" x14ac:dyDescent="0.25">
      <c r="B7605"/>
      <c r="Z7605"/>
    </row>
    <row r="7606" spans="2:26" x14ac:dyDescent="0.25">
      <c r="B7606"/>
      <c r="Z7606"/>
    </row>
    <row r="7607" spans="2:26" x14ac:dyDescent="0.25">
      <c r="B7607"/>
      <c r="Z7607"/>
    </row>
    <row r="7608" spans="2:26" x14ac:dyDescent="0.25">
      <c r="B7608"/>
      <c r="Z7608"/>
    </row>
    <row r="7609" spans="2:26" x14ac:dyDescent="0.25">
      <c r="B7609"/>
      <c r="Z7609"/>
    </row>
    <row r="7610" spans="2:26" x14ac:dyDescent="0.25">
      <c r="B7610"/>
      <c r="Z7610"/>
    </row>
    <row r="7611" spans="2:26" x14ac:dyDescent="0.25">
      <c r="B7611"/>
      <c r="Z7611"/>
    </row>
    <row r="7612" spans="2:26" x14ac:dyDescent="0.25">
      <c r="B7612"/>
      <c r="Z7612"/>
    </row>
    <row r="7613" spans="2:26" x14ac:dyDescent="0.25">
      <c r="B7613"/>
      <c r="Z7613"/>
    </row>
    <row r="7614" spans="2:26" x14ac:dyDescent="0.25">
      <c r="B7614"/>
      <c r="Z7614"/>
    </row>
    <row r="7615" spans="2:26" x14ac:dyDescent="0.25">
      <c r="B7615"/>
      <c r="Z7615"/>
    </row>
    <row r="7616" spans="2:26" x14ac:dyDescent="0.25">
      <c r="B7616"/>
      <c r="Z7616"/>
    </row>
    <row r="7617" spans="2:26" x14ac:dyDescent="0.25">
      <c r="B7617"/>
      <c r="Z7617"/>
    </row>
    <row r="7618" spans="2:26" x14ac:dyDescent="0.25">
      <c r="B7618"/>
      <c r="Z7618"/>
    </row>
    <row r="7619" spans="2:26" x14ac:dyDescent="0.25">
      <c r="B7619"/>
      <c r="Z7619"/>
    </row>
    <row r="7620" spans="2:26" x14ac:dyDescent="0.25">
      <c r="B7620"/>
      <c r="K7620" s="6"/>
      <c r="Z7620"/>
    </row>
    <row r="7621" spans="2:26" x14ac:dyDescent="0.25">
      <c r="B7621"/>
      <c r="Z7621"/>
    </row>
    <row r="7622" spans="2:26" x14ac:dyDescent="0.25">
      <c r="B7622"/>
      <c r="Z7622"/>
    </row>
    <row r="7623" spans="2:26" x14ac:dyDescent="0.25">
      <c r="B7623"/>
      <c r="Z7623"/>
    </row>
    <row r="7624" spans="2:26" x14ac:dyDescent="0.25">
      <c r="B7624"/>
      <c r="Z7624"/>
    </row>
    <row r="7625" spans="2:26" x14ac:dyDescent="0.25">
      <c r="B7625"/>
      <c r="Z7625"/>
    </row>
    <row r="7626" spans="2:26" x14ac:dyDescent="0.25">
      <c r="B7626"/>
      <c r="Z7626"/>
    </row>
    <row r="7627" spans="2:26" x14ac:dyDescent="0.25">
      <c r="B7627"/>
      <c r="Z7627"/>
    </row>
    <row r="7628" spans="2:26" x14ac:dyDescent="0.25">
      <c r="B7628"/>
      <c r="Z7628"/>
    </row>
    <row r="7629" spans="2:26" x14ac:dyDescent="0.25">
      <c r="B7629"/>
      <c r="Z7629"/>
    </row>
    <row r="7630" spans="2:26" x14ac:dyDescent="0.25">
      <c r="B7630"/>
      <c r="Z7630"/>
    </row>
    <row r="7631" spans="2:26" x14ac:dyDescent="0.25">
      <c r="B7631"/>
      <c r="Z7631"/>
    </row>
    <row r="7632" spans="2:26" x14ac:dyDescent="0.25">
      <c r="B7632"/>
      <c r="Z7632"/>
    </row>
    <row r="7633" spans="2:26" x14ac:dyDescent="0.25">
      <c r="B7633"/>
      <c r="Z7633"/>
    </row>
    <row r="7634" spans="2:26" x14ac:dyDescent="0.25">
      <c r="B7634"/>
      <c r="Z7634"/>
    </row>
    <row r="7635" spans="2:26" x14ac:dyDescent="0.25">
      <c r="B7635"/>
      <c r="Z7635"/>
    </row>
    <row r="7636" spans="2:26" x14ac:dyDescent="0.25">
      <c r="B7636"/>
      <c r="Z7636"/>
    </row>
    <row r="7637" spans="2:26" x14ac:dyDescent="0.25">
      <c r="B7637"/>
      <c r="Z7637"/>
    </row>
    <row r="7638" spans="2:26" x14ac:dyDescent="0.25">
      <c r="B7638"/>
      <c r="Z7638"/>
    </row>
    <row r="7639" spans="2:26" x14ac:dyDescent="0.25">
      <c r="B7639"/>
      <c r="Z7639"/>
    </row>
    <row r="7640" spans="2:26" x14ac:dyDescent="0.25">
      <c r="B7640"/>
      <c r="Z7640"/>
    </row>
    <row r="7641" spans="2:26" x14ac:dyDescent="0.25">
      <c r="B7641"/>
      <c r="Z7641"/>
    </row>
    <row r="7642" spans="2:26" x14ac:dyDescent="0.25">
      <c r="B7642"/>
      <c r="Z7642"/>
    </row>
    <row r="7643" spans="2:26" x14ac:dyDescent="0.25">
      <c r="B7643"/>
      <c r="Z7643"/>
    </row>
    <row r="7644" spans="2:26" x14ac:dyDescent="0.25">
      <c r="B7644"/>
      <c r="Z7644"/>
    </row>
    <row r="7645" spans="2:26" x14ac:dyDescent="0.25">
      <c r="B7645"/>
      <c r="Z7645"/>
    </row>
    <row r="7646" spans="2:26" x14ac:dyDescent="0.25">
      <c r="B7646"/>
      <c r="Z7646"/>
    </row>
    <row r="7647" spans="2:26" x14ac:dyDescent="0.25">
      <c r="B7647"/>
      <c r="Z7647"/>
    </row>
    <row r="7648" spans="2:26" x14ac:dyDescent="0.25">
      <c r="B7648"/>
      <c r="Z7648"/>
    </row>
    <row r="7649" spans="1:33" x14ac:dyDescent="0.25">
      <c r="B7649"/>
      <c r="Z7649"/>
    </row>
    <row r="7650" spans="1:33" x14ac:dyDescent="0.25">
      <c r="B7650"/>
      <c r="Z7650"/>
    </row>
    <row r="7651" spans="1:33" x14ac:dyDescent="0.25">
      <c r="B7651"/>
      <c r="Z7651"/>
    </row>
    <row r="7652" spans="1:33" x14ac:dyDescent="0.25">
      <c r="B7652"/>
      <c r="Z7652"/>
    </row>
    <row r="7653" spans="1:33" x14ac:dyDescent="0.25">
      <c r="B7653"/>
      <c r="Z7653"/>
    </row>
    <row r="7654" spans="1:33" x14ac:dyDescent="0.25">
      <c r="B7654"/>
      <c r="Z7654"/>
    </row>
    <row r="7655" spans="1:33" x14ac:dyDescent="0.25">
      <c r="B7655"/>
      <c r="Z7655"/>
    </row>
    <row r="7656" spans="1:33" x14ac:dyDescent="0.25">
      <c r="B7656"/>
      <c r="Z7656"/>
    </row>
    <row r="7657" spans="1:33" x14ac:dyDescent="0.25">
      <c r="B7657"/>
      <c r="Z7657"/>
    </row>
    <row r="7658" spans="1:33" x14ac:dyDescent="0.25">
      <c r="B7658"/>
      <c r="Z7658"/>
    </row>
    <row r="7659" spans="1:33" x14ac:dyDescent="0.25">
      <c r="B7659"/>
      <c r="Z7659"/>
    </row>
    <row r="7660" spans="1:33" x14ac:dyDescent="0.25">
      <c r="B7660"/>
      <c r="Z7660"/>
    </row>
    <row r="7661" spans="1:33" x14ac:dyDescent="0.25">
      <c r="B7661"/>
      <c r="Z7661"/>
    </row>
    <row r="7662" spans="1:33" x14ac:dyDescent="0.25">
      <c r="A7662" s="6"/>
      <c r="B7662" s="6"/>
      <c r="C7662" s="6"/>
      <c r="D7662" s="6"/>
      <c r="E7662" s="6"/>
      <c r="F7662" s="6"/>
      <c r="G7662" s="6"/>
      <c r="H7662" s="6"/>
      <c r="I7662" s="6"/>
      <c r="J7662" s="6"/>
      <c r="K7662" s="6"/>
      <c r="L7662" s="6"/>
      <c r="M7662" s="6"/>
      <c r="N7662" s="6"/>
      <c r="O7662" s="6"/>
      <c r="P7662" s="6"/>
      <c r="Q7662" s="6"/>
      <c r="R7662" s="6"/>
      <c r="S7662" s="6"/>
      <c r="T7662" s="6"/>
      <c r="U7662" s="6"/>
      <c r="V7662" s="6"/>
      <c r="W7662" s="6"/>
      <c r="X7662" s="6"/>
      <c r="Y7662" s="6"/>
      <c r="Z7662" s="6"/>
      <c r="AA7662" s="6"/>
      <c r="AB7662" s="6"/>
      <c r="AC7662" s="6"/>
      <c r="AD7662" s="6"/>
      <c r="AE7662" s="6"/>
      <c r="AF7662" s="6"/>
      <c r="AG7662" s="6"/>
    </row>
    <row r="7663" spans="1:33" x14ac:dyDescent="0.25">
      <c r="B7663"/>
      <c r="Z7663"/>
    </row>
    <row r="7664" spans="1:33" x14ac:dyDescent="0.25">
      <c r="B7664"/>
      <c r="Z7664"/>
    </row>
    <row r="7665" spans="2:26" x14ac:dyDescent="0.25">
      <c r="B7665"/>
      <c r="Z7665"/>
    </row>
    <row r="7666" spans="2:26" x14ac:dyDescent="0.25">
      <c r="B7666"/>
      <c r="Z7666"/>
    </row>
    <row r="7667" spans="2:26" x14ac:dyDescent="0.25">
      <c r="B7667"/>
      <c r="Z7667"/>
    </row>
    <row r="7668" spans="2:26" x14ac:dyDescent="0.25">
      <c r="B7668"/>
      <c r="Z7668"/>
    </row>
    <row r="7669" spans="2:26" x14ac:dyDescent="0.25">
      <c r="B7669"/>
      <c r="Z7669"/>
    </row>
    <row r="7670" spans="2:26" x14ac:dyDescent="0.25">
      <c r="B7670"/>
      <c r="Z7670"/>
    </row>
    <row r="7671" spans="2:26" x14ac:dyDescent="0.25">
      <c r="B7671"/>
      <c r="Z7671"/>
    </row>
    <row r="7672" spans="2:26" x14ac:dyDescent="0.25">
      <c r="B7672"/>
      <c r="Z7672"/>
    </row>
    <row r="7673" spans="2:26" x14ac:dyDescent="0.25">
      <c r="B7673"/>
      <c r="Z7673"/>
    </row>
    <row r="7674" spans="2:26" x14ac:dyDescent="0.25">
      <c r="B7674"/>
      <c r="Z7674"/>
    </row>
    <row r="7675" spans="2:26" x14ac:dyDescent="0.25">
      <c r="B7675"/>
      <c r="Z7675"/>
    </row>
    <row r="7676" spans="2:26" x14ac:dyDescent="0.25">
      <c r="B7676"/>
      <c r="Z7676"/>
    </row>
    <row r="7677" spans="2:26" x14ac:dyDescent="0.25">
      <c r="B7677"/>
      <c r="Z7677"/>
    </row>
    <row r="7678" spans="2:26" x14ac:dyDescent="0.25">
      <c r="B7678"/>
      <c r="Z7678"/>
    </row>
    <row r="7679" spans="2:26" x14ac:dyDescent="0.25">
      <c r="B7679"/>
      <c r="Z7679"/>
    </row>
    <row r="7680" spans="2:26" x14ac:dyDescent="0.25">
      <c r="B7680"/>
      <c r="Z7680"/>
    </row>
    <row r="7681" spans="2:26" x14ac:dyDescent="0.25">
      <c r="B7681"/>
      <c r="Z7681"/>
    </row>
    <row r="7682" spans="2:26" x14ac:dyDescent="0.25">
      <c r="B7682"/>
      <c r="Z7682"/>
    </row>
    <row r="7683" spans="2:26" x14ac:dyDescent="0.25">
      <c r="B7683"/>
      <c r="Z7683"/>
    </row>
    <row r="7684" spans="2:26" x14ac:dyDescent="0.25">
      <c r="B7684"/>
      <c r="Z7684"/>
    </row>
    <row r="7685" spans="2:26" x14ac:dyDescent="0.25">
      <c r="B7685"/>
      <c r="Z7685"/>
    </row>
    <row r="7686" spans="2:26" x14ac:dyDescent="0.25">
      <c r="B7686"/>
      <c r="Z7686"/>
    </row>
    <row r="7687" spans="2:26" x14ac:dyDescent="0.25">
      <c r="B7687"/>
      <c r="Z7687"/>
    </row>
    <row r="7688" spans="2:26" x14ac:dyDescent="0.25">
      <c r="B7688"/>
      <c r="Z7688"/>
    </row>
    <row r="7689" spans="2:26" x14ac:dyDescent="0.25">
      <c r="B7689"/>
      <c r="Z7689"/>
    </row>
    <row r="7690" spans="2:26" x14ac:dyDescent="0.25">
      <c r="B7690"/>
      <c r="Z7690"/>
    </row>
    <row r="7691" spans="2:26" x14ac:dyDescent="0.25">
      <c r="B7691"/>
      <c r="Z7691"/>
    </row>
    <row r="7692" spans="2:26" x14ac:dyDescent="0.25">
      <c r="B7692"/>
      <c r="Z7692"/>
    </row>
    <row r="7693" spans="2:26" x14ac:dyDescent="0.25">
      <c r="B7693"/>
      <c r="Z7693"/>
    </row>
    <row r="7694" spans="2:26" x14ac:dyDescent="0.25">
      <c r="B7694"/>
      <c r="Z7694"/>
    </row>
    <row r="7695" spans="2:26" x14ac:dyDescent="0.25">
      <c r="B7695"/>
      <c r="Z7695"/>
    </row>
    <row r="7696" spans="2:26" x14ac:dyDescent="0.25">
      <c r="B7696"/>
      <c r="Z7696"/>
    </row>
    <row r="7697" spans="2:26" x14ac:dyDescent="0.25">
      <c r="B7697"/>
      <c r="Z7697"/>
    </row>
    <row r="7698" spans="2:26" x14ac:dyDescent="0.25">
      <c r="B7698"/>
      <c r="Z7698"/>
    </row>
    <row r="7699" spans="2:26" x14ac:dyDescent="0.25">
      <c r="B7699"/>
      <c r="Z7699"/>
    </row>
    <row r="7700" spans="2:26" x14ac:dyDescent="0.25">
      <c r="B7700"/>
      <c r="Z7700"/>
    </row>
    <row r="7701" spans="2:26" x14ac:dyDescent="0.25">
      <c r="B7701"/>
      <c r="Z7701"/>
    </row>
    <row r="7702" spans="2:26" x14ac:dyDescent="0.25">
      <c r="B7702"/>
      <c r="Z7702"/>
    </row>
    <row r="7703" spans="2:26" x14ac:dyDescent="0.25">
      <c r="B7703"/>
      <c r="Z7703"/>
    </row>
    <row r="7704" spans="2:26" x14ac:dyDescent="0.25">
      <c r="B7704"/>
      <c r="Z7704"/>
    </row>
    <row r="7705" spans="2:26" x14ac:dyDescent="0.25">
      <c r="B7705"/>
      <c r="Z7705"/>
    </row>
    <row r="7706" spans="2:26" x14ac:dyDescent="0.25">
      <c r="B7706"/>
      <c r="Z7706"/>
    </row>
    <row r="7707" spans="2:26" x14ac:dyDescent="0.25">
      <c r="B7707"/>
      <c r="Z7707"/>
    </row>
    <row r="7708" spans="2:26" x14ac:dyDescent="0.25">
      <c r="B7708"/>
      <c r="Z7708"/>
    </row>
    <row r="7709" spans="2:26" x14ac:dyDescent="0.25">
      <c r="B7709"/>
      <c r="Z7709"/>
    </row>
    <row r="7710" spans="2:26" x14ac:dyDescent="0.25">
      <c r="B7710"/>
      <c r="Z7710"/>
    </row>
    <row r="7711" spans="2:26" x14ac:dyDescent="0.25">
      <c r="B7711"/>
      <c r="Z7711"/>
    </row>
    <row r="7712" spans="2:26" x14ac:dyDescent="0.25">
      <c r="B7712"/>
      <c r="Z7712"/>
    </row>
    <row r="7713" spans="2:26" x14ac:dyDescent="0.25">
      <c r="B7713"/>
      <c r="Z7713"/>
    </row>
    <row r="7714" spans="2:26" x14ac:dyDescent="0.25">
      <c r="B7714"/>
      <c r="Z7714"/>
    </row>
    <row r="7715" spans="2:26" x14ac:dyDescent="0.25">
      <c r="B7715"/>
      <c r="Z7715"/>
    </row>
    <row r="7716" spans="2:26" x14ac:dyDescent="0.25">
      <c r="B7716"/>
      <c r="Z7716"/>
    </row>
    <row r="7717" spans="2:26" x14ac:dyDescent="0.25">
      <c r="B7717"/>
      <c r="Z7717"/>
    </row>
    <row r="7718" spans="2:26" x14ac:dyDescent="0.25">
      <c r="B7718"/>
      <c r="Z7718"/>
    </row>
    <row r="7719" spans="2:26" x14ac:dyDescent="0.25">
      <c r="B7719"/>
      <c r="Z7719"/>
    </row>
    <row r="7720" spans="2:26" x14ac:dyDescent="0.25">
      <c r="B7720"/>
      <c r="Z7720"/>
    </row>
    <row r="7721" spans="2:26" x14ac:dyDescent="0.25">
      <c r="B7721"/>
      <c r="Z7721"/>
    </row>
    <row r="7722" spans="2:26" x14ac:dyDescent="0.25">
      <c r="B7722"/>
      <c r="Z7722"/>
    </row>
    <row r="7723" spans="2:26" x14ac:dyDescent="0.25">
      <c r="B7723"/>
      <c r="Z7723"/>
    </row>
    <row r="7724" spans="2:26" x14ac:dyDescent="0.25">
      <c r="B7724"/>
      <c r="Z7724"/>
    </row>
    <row r="7725" spans="2:26" x14ac:dyDescent="0.25">
      <c r="B7725"/>
      <c r="Z7725"/>
    </row>
    <row r="7726" spans="2:26" x14ac:dyDescent="0.25">
      <c r="B7726"/>
      <c r="Z7726"/>
    </row>
    <row r="7727" spans="2:26" x14ac:dyDescent="0.25">
      <c r="B7727"/>
      <c r="Z7727"/>
    </row>
    <row r="7728" spans="2:26" x14ac:dyDescent="0.25">
      <c r="B7728"/>
      <c r="Z7728"/>
    </row>
    <row r="7729" spans="2:26" x14ac:dyDescent="0.25">
      <c r="B7729"/>
      <c r="Z7729"/>
    </row>
    <row r="7730" spans="2:26" x14ac:dyDescent="0.25">
      <c r="B7730"/>
      <c r="Z7730"/>
    </row>
    <row r="7731" spans="2:26" x14ac:dyDescent="0.25">
      <c r="B7731"/>
      <c r="Z7731"/>
    </row>
    <row r="7732" spans="2:26" x14ac:dyDescent="0.25">
      <c r="B7732"/>
      <c r="Z7732"/>
    </row>
    <row r="7733" spans="2:26" x14ac:dyDescent="0.25">
      <c r="B7733"/>
      <c r="Z7733"/>
    </row>
    <row r="7734" spans="2:26" x14ac:dyDescent="0.25">
      <c r="B7734"/>
      <c r="Z7734"/>
    </row>
    <row r="7735" spans="2:26" x14ac:dyDescent="0.25">
      <c r="B7735"/>
      <c r="Z7735"/>
    </row>
    <row r="7736" spans="2:26" x14ac:dyDescent="0.25">
      <c r="B7736"/>
      <c r="Z7736"/>
    </row>
    <row r="7737" spans="2:26" x14ac:dyDescent="0.25">
      <c r="B7737"/>
      <c r="Z7737"/>
    </row>
    <row r="7738" spans="2:26" x14ac:dyDescent="0.25">
      <c r="B7738"/>
      <c r="Z7738"/>
    </row>
    <row r="7739" spans="2:26" x14ac:dyDescent="0.25">
      <c r="B7739"/>
      <c r="Z7739"/>
    </row>
    <row r="7740" spans="2:26" x14ac:dyDescent="0.25">
      <c r="B7740"/>
      <c r="Z7740"/>
    </row>
    <row r="7741" spans="2:26" x14ac:dyDescent="0.25">
      <c r="B7741"/>
      <c r="Z7741"/>
    </row>
    <row r="7742" spans="2:26" x14ac:dyDescent="0.25">
      <c r="B7742"/>
      <c r="Z7742"/>
    </row>
    <row r="7743" spans="2:26" x14ac:dyDescent="0.25">
      <c r="B7743"/>
      <c r="Z7743"/>
    </row>
    <row r="7744" spans="2:26" x14ac:dyDescent="0.25">
      <c r="B7744"/>
      <c r="Z7744"/>
    </row>
    <row r="7745" spans="2:26" x14ac:dyDescent="0.25">
      <c r="B7745"/>
      <c r="Z7745"/>
    </row>
    <row r="7746" spans="2:26" x14ac:dyDescent="0.25">
      <c r="B7746"/>
      <c r="Z7746"/>
    </row>
    <row r="7747" spans="2:26" x14ac:dyDescent="0.25">
      <c r="B7747"/>
      <c r="Z7747"/>
    </row>
    <row r="7748" spans="2:26" x14ac:dyDescent="0.25">
      <c r="B7748"/>
      <c r="Z7748"/>
    </row>
    <row r="7749" spans="2:26" x14ac:dyDescent="0.25">
      <c r="B7749"/>
      <c r="Z7749"/>
    </row>
    <row r="7750" spans="2:26" x14ac:dyDescent="0.25">
      <c r="B7750"/>
      <c r="Z7750"/>
    </row>
    <row r="7751" spans="2:26" x14ac:dyDescent="0.25">
      <c r="B7751"/>
      <c r="Z7751"/>
    </row>
    <row r="7752" spans="2:26" x14ac:dyDescent="0.25">
      <c r="B7752"/>
      <c r="Z7752"/>
    </row>
    <row r="7753" spans="2:26" x14ac:dyDescent="0.25">
      <c r="B7753"/>
      <c r="Z7753"/>
    </row>
    <row r="7754" spans="2:26" x14ac:dyDescent="0.25">
      <c r="B7754"/>
      <c r="Z7754"/>
    </row>
    <row r="7755" spans="2:26" x14ac:dyDescent="0.25">
      <c r="B7755"/>
      <c r="Z7755"/>
    </row>
    <row r="7756" spans="2:26" x14ac:dyDescent="0.25">
      <c r="B7756"/>
      <c r="K7756" s="6"/>
      <c r="Z7756"/>
    </row>
    <row r="7757" spans="2:26" x14ac:dyDescent="0.25">
      <c r="B7757"/>
      <c r="Z7757"/>
    </row>
    <row r="7758" spans="2:26" x14ac:dyDescent="0.25">
      <c r="B7758"/>
      <c r="Z7758"/>
    </row>
    <row r="7759" spans="2:26" x14ac:dyDescent="0.25">
      <c r="B7759"/>
      <c r="Z7759"/>
    </row>
    <row r="7760" spans="2:26" x14ac:dyDescent="0.25">
      <c r="B7760"/>
      <c r="Z7760"/>
    </row>
    <row r="7761" spans="1:33" x14ac:dyDescent="0.25">
      <c r="B7761"/>
      <c r="Z7761"/>
    </row>
    <row r="7762" spans="1:33" x14ac:dyDescent="0.25">
      <c r="B7762"/>
      <c r="Z7762"/>
    </row>
    <row r="7763" spans="1:33" x14ac:dyDescent="0.25">
      <c r="B7763"/>
      <c r="Z7763"/>
    </row>
    <row r="7764" spans="1:33" x14ac:dyDescent="0.25">
      <c r="B7764"/>
      <c r="Z7764"/>
    </row>
    <row r="7765" spans="1:33" x14ac:dyDescent="0.25">
      <c r="B7765"/>
      <c r="Z7765"/>
    </row>
    <row r="7766" spans="1:33" x14ac:dyDescent="0.25">
      <c r="B7766"/>
      <c r="Z7766"/>
    </row>
    <row r="7767" spans="1:33" x14ac:dyDescent="0.25">
      <c r="A7767" s="6"/>
      <c r="B7767" s="6"/>
      <c r="C7767" s="6"/>
      <c r="D7767" s="6"/>
      <c r="E7767" s="6"/>
      <c r="F7767" s="6"/>
      <c r="G7767" s="6"/>
      <c r="H7767" s="6"/>
      <c r="I7767" s="6"/>
      <c r="J7767" s="6"/>
      <c r="K7767" s="6"/>
      <c r="L7767" s="6"/>
      <c r="M7767" s="6"/>
      <c r="N7767" s="6"/>
      <c r="O7767" s="6"/>
      <c r="P7767" s="6"/>
      <c r="Q7767" s="6"/>
      <c r="R7767" s="6"/>
      <c r="S7767" s="6"/>
      <c r="T7767" s="6"/>
      <c r="U7767" s="6"/>
      <c r="V7767" s="6"/>
      <c r="W7767" s="6"/>
      <c r="X7767" s="6"/>
      <c r="Y7767" s="6"/>
      <c r="Z7767" s="6"/>
      <c r="AA7767" s="6"/>
      <c r="AB7767" s="6"/>
      <c r="AC7767" s="6"/>
      <c r="AD7767" s="6"/>
      <c r="AE7767" s="6"/>
      <c r="AF7767" s="6"/>
      <c r="AG7767" s="6"/>
    </row>
    <row r="7768" spans="1:33" x14ac:dyDescent="0.25">
      <c r="B7768"/>
      <c r="Z7768"/>
    </row>
    <row r="7769" spans="1:33" x14ac:dyDescent="0.25">
      <c r="B7769"/>
      <c r="Z7769"/>
    </row>
    <row r="7770" spans="1:33" x14ac:dyDescent="0.25">
      <c r="B7770"/>
      <c r="Z7770"/>
    </row>
    <row r="7771" spans="1:33" x14ac:dyDescent="0.25">
      <c r="B7771"/>
      <c r="Z7771"/>
    </row>
    <row r="7772" spans="1:33" x14ac:dyDescent="0.25">
      <c r="B7772"/>
      <c r="Z7772"/>
    </row>
    <row r="7773" spans="1:33" x14ac:dyDescent="0.25">
      <c r="B7773"/>
      <c r="Z7773"/>
    </row>
    <row r="7774" spans="1:33" x14ac:dyDescent="0.25">
      <c r="B7774"/>
      <c r="Z7774"/>
    </row>
    <row r="7775" spans="1:33" x14ac:dyDescent="0.25">
      <c r="B7775"/>
      <c r="Z7775"/>
    </row>
    <row r="7776" spans="1:33" x14ac:dyDescent="0.25">
      <c r="B7776"/>
      <c r="Z7776"/>
    </row>
    <row r="7777" spans="2:26" x14ac:dyDescent="0.25">
      <c r="B7777"/>
      <c r="Z7777"/>
    </row>
    <row r="7778" spans="2:26" x14ac:dyDescent="0.25">
      <c r="B7778"/>
      <c r="Z7778"/>
    </row>
    <row r="7779" spans="2:26" x14ac:dyDescent="0.25">
      <c r="B7779"/>
      <c r="Z7779"/>
    </row>
    <row r="7780" spans="2:26" x14ac:dyDescent="0.25">
      <c r="B7780"/>
      <c r="Z7780"/>
    </row>
    <row r="7781" spans="2:26" x14ac:dyDescent="0.25">
      <c r="B7781"/>
      <c r="Z7781"/>
    </row>
    <row r="7782" spans="2:26" x14ac:dyDescent="0.25">
      <c r="B7782"/>
      <c r="Z7782"/>
    </row>
    <row r="7783" spans="2:26" x14ac:dyDescent="0.25">
      <c r="B7783"/>
      <c r="Z7783"/>
    </row>
    <row r="7784" spans="2:26" x14ac:dyDescent="0.25">
      <c r="B7784"/>
      <c r="Z7784"/>
    </row>
    <row r="7785" spans="2:26" x14ac:dyDescent="0.25">
      <c r="B7785"/>
      <c r="Z7785"/>
    </row>
    <row r="7786" spans="2:26" x14ac:dyDescent="0.25">
      <c r="B7786"/>
      <c r="Z7786"/>
    </row>
    <row r="7787" spans="2:26" x14ac:dyDescent="0.25">
      <c r="B7787"/>
      <c r="Z7787"/>
    </row>
    <row r="7788" spans="2:26" x14ac:dyDescent="0.25">
      <c r="B7788"/>
      <c r="Z7788"/>
    </row>
    <row r="7789" spans="2:26" x14ac:dyDescent="0.25">
      <c r="B7789"/>
      <c r="Z7789"/>
    </row>
    <row r="7790" spans="2:26" x14ac:dyDescent="0.25">
      <c r="B7790"/>
      <c r="Z7790"/>
    </row>
    <row r="7791" spans="2:26" x14ac:dyDescent="0.25">
      <c r="B7791"/>
      <c r="Z7791"/>
    </row>
    <row r="7792" spans="2:26" x14ac:dyDescent="0.25">
      <c r="B7792"/>
      <c r="Z7792"/>
    </row>
    <row r="7793" spans="2:26" x14ac:dyDescent="0.25">
      <c r="B7793"/>
      <c r="Z7793"/>
    </row>
    <row r="7794" spans="2:26" x14ac:dyDescent="0.25">
      <c r="B7794"/>
      <c r="Z7794"/>
    </row>
    <row r="7795" spans="2:26" x14ac:dyDescent="0.25">
      <c r="B7795"/>
      <c r="Z7795"/>
    </row>
    <row r="7796" spans="2:26" x14ac:dyDescent="0.25">
      <c r="B7796"/>
      <c r="Z7796"/>
    </row>
    <row r="7797" spans="2:26" x14ac:dyDescent="0.25">
      <c r="B7797"/>
      <c r="Z7797"/>
    </row>
    <row r="7798" spans="2:26" x14ac:dyDescent="0.25">
      <c r="B7798"/>
      <c r="Z7798"/>
    </row>
    <row r="7799" spans="2:26" x14ac:dyDescent="0.25">
      <c r="B7799"/>
      <c r="Z7799"/>
    </row>
    <row r="7800" spans="2:26" x14ac:dyDescent="0.25">
      <c r="B7800"/>
      <c r="Z7800"/>
    </row>
    <row r="7801" spans="2:26" x14ac:dyDescent="0.25">
      <c r="B7801"/>
      <c r="Z7801"/>
    </row>
    <row r="7802" spans="2:26" x14ac:dyDescent="0.25">
      <c r="B7802"/>
      <c r="Z7802"/>
    </row>
    <row r="7803" spans="2:26" x14ac:dyDescent="0.25">
      <c r="B7803"/>
      <c r="Z7803"/>
    </row>
    <row r="7804" spans="2:26" x14ac:dyDescent="0.25">
      <c r="B7804"/>
      <c r="Z7804"/>
    </row>
    <row r="7805" spans="2:26" x14ac:dyDescent="0.25">
      <c r="B7805"/>
      <c r="Z7805"/>
    </row>
    <row r="7806" spans="2:26" x14ac:dyDescent="0.25">
      <c r="B7806"/>
      <c r="Z7806"/>
    </row>
    <row r="7807" spans="2:26" x14ac:dyDescent="0.25">
      <c r="B7807"/>
      <c r="Z7807"/>
    </row>
    <row r="7808" spans="2:26" x14ac:dyDescent="0.25">
      <c r="B7808"/>
      <c r="Z7808"/>
    </row>
    <row r="7809" spans="2:26" x14ac:dyDescent="0.25">
      <c r="B7809"/>
      <c r="Z7809"/>
    </row>
    <row r="7810" spans="2:26" x14ac:dyDescent="0.25">
      <c r="B7810"/>
      <c r="Z7810"/>
    </row>
    <row r="7811" spans="2:26" x14ac:dyDescent="0.25">
      <c r="B7811"/>
      <c r="Z7811"/>
    </row>
    <row r="7812" spans="2:26" x14ac:dyDescent="0.25">
      <c r="B7812"/>
      <c r="Z7812"/>
    </row>
    <row r="7813" spans="2:26" x14ac:dyDescent="0.25">
      <c r="B7813"/>
      <c r="Z7813"/>
    </row>
    <row r="7814" spans="2:26" x14ac:dyDescent="0.25">
      <c r="B7814"/>
      <c r="Z7814"/>
    </row>
    <row r="7815" spans="2:26" x14ac:dyDescent="0.25">
      <c r="B7815"/>
      <c r="Z7815"/>
    </row>
    <row r="7816" spans="2:26" x14ac:dyDescent="0.25">
      <c r="B7816"/>
      <c r="Z7816"/>
    </row>
    <row r="7817" spans="2:26" x14ac:dyDescent="0.25">
      <c r="B7817"/>
      <c r="Z7817"/>
    </row>
    <row r="7818" spans="2:26" x14ac:dyDescent="0.25">
      <c r="B7818"/>
      <c r="Z7818"/>
    </row>
    <row r="7819" spans="2:26" x14ac:dyDescent="0.25">
      <c r="B7819"/>
      <c r="Z7819"/>
    </row>
    <row r="7820" spans="2:26" x14ac:dyDescent="0.25">
      <c r="B7820"/>
      <c r="Z7820"/>
    </row>
    <row r="7821" spans="2:26" x14ac:dyDescent="0.25">
      <c r="B7821"/>
      <c r="Z7821"/>
    </row>
    <row r="7822" spans="2:26" x14ac:dyDescent="0.25">
      <c r="B7822"/>
      <c r="Z7822"/>
    </row>
    <row r="7823" spans="2:26" x14ac:dyDescent="0.25">
      <c r="B7823"/>
      <c r="Z7823"/>
    </row>
    <row r="7824" spans="2:26" x14ac:dyDescent="0.25">
      <c r="B7824"/>
      <c r="Z7824"/>
    </row>
    <row r="7825" spans="2:26" x14ac:dyDescent="0.25">
      <c r="B7825"/>
      <c r="Z7825"/>
    </row>
    <row r="7826" spans="2:26" x14ac:dyDescent="0.25">
      <c r="B7826"/>
      <c r="Z7826"/>
    </row>
    <row r="7827" spans="2:26" x14ac:dyDescent="0.25">
      <c r="B7827"/>
      <c r="Z7827"/>
    </row>
    <row r="7828" spans="2:26" x14ac:dyDescent="0.25">
      <c r="B7828"/>
      <c r="Z7828"/>
    </row>
    <row r="7829" spans="2:26" x14ac:dyDescent="0.25">
      <c r="B7829"/>
      <c r="Z7829"/>
    </row>
    <row r="7830" spans="2:26" x14ac:dyDescent="0.25">
      <c r="B7830"/>
      <c r="Z7830"/>
    </row>
    <row r="7831" spans="2:26" x14ac:dyDescent="0.25">
      <c r="B7831"/>
      <c r="Z7831"/>
    </row>
    <row r="7832" spans="2:26" x14ac:dyDescent="0.25">
      <c r="B7832"/>
      <c r="Z7832"/>
    </row>
    <row r="7833" spans="2:26" x14ac:dyDescent="0.25">
      <c r="B7833"/>
      <c r="Z7833"/>
    </row>
    <row r="7834" spans="2:26" x14ac:dyDescent="0.25">
      <c r="B7834"/>
      <c r="Z7834"/>
    </row>
    <row r="7835" spans="2:26" x14ac:dyDescent="0.25">
      <c r="B7835"/>
      <c r="Z7835"/>
    </row>
    <row r="7836" spans="2:26" x14ac:dyDescent="0.25">
      <c r="B7836"/>
      <c r="Z7836"/>
    </row>
    <row r="7837" spans="2:26" x14ac:dyDescent="0.25">
      <c r="B7837"/>
      <c r="Z7837"/>
    </row>
    <row r="7838" spans="2:26" x14ac:dyDescent="0.25">
      <c r="B7838"/>
      <c r="Z7838"/>
    </row>
    <row r="7839" spans="2:26" x14ac:dyDescent="0.25">
      <c r="B7839"/>
      <c r="Z7839"/>
    </row>
    <row r="7840" spans="2:26" x14ac:dyDescent="0.25">
      <c r="B7840"/>
      <c r="Z7840"/>
    </row>
    <row r="7841" spans="2:26" x14ac:dyDescent="0.25">
      <c r="B7841"/>
      <c r="Z7841"/>
    </row>
    <row r="7842" spans="2:26" x14ac:dyDescent="0.25">
      <c r="B7842"/>
      <c r="Z7842"/>
    </row>
    <row r="7843" spans="2:26" x14ac:dyDescent="0.25">
      <c r="B7843"/>
      <c r="Z7843"/>
    </row>
    <row r="7844" spans="2:26" x14ac:dyDescent="0.25">
      <c r="B7844"/>
      <c r="Z7844"/>
    </row>
    <row r="7845" spans="2:26" x14ac:dyDescent="0.25">
      <c r="B7845"/>
      <c r="Z7845"/>
    </row>
    <row r="7846" spans="2:26" x14ac:dyDescent="0.25">
      <c r="B7846"/>
      <c r="Z7846"/>
    </row>
    <row r="7847" spans="2:26" x14ac:dyDescent="0.25">
      <c r="B7847"/>
      <c r="Z7847"/>
    </row>
    <row r="7848" spans="2:26" x14ac:dyDescent="0.25">
      <c r="B7848"/>
      <c r="Z7848"/>
    </row>
    <row r="7849" spans="2:26" x14ac:dyDescent="0.25">
      <c r="B7849"/>
      <c r="Z7849"/>
    </row>
    <row r="7850" spans="2:26" x14ac:dyDescent="0.25">
      <c r="B7850"/>
      <c r="Z7850"/>
    </row>
    <row r="7851" spans="2:26" x14ac:dyDescent="0.25">
      <c r="B7851"/>
      <c r="Z7851"/>
    </row>
    <row r="7852" spans="2:26" x14ac:dyDescent="0.25">
      <c r="B7852"/>
      <c r="Z7852"/>
    </row>
    <row r="7853" spans="2:26" x14ac:dyDescent="0.25">
      <c r="B7853"/>
      <c r="Z7853"/>
    </row>
    <row r="7854" spans="2:26" x14ac:dyDescent="0.25">
      <c r="B7854"/>
      <c r="Z7854"/>
    </row>
    <row r="7855" spans="2:26" x14ac:dyDescent="0.25">
      <c r="B7855"/>
      <c r="Z7855"/>
    </row>
    <row r="7856" spans="2:26" x14ac:dyDescent="0.25">
      <c r="B7856"/>
      <c r="Z7856"/>
    </row>
    <row r="7857" spans="1:33" x14ac:dyDescent="0.25">
      <c r="B7857"/>
      <c r="Z7857"/>
    </row>
    <row r="7858" spans="1:33" x14ac:dyDescent="0.25">
      <c r="B7858"/>
      <c r="Z7858"/>
    </row>
    <row r="7859" spans="1:33" x14ac:dyDescent="0.25">
      <c r="B7859"/>
      <c r="Z7859"/>
    </row>
    <row r="7860" spans="1:33" x14ac:dyDescent="0.25">
      <c r="B7860"/>
      <c r="Z7860"/>
    </row>
    <row r="7861" spans="1:33" x14ac:dyDescent="0.25">
      <c r="B7861"/>
      <c r="Z7861"/>
    </row>
    <row r="7862" spans="1:33" x14ac:dyDescent="0.25">
      <c r="B7862"/>
      <c r="K7862" s="6"/>
      <c r="Z7862"/>
    </row>
    <row r="7863" spans="1:33" x14ac:dyDescent="0.25">
      <c r="B7863"/>
      <c r="Z7863"/>
    </row>
    <row r="7864" spans="1:33" x14ac:dyDescent="0.25">
      <c r="B7864"/>
      <c r="Z7864"/>
    </row>
    <row r="7865" spans="1:33" x14ac:dyDescent="0.25">
      <c r="B7865"/>
      <c r="Z7865"/>
    </row>
    <row r="7866" spans="1:33" x14ac:dyDescent="0.25">
      <c r="B7866"/>
      <c r="Z7866"/>
    </row>
    <row r="7867" spans="1:33" x14ac:dyDescent="0.25">
      <c r="B7867"/>
      <c r="Z7867"/>
    </row>
    <row r="7868" spans="1:33" x14ac:dyDescent="0.25">
      <c r="B7868"/>
      <c r="Z7868"/>
    </row>
    <row r="7869" spans="1:33" x14ac:dyDescent="0.25">
      <c r="B7869"/>
      <c r="Z7869"/>
    </row>
    <row r="7870" spans="1:33" x14ac:dyDescent="0.25">
      <c r="B7870"/>
      <c r="Z7870"/>
    </row>
    <row r="7871" spans="1:33" x14ac:dyDescent="0.25">
      <c r="B7871"/>
      <c r="Z7871"/>
    </row>
    <row r="7872" spans="1:33" x14ac:dyDescent="0.25">
      <c r="A7872" s="6"/>
      <c r="B7872" s="6"/>
      <c r="C7872" s="6"/>
      <c r="D7872" s="6"/>
      <c r="E7872" s="6"/>
      <c r="F7872" s="6"/>
      <c r="G7872" s="6"/>
      <c r="H7872" s="6"/>
      <c r="I7872" s="6"/>
      <c r="J7872" s="6"/>
      <c r="K7872" s="6"/>
      <c r="L7872" s="6"/>
      <c r="M7872" s="6"/>
      <c r="N7872" s="6"/>
      <c r="O7872" s="6"/>
      <c r="P7872" s="6"/>
      <c r="Q7872" s="6"/>
      <c r="R7872" s="6"/>
      <c r="S7872" s="6"/>
      <c r="T7872" s="6"/>
      <c r="U7872" s="6"/>
      <c r="V7872" s="6"/>
      <c r="W7872" s="6"/>
      <c r="X7872" s="6"/>
      <c r="Y7872" s="6"/>
      <c r="Z7872" s="6"/>
      <c r="AA7872" s="6"/>
      <c r="AB7872" s="6"/>
      <c r="AC7872" s="6"/>
      <c r="AD7872" s="6"/>
      <c r="AE7872" s="6"/>
      <c r="AF7872" s="6"/>
      <c r="AG7872" s="6"/>
    </row>
    <row r="7873" spans="2:26" x14ac:dyDescent="0.25">
      <c r="B7873"/>
      <c r="Z7873"/>
    </row>
    <row r="7874" spans="2:26" x14ac:dyDescent="0.25">
      <c r="B7874"/>
      <c r="Z7874"/>
    </row>
    <row r="7875" spans="2:26" x14ac:dyDescent="0.25">
      <c r="B7875"/>
      <c r="Z7875"/>
    </row>
    <row r="7876" spans="2:26" x14ac:dyDescent="0.25">
      <c r="B7876"/>
      <c r="Z7876"/>
    </row>
    <row r="7877" spans="2:26" x14ac:dyDescent="0.25">
      <c r="B7877"/>
      <c r="Z7877"/>
    </row>
    <row r="7878" spans="2:26" x14ac:dyDescent="0.25">
      <c r="B7878"/>
      <c r="Z7878"/>
    </row>
    <row r="7879" spans="2:26" x14ac:dyDescent="0.25">
      <c r="B7879"/>
      <c r="Z7879"/>
    </row>
    <row r="7880" spans="2:26" x14ac:dyDescent="0.25">
      <c r="B7880"/>
      <c r="Z7880"/>
    </row>
    <row r="7881" spans="2:26" x14ac:dyDescent="0.25">
      <c r="B7881"/>
      <c r="Z7881"/>
    </row>
    <row r="7882" spans="2:26" x14ac:dyDescent="0.25">
      <c r="B7882"/>
      <c r="Z7882"/>
    </row>
    <row r="7883" spans="2:26" x14ac:dyDescent="0.25">
      <c r="B7883"/>
      <c r="Z7883"/>
    </row>
    <row r="7884" spans="2:26" x14ac:dyDescent="0.25">
      <c r="B7884"/>
      <c r="Z7884"/>
    </row>
    <row r="7885" spans="2:26" x14ac:dyDescent="0.25">
      <c r="B7885"/>
      <c r="Z7885"/>
    </row>
    <row r="7886" spans="2:26" x14ac:dyDescent="0.25">
      <c r="B7886"/>
      <c r="Z7886"/>
    </row>
    <row r="7887" spans="2:26" x14ac:dyDescent="0.25">
      <c r="B7887"/>
      <c r="Z7887"/>
    </row>
    <row r="7888" spans="2:26" x14ac:dyDescent="0.25">
      <c r="B7888"/>
      <c r="Z7888"/>
    </row>
    <row r="7889" spans="2:26" x14ac:dyDescent="0.25">
      <c r="B7889"/>
      <c r="Z7889"/>
    </row>
    <row r="7890" spans="2:26" x14ac:dyDescent="0.25">
      <c r="B7890"/>
      <c r="Z7890"/>
    </row>
    <row r="7891" spans="2:26" x14ac:dyDescent="0.25">
      <c r="B7891"/>
      <c r="Z7891"/>
    </row>
    <row r="7892" spans="2:26" x14ac:dyDescent="0.25">
      <c r="B7892"/>
      <c r="Z7892"/>
    </row>
    <row r="7893" spans="2:26" x14ac:dyDescent="0.25">
      <c r="B7893"/>
      <c r="Z7893"/>
    </row>
    <row r="7894" spans="2:26" x14ac:dyDescent="0.25">
      <c r="B7894"/>
      <c r="Z7894"/>
    </row>
    <row r="7895" spans="2:26" x14ac:dyDescent="0.25">
      <c r="B7895"/>
      <c r="Z7895"/>
    </row>
    <row r="7896" spans="2:26" x14ac:dyDescent="0.25">
      <c r="B7896"/>
      <c r="Z7896"/>
    </row>
    <row r="7897" spans="2:26" x14ac:dyDescent="0.25">
      <c r="B7897"/>
      <c r="Z7897"/>
    </row>
    <row r="7898" spans="2:26" x14ac:dyDescent="0.25">
      <c r="B7898"/>
      <c r="Z7898"/>
    </row>
    <row r="7899" spans="2:26" x14ac:dyDescent="0.25">
      <c r="B7899"/>
      <c r="Z7899"/>
    </row>
    <row r="7900" spans="2:26" x14ac:dyDescent="0.25">
      <c r="B7900"/>
      <c r="Z7900"/>
    </row>
    <row r="7901" spans="2:26" x14ac:dyDescent="0.25">
      <c r="B7901"/>
      <c r="Z7901"/>
    </row>
    <row r="7902" spans="2:26" x14ac:dyDescent="0.25">
      <c r="B7902"/>
      <c r="Z7902"/>
    </row>
    <row r="7903" spans="2:26" x14ac:dyDescent="0.25">
      <c r="B7903"/>
      <c r="Z7903"/>
    </row>
    <row r="7904" spans="2:26" x14ac:dyDescent="0.25">
      <c r="B7904"/>
      <c r="Z7904"/>
    </row>
    <row r="7905" spans="2:26" x14ac:dyDescent="0.25">
      <c r="B7905"/>
      <c r="Z7905"/>
    </row>
    <row r="7906" spans="2:26" x14ac:dyDescent="0.25">
      <c r="B7906"/>
      <c r="Z7906"/>
    </row>
    <row r="7907" spans="2:26" x14ac:dyDescent="0.25">
      <c r="B7907"/>
      <c r="Z7907"/>
    </row>
    <row r="7908" spans="2:26" x14ac:dyDescent="0.25">
      <c r="B7908"/>
      <c r="Z7908"/>
    </row>
    <row r="7909" spans="2:26" x14ac:dyDescent="0.25">
      <c r="B7909"/>
      <c r="Z7909"/>
    </row>
    <row r="7910" spans="2:26" x14ac:dyDescent="0.25">
      <c r="B7910"/>
      <c r="Z7910"/>
    </row>
    <row r="7911" spans="2:26" x14ac:dyDescent="0.25">
      <c r="B7911"/>
      <c r="Z7911"/>
    </row>
    <row r="7912" spans="2:26" x14ac:dyDescent="0.25">
      <c r="B7912"/>
      <c r="Z7912"/>
    </row>
    <row r="7913" spans="2:26" x14ac:dyDescent="0.25">
      <c r="B7913"/>
      <c r="Z7913"/>
    </row>
    <row r="7914" spans="2:26" x14ac:dyDescent="0.25">
      <c r="B7914"/>
      <c r="Z7914"/>
    </row>
    <row r="7915" spans="2:26" x14ac:dyDescent="0.25">
      <c r="B7915"/>
      <c r="Z7915"/>
    </row>
    <row r="7916" spans="2:26" x14ac:dyDescent="0.25">
      <c r="B7916"/>
      <c r="Z7916"/>
    </row>
    <row r="7917" spans="2:26" x14ac:dyDescent="0.25">
      <c r="B7917"/>
      <c r="Z7917"/>
    </row>
    <row r="7918" spans="2:26" x14ac:dyDescent="0.25">
      <c r="B7918"/>
      <c r="Z7918"/>
    </row>
    <row r="7919" spans="2:26" x14ac:dyDescent="0.25">
      <c r="B7919"/>
      <c r="Z7919"/>
    </row>
    <row r="7920" spans="2:26" x14ac:dyDescent="0.25">
      <c r="B7920"/>
      <c r="Z7920"/>
    </row>
    <row r="7921" spans="2:26" x14ac:dyDescent="0.25">
      <c r="B7921"/>
      <c r="Z7921"/>
    </row>
    <row r="7922" spans="2:26" x14ac:dyDescent="0.25">
      <c r="B7922"/>
      <c r="Z7922"/>
    </row>
    <row r="7923" spans="2:26" x14ac:dyDescent="0.25">
      <c r="B7923"/>
      <c r="Z7923"/>
    </row>
    <row r="7924" spans="2:26" x14ac:dyDescent="0.25">
      <c r="B7924"/>
      <c r="Z7924"/>
    </row>
    <row r="7925" spans="2:26" x14ac:dyDescent="0.25">
      <c r="B7925"/>
      <c r="Z7925"/>
    </row>
    <row r="7926" spans="2:26" x14ac:dyDescent="0.25">
      <c r="B7926"/>
      <c r="Z7926"/>
    </row>
    <row r="7927" spans="2:26" x14ac:dyDescent="0.25">
      <c r="B7927"/>
      <c r="Z7927"/>
    </row>
    <row r="7928" spans="2:26" x14ac:dyDescent="0.25">
      <c r="B7928"/>
      <c r="Z7928"/>
    </row>
    <row r="7929" spans="2:26" x14ac:dyDescent="0.25">
      <c r="B7929"/>
      <c r="Z7929"/>
    </row>
    <row r="7930" spans="2:26" x14ac:dyDescent="0.25">
      <c r="B7930"/>
      <c r="Z7930"/>
    </row>
    <row r="7931" spans="2:26" x14ac:dyDescent="0.25">
      <c r="B7931"/>
      <c r="Z7931"/>
    </row>
    <row r="7932" spans="2:26" x14ac:dyDescent="0.25">
      <c r="B7932"/>
      <c r="Z7932"/>
    </row>
    <row r="7933" spans="2:26" x14ac:dyDescent="0.25">
      <c r="B7933"/>
      <c r="Z7933"/>
    </row>
    <row r="7934" spans="2:26" x14ac:dyDescent="0.25">
      <c r="B7934"/>
      <c r="Z7934"/>
    </row>
    <row r="7935" spans="2:26" x14ac:dyDescent="0.25">
      <c r="B7935"/>
      <c r="Z7935"/>
    </row>
    <row r="7936" spans="2:26" x14ac:dyDescent="0.25">
      <c r="B7936"/>
      <c r="Z7936"/>
    </row>
    <row r="7937" spans="2:26" x14ac:dyDescent="0.25">
      <c r="B7937"/>
      <c r="Z7937"/>
    </row>
    <row r="7938" spans="2:26" x14ac:dyDescent="0.25">
      <c r="B7938"/>
      <c r="Z7938"/>
    </row>
    <row r="7939" spans="2:26" x14ac:dyDescent="0.25">
      <c r="B7939"/>
      <c r="Z7939"/>
    </row>
    <row r="7940" spans="2:26" x14ac:dyDescent="0.25">
      <c r="B7940"/>
      <c r="Z7940"/>
    </row>
    <row r="7941" spans="2:26" x14ac:dyDescent="0.25">
      <c r="B7941"/>
      <c r="Z7941"/>
    </row>
    <row r="7942" spans="2:26" x14ac:dyDescent="0.25">
      <c r="B7942"/>
      <c r="Z7942"/>
    </row>
    <row r="7943" spans="2:26" x14ac:dyDescent="0.25">
      <c r="B7943"/>
      <c r="Z7943"/>
    </row>
    <row r="7944" spans="2:26" x14ac:dyDescent="0.25">
      <c r="B7944"/>
      <c r="Z7944"/>
    </row>
    <row r="7945" spans="2:26" x14ac:dyDescent="0.25">
      <c r="B7945"/>
      <c r="Z7945"/>
    </row>
    <row r="7946" spans="2:26" x14ac:dyDescent="0.25">
      <c r="B7946"/>
      <c r="Z7946"/>
    </row>
    <row r="7947" spans="2:26" x14ac:dyDescent="0.25">
      <c r="B7947"/>
      <c r="Z7947"/>
    </row>
    <row r="7948" spans="2:26" x14ac:dyDescent="0.25">
      <c r="B7948"/>
      <c r="Z7948"/>
    </row>
    <row r="7949" spans="2:26" x14ac:dyDescent="0.25">
      <c r="B7949"/>
      <c r="Z7949"/>
    </row>
    <row r="7950" spans="2:26" x14ac:dyDescent="0.25">
      <c r="B7950"/>
      <c r="Z7950"/>
    </row>
    <row r="7951" spans="2:26" x14ac:dyDescent="0.25">
      <c r="B7951"/>
      <c r="Z7951"/>
    </row>
    <row r="7952" spans="2:26" x14ac:dyDescent="0.25">
      <c r="B7952"/>
      <c r="Z7952"/>
    </row>
    <row r="7953" spans="2:26" x14ac:dyDescent="0.25">
      <c r="B7953"/>
      <c r="Z7953"/>
    </row>
    <row r="7954" spans="2:26" x14ac:dyDescent="0.25">
      <c r="B7954"/>
      <c r="Z7954"/>
    </row>
    <row r="7955" spans="2:26" x14ac:dyDescent="0.25">
      <c r="B7955"/>
      <c r="Z7955"/>
    </row>
    <row r="7956" spans="2:26" x14ac:dyDescent="0.25">
      <c r="B7956"/>
      <c r="Z7956"/>
    </row>
    <row r="7957" spans="2:26" x14ac:dyDescent="0.25">
      <c r="B7957"/>
      <c r="Z7957"/>
    </row>
    <row r="7958" spans="2:26" x14ac:dyDescent="0.25">
      <c r="B7958"/>
      <c r="Z7958"/>
    </row>
    <row r="7959" spans="2:26" x14ac:dyDescent="0.25">
      <c r="B7959"/>
      <c r="Z7959"/>
    </row>
    <row r="7960" spans="2:26" x14ac:dyDescent="0.25">
      <c r="B7960"/>
      <c r="Z7960"/>
    </row>
    <row r="7961" spans="2:26" x14ac:dyDescent="0.25">
      <c r="B7961"/>
      <c r="Z7961"/>
    </row>
    <row r="7962" spans="2:26" x14ac:dyDescent="0.25">
      <c r="B7962"/>
      <c r="Z7962"/>
    </row>
    <row r="7963" spans="2:26" x14ac:dyDescent="0.25">
      <c r="B7963"/>
      <c r="Z7963"/>
    </row>
    <row r="7964" spans="2:26" x14ac:dyDescent="0.25">
      <c r="B7964"/>
      <c r="Z7964"/>
    </row>
    <row r="7965" spans="2:26" x14ac:dyDescent="0.25">
      <c r="B7965"/>
      <c r="Z7965"/>
    </row>
    <row r="7966" spans="2:26" x14ac:dyDescent="0.25">
      <c r="B7966"/>
      <c r="Z7966"/>
    </row>
    <row r="7967" spans="2:26" x14ac:dyDescent="0.25">
      <c r="B7967"/>
      <c r="Z7967"/>
    </row>
    <row r="7968" spans="2:26" x14ac:dyDescent="0.25">
      <c r="B7968"/>
      <c r="Z7968"/>
    </row>
    <row r="7969" spans="1:33" x14ac:dyDescent="0.25">
      <c r="B7969"/>
      <c r="Z7969"/>
    </row>
    <row r="7970" spans="1:33" x14ac:dyDescent="0.25">
      <c r="B7970"/>
      <c r="Z7970"/>
    </row>
    <row r="7971" spans="1:33" x14ac:dyDescent="0.25">
      <c r="B7971"/>
      <c r="Z7971"/>
    </row>
    <row r="7972" spans="1:33" x14ac:dyDescent="0.25">
      <c r="B7972"/>
      <c r="Z7972"/>
    </row>
    <row r="7973" spans="1:33" x14ac:dyDescent="0.25">
      <c r="B7973"/>
      <c r="Z7973"/>
    </row>
    <row r="7974" spans="1:33" x14ac:dyDescent="0.25">
      <c r="B7974"/>
      <c r="Z7974"/>
    </row>
    <row r="7975" spans="1:33" x14ac:dyDescent="0.25">
      <c r="B7975"/>
      <c r="K7975" s="6"/>
      <c r="Z7975"/>
    </row>
    <row r="7976" spans="1:33" x14ac:dyDescent="0.25">
      <c r="B7976"/>
      <c r="Z7976"/>
    </row>
    <row r="7977" spans="1:33" x14ac:dyDescent="0.25">
      <c r="A7977" s="6"/>
      <c r="B7977" s="6"/>
      <c r="C7977" s="6"/>
      <c r="D7977" s="6"/>
      <c r="E7977" s="6"/>
      <c r="F7977" s="6"/>
      <c r="G7977" s="6"/>
      <c r="H7977" s="6"/>
      <c r="I7977" s="6"/>
      <c r="J7977" s="6"/>
      <c r="K7977" s="6"/>
      <c r="L7977" s="6"/>
      <c r="M7977" s="6"/>
      <c r="N7977" s="6"/>
      <c r="O7977" s="6"/>
      <c r="P7977" s="6"/>
      <c r="Q7977" s="6"/>
      <c r="R7977" s="6"/>
      <c r="S7977" s="6"/>
      <c r="T7977" s="6"/>
      <c r="U7977" s="6"/>
      <c r="V7977" s="6"/>
      <c r="W7977" s="6"/>
      <c r="X7977" s="6"/>
      <c r="Y7977" s="6"/>
      <c r="Z7977" s="6"/>
      <c r="AA7977" s="6"/>
      <c r="AB7977" s="6"/>
      <c r="AC7977" s="6"/>
      <c r="AD7977" s="6"/>
      <c r="AE7977" s="6"/>
      <c r="AF7977" s="6"/>
      <c r="AG7977" s="6"/>
    </row>
    <row r="7978" spans="1:33" x14ac:dyDescent="0.25">
      <c r="B7978"/>
      <c r="Z7978"/>
    </row>
    <row r="7979" spans="1:33" x14ac:dyDescent="0.25">
      <c r="B7979"/>
      <c r="Z7979"/>
    </row>
    <row r="7980" spans="1:33" x14ac:dyDescent="0.25">
      <c r="B7980"/>
      <c r="Z7980"/>
    </row>
    <row r="7981" spans="1:33" x14ac:dyDescent="0.25">
      <c r="B7981"/>
      <c r="Z7981"/>
    </row>
    <row r="7982" spans="1:33" x14ac:dyDescent="0.25">
      <c r="B7982"/>
      <c r="Z7982"/>
    </row>
    <row r="7983" spans="1:33" x14ac:dyDescent="0.25">
      <c r="B7983"/>
      <c r="Z7983"/>
    </row>
    <row r="7984" spans="1:33" x14ac:dyDescent="0.25">
      <c r="B7984"/>
      <c r="Z7984"/>
    </row>
    <row r="7985" spans="2:26" x14ac:dyDescent="0.25">
      <c r="B7985"/>
      <c r="Z7985"/>
    </row>
    <row r="7986" spans="2:26" x14ac:dyDescent="0.25">
      <c r="B7986"/>
      <c r="Z7986"/>
    </row>
    <row r="7987" spans="2:26" x14ac:dyDescent="0.25">
      <c r="B7987"/>
      <c r="Z7987"/>
    </row>
    <row r="7988" spans="2:26" x14ac:dyDescent="0.25">
      <c r="B7988"/>
      <c r="Z7988"/>
    </row>
    <row r="7989" spans="2:26" x14ac:dyDescent="0.25">
      <c r="B7989"/>
      <c r="Z7989"/>
    </row>
    <row r="7990" spans="2:26" x14ac:dyDescent="0.25">
      <c r="B7990"/>
      <c r="Z7990"/>
    </row>
    <row r="7991" spans="2:26" x14ac:dyDescent="0.25">
      <c r="B7991"/>
      <c r="Z7991"/>
    </row>
    <row r="7992" spans="2:26" x14ac:dyDescent="0.25">
      <c r="B7992"/>
      <c r="Z7992"/>
    </row>
    <row r="7993" spans="2:26" x14ac:dyDescent="0.25">
      <c r="B7993"/>
      <c r="Z7993"/>
    </row>
    <row r="7994" spans="2:26" x14ac:dyDescent="0.25">
      <c r="B7994"/>
      <c r="Z7994"/>
    </row>
    <row r="7995" spans="2:26" x14ac:dyDescent="0.25">
      <c r="B7995"/>
      <c r="Z7995"/>
    </row>
    <row r="7996" spans="2:26" x14ac:dyDescent="0.25">
      <c r="B7996"/>
      <c r="Z7996"/>
    </row>
    <row r="7997" spans="2:26" x14ac:dyDescent="0.25">
      <c r="B7997"/>
      <c r="Z7997"/>
    </row>
    <row r="7998" spans="2:26" x14ac:dyDescent="0.25">
      <c r="B7998"/>
      <c r="Z7998"/>
    </row>
    <row r="7999" spans="2:26" x14ac:dyDescent="0.25">
      <c r="B7999"/>
      <c r="Z7999"/>
    </row>
    <row r="8000" spans="2:26" x14ac:dyDescent="0.25">
      <c r="B8000"/>
      <c r="Z8000"/>
    </row>
    <row r="8001" spans="2:26" x14ac:dyDescent="0.25">
      <c r="B8001"/>
      <c r="Z8001"/>
    </row>
    <row r="8002" spans="2:26" x14ac:dyDescent="0.25">
      <c r="B8002"/>
      <c r="Z8002"/>
    </row>
    <row r="8003" spans="2:26" x14ac:dyDescent="0.25">
      <c r="B8003"/>
      <c r="Z8003"/>
    </row>
    <row r="8004" spans="2:26" x14ac:dyDescent="0.25">
      <c r="B8004"/>
      <c r="Z8004"/>
    </row>
    <row r="8005" spans="2:26" x14ac:dyDescent="0.25">
      <c r="B8005"/>
      <c r="Z8005"/>
    </row>
    <row r="8006" spans="2:26" x14ac:dyDescent="0.25">
      <c r="B8006"/>
      <c r="Z8006"/>
    </row>
    <row r="8007" spans="2:26" x14ac:dyDescent="0.25">
      <c r="B8007"/>
      <c r="Z8007"/>
    </row>
    <row r="8008" spans="2:26" x14ac:dyDescent="0.25">
      <c r="B8008"/>
      <c r="Z8008"/>
    </row>
    <row r="8009" spans="2:26" x14ac:dyDescent="0.25">
      <c r="B8009"/>
      <c r="Z8009"/>
    </row>
    <row r="8010" spans="2:26" x14ac:dyDescent="0.25">
      <c r="B8010"/>
      <c r="Z8010"/>
    </row>
    <row r="8011" spans="2:26" x14ac:dyDescent="0.25">
      <c r="B8011"/>
      <c r="Z8011"/>
    </row>
    <row r="8012" spans="2:26" x14ac:dyDescent="0.25">
      <c r="B8012"/>
      <c r="Z8012"/>
    </row>
    <row r="8013" spans="2:26" x14ac:dyDescent="0.25">
      <c r="B8013"/>
      <c r="Z8013"/>
    </row>
    <row r="8014" spans="2:26" x14ac:dyDescent="0.25">
      <c r="B8014"/>
      <c r="Z8014"/>
    </row>
    <row r="8015" spans="2:26" x14ac:dyDescent="0.25">
      <c r="B8015"/>
      <c r="Z8015"/>
    </row>
    <row r="8016" spans="2:26" x14ac:dyDescent="0.25">
      <c r="B8016"/>
      <c r="Z8016"/>
    </row>
    <row r="8017" spans="2:26" x14ac:dyDescent="0.25">
      <c r="B8017"/>
      <c r="Z8017"/>
    </row>
    <row r="8018" spans="2:26" x14ac:dyDescent="0.25">
      <c r="B8018"/>
      <c r="Z8018"/>
    </row>
    <row r="8019" spans="2:26" x14ac:dyDescent="0.25">
      <c r="B8019"/>
      <c r="Z8019"/>
    </row>
    <row r="8020" spans="2:26" x14ac:dyDescent="0.25">
      <c r="B8020"/>
      <c r="Z8020"/>
    </row>
    <row r="8021" spans="2:26" x14ac:dyDescent="0.25">
      <c r="B8021"/>
      <c r="Z8021"/>
    </row>
    <row r="8022" spans="2:26" x14ac:dyDescent="0.25">
      <c r="B8022"/>
      <c r="Z8022"/>
    </row>
    <row r="8023" spans="2:26" x14ac:dyDescent="0.25">
      <c r="B8023"/>
      <c r="Z8023"/>
    </row>
    <row r="8024" spans="2:26" x14ac:dyDescent="0.25">
      <c r="B8024"/>
      <c r="Z8024"/>
    </row>
    <row r="8025" spans="2:26" x14ac:dyDescent="0.25">
      <c r="B8025"/>
      <c r="Z8025"/>
    </row>
    <row r="8026" spans="2:26" x14ac:dyDescent="0.25">
      <c r="B8026"/>
      <c r="Z8026"/>
    </row>
    <row r="8027" spans="2:26" x14ac:dyDescent="0.25">
      <c r="B8027"/>
      <c r="Z8027"/>
    </row>
    <row r="8028" spans="2:26" x14ac:dyDescent="0.25">
      <c r="B8028"/>
      <c r="Z8028"/>
    </row>
    <row r="8029" spans="2:26" x14ac:dyDescent="0.25">
      <c r="B8029"/>
      <c r="Z8029"/>
    </row>
    <row r="8030" spans="2:26" x14ac:dyDescent="0.25">
      <c r="B8030"/>
      <c r="Z8030"/>
    </row>
    <row r="8031" spans="2:26" x14ac:dyDescent="0.25">
      <c r="B8031"/>
      <c r="Z8031"/>
    </row>
    <row r="8032" spans="2:26" x14ac:dyDescent="0.25">
      <c r="B8032"/>
      <c r="Z8032"/>
    </row>
    <row r="8033" spans="2:26" x14ac:dyDescent="0.25">
      <c r="B8033"/>
      <c r="Z8033"/>
    </row>
    <row r="8034" spans="2:26" x14ac:dyDescent="0.25">
      <c r="B8034"/>
      <c r="Z8034"/>
    </row>
    <row r="8035" spans="2:26" x14ac:dyDescent="0.25">
      <c r="B8035"/>
      <c r="Z8035"/>
    </row>
    <row r="8036" spans="2:26" x14ac:dyDescent="0.25">
      <c r="B8036"/>
      <c r="Z8036"/>
    </row>
    <row r="8037" spans="2:26" x14ac:dyDescent="0.25">
      <c r="B8037"/>
      <c r="Z8037"/>
    </row>
    <row r="8038" spans="2:26" x14ac:dyDescent="0.25">
      <c r="B8038"/>
      <c r="Z8038"/>
    </row>
    <row r="8039" spans="2:26" x14ac:dyDescent="0.25">
      <c r="B8039"/>
      <c r="Z8039"/>
    </row>
    <row r="8040" spans="2:26" x14ac:dyDescent="0.25">
      <c r="B8040"/>
      <c r="Z8040"/>
    </row>
    <row r="8041" spans="2:26" x14ac:dyDescent="0.25">
      <c r="B8041"/>
      <c r="Z8041"/>
    </row>
    <row r="8042" spans="2:26" x14ac:dyDescent="0.25">
      <c r="B8042"/>
      <c r="Z8042"/>
    </row>
    <row r="8043" spans="2:26" x14ac:dyDescent="0.25">
      <c r="B8043"/>
      <c r="Z8043"/>
    </row>
    <row r="8044" spans="2:26" x14ac:dyDescent="0.25">
      <c r="B8044"/>
      <c r="Z8044"/>
    </row>
    <row r="8045" spans="2:26" x14ac:dyDescent="0.25">
      <c r="B8045"/>
      <c r="Z8045"/>
    </row>
    <row r="8046" spans="2:26" x14ac:dyDescent="0.25">
      <c r="B8046"/>
      <c r="Z8046"/>
    </row>
    <row r="8047" spans="2:26" x14ac:dyDescent="0.25">
      <c r="B8047"/>
      <c r="Z8047"/>
    </row>
    <row r="8048" spans="2:26" x14ac:dyDescent="0.25">
      <c r="B8048"/>
      <c r="Z8048"/>
    </row>
    <row r="8049" spans="2:26" x14ac:dyDescent="0.25">
      <c r="B8049"/>
      <c r="Z8049"/>
    </row>
    <row r="8050" spans="2:26" x14ac:dyDescent="0.25">
      <c r="B8050"/>
      <c r="Z8050"/>
    </row>
    <row r="8051" spans="2:26" x14ac:dyDescent="0.25">
      <c r="B8051"/>
      <c r="Z8051"/>
    </row>
    <row r="8052" spans="2:26" x14ac:dyDescent="0.25">
      <c r="B8052"/>
      <c r="Z8052"/>
    </row>
    <row r="8053" spans="2:26" x14ac:dyDescent="0.25">
      <c r="B8053"/>
      <c r="Z8053"/>
    </row>
    <row r="8054" spans="2:26" x14ac:dyDescent="0.25">
      <c r="B8054"/>
      <c r="Z8054"/>
    </row>
    <row r="8055" spans="2:26" x14ac:dyDescent="0.25">
      <c r="B8055"/>
      <c r="Z8055"/>
    </row>
    <row r="8056" spans="2:26" x14ac:dyDescent="0.25">
      <c r="B8056"/>
      <c r="Z8056"/>
    </row>
    <row r="8057" spans="2:26" x14ac:dyDescent="0.25">
      <c r="B8057"/>
      <c r="Z8057"/>
    </row>
    <row r="8058" spans="2:26" x14ac:dyDescent="0.25">
      <c r="B8058"/>
      <c r="Z8058"/>
    </row>
    <row r="8059" spans="2:26" x14ac:dyDescent="0.25">
      <c r="B8059"/>
      <c r="Z8059"/>
    </row>
    <row r="8060" spans="2:26" x14ac:dyDescent="0.25">
      <c r="B8060"/>
      <c r="Z8060"/>
    </row>
    <row r="8061" spans="2:26" x14ac:dyDescent="0.25">
      <c r="B8061"/>
      <c r="K8061" s="6"/>
      <c r="Z8061"/>
    </row>
    <row r="8062" spans="2:26" x14ac:dyDescent="0.25">
      <c r="B8062"/>
      <c r="Z8062"/>
    </row>
    <row r="8063" spans="2:26" x14ac:dyDescent="0.25">
      <c r="B8063"/>
      <c r="Z8063"/>
    </row>
    <row r="8064" spans="2:26" x14ac:dyDescent="0.25">
      <c r="B8064"/>
      <c r="Z8064"/>
    </row>
    <row r="8065" spans="2:26" x14ac:dyDescent="0.25">
      <c r="B8065"/>
      <c r="Z8065"/>
    </row>
    <row r="8066" spans="2:26" x14ac:dyDescent="0.25">
      <c r="B8066"/>
      <c r="Z8066"/>
    </row>
    <row r="8067" spans="2:26" x14ac:dyDescent="0.25">
      <c r="B8067"/>
      <c r="Z8067"/>
    </row>
    <row r="8068" spans="2:26" x14ac:dyDescent="0.25">
      <c r="B8068"/>
      <c r="Z8068"/>
    </row>
    <row r="8069" spans="2:26" x14ac:dyDescent="0.25">
      <c r="B8069"/>
      <c r="Z8069"/>
    </row>
    <row r="8070" spans="2:26" x14ac:dyDescent="0.25">
      <c r="B8070"/>
      <c r="Z8070"/>
    </row>
    <row r="8071" spans="2:26" x14ac:dyDescent="0.25">
      <c r="B8071"/>
      <c r="Z8071"/>
    </row>
    <row r="8072" spans="2:26" x14ac:dyDescent="0.25">
      <c r="B8072"/>
      <c r="Z8072"/>
    </row>
    <row r="8073" spans="2:26" x14ac:dyDescent="0.25">
      <c r="B8073"/>
      <c r="Z8073"/>
    </row>
    <row r="8074" spans="2:26" x14ac:dyDescent="0.25">
      <c r="B8074"/>
      <c r="Z8074"/>
    </row>
    <row r="8075" spans="2:26" x14ac:dyDescent="0.25">
      <c r="B8075"/>
      <c r="Z8075"/>
    </row>
    <row r="8076" spans="2:26" x14ac:dyDescent="0.25">
      <c r="B8076"/>
      <c r="Z8076"/>
    </row>
    <row r="8077" spans="2:26" x14ac:dyDescent="0.25">
      <c r="B8077"/>
      <c r="Z8077"/>
    </row>
    <row r="8078" spans="2:26" x14ac:dyDescent="0.25">
      <c r="B8078"/>
      <c r="Z8078"/>
    </row>
    <row r="8079" spans="2:26" x14ac:dyDescent="0.25">
      <c r="B8079"/>
      <c r="Z8079"/>
    </row>
    <row r="8080" spans="2:26" x14ac:dyDescent="0.25">
      <c r="B8080"/>
      <c r="Z8080"/>
    </row>
    <row r="8081" spans="1:33" x14ac:dyDescent="0.25">
      <c r="B8081"/>
      <c r="Z8081"/>
    </row>
    <row r="8082" spans="1:33" x14ac:dyDescent="0.25">
      <c r="A8082" s="6"/>
      <c r="B8082" s="6"/>
      <c r="C8082" s="6"/>
      <c r="D8082" s="6"/>
      <c r="E8082" s="6"/>
      <c r="F8082" s="6"/>
      <c r="G8082" s="6"/>
      <c r="H8082" s="6"/>
      <c r="I8082" s="6"/>
      <c r="J8082" s="6"/>
      <c r="K8082" s="6"/>
      <c r="L8082" s="6"/>
      <c r="M8082" s="6"/>
      <c r="N8082" s="6"/>
      <c r="O8082" s="6"/>
      <c r="P8082" s="6"/>
      <c r="Q8082" s="6"/>
      <c r="R8082" s="6"/>
      <c r="S8082" s="6"/>
      <c r="T8082" s="6"/>
      <c r="U8082" s="6"/>
      <c r="V8082" s="6"/>
      <c r="W8082" s="6"/>
      <c r="X8082" s="6"/>
      <c r="Y8082" s="6"/>
      <c r="Z8082" s="6"/>
      <c r="AA8082" s="6"/>
      <c r="AB8082" s="6"/>
      <c r="AC8082" s="6"/>
      <c r="AD8082" s="6"/>
      <c r="AE8082" s="6"/>
      <c r="AF8082" s="6"/>
      <c r="AG8082" s="6"/>
    </row>
    <row r="8083" spans="1:33" x14ac:dyDescent="0.25">
      <c r="B8083"/>
      <c r="Z8083"/>
    </row>
    <row r="8084" spans="1:33" x14ac:dyDescent="0.25">
      <c r="B8084"/>
      <c r="Z8084"/>
    </row>
    <row r="8085" spans="1:33" x14ac:dyDescent="0.25">
      <c r="B8085"/>
      <c r="Z8085"/>
    </row>
    <row r="8086" spans="1:33" x14ac:dyDescent="0.25">
      <c r="B8086"/>
      <c r="Z8086"/>
    </row>
    <row r="8087" spans="1:33" x14ac:dyDescent="0.25">
      <c r="B8087"/>
      <c r="Z8087"/>
    </row>
    <row r="8088" spans="1:33" x14ac:dyDescent="0.25">
      <c r="B8088"/>
      <c r="Z8088"/>
    </row>
    <row r="8089" spans="1:33" x14ac:dyDescent="0.25">
      <c r="B8089"/>
      <c r="Z8089"/>
    </row>
    <row r="8090" spans="1:33" x14ac:dyDescent="0.25">
      <c r="B8090"/>
      <c r="Z8090"/>
    </row>
    <row r="8091" spans="1:33" x14ac:dyDescent="0.25">
      <c r="B8091"/>
      <c r="Z8091"/>
    </row>
    <row r="8092" spans="1:33" x14ac:dyDescent="0.25">
      <c r="B8092"/>
      <c r="Z8092"/>
    </row>
    <row r="8093" spans="1:33" x14ac:dyDescent="0.25">
      <c r="B8093"/>
      <c r="Z8093"/>
    </row>
    <row r="8094" spans="1:33" x14ac:dyDescent="0.25">
      <c r="B8094"/>
      <c r="Z8094"/>
    </row>
    <row r="8095" spans="1:33" x14ac:dyDescent="0.25">
      <c r="B8095"/>
      <c r="Z8095"/>
    </row>
    <row r="8096" spans="1:33" x14ac:dyDescent="0.25">
      <c r="B8096"/>
      <c r="Z8096"/>
    </row>
    <row r="8097" spans="2:26" x14ac:dyDescent="0.25">
      <c r="B8097"/>
      <c r="Z8097"/>
    </row>
    <row r="8098" spans="2:26" x14ac:dyDescent="0.25">
      <c r="B8098"/>
      <c r="Z8098"/>
    </row>
    <row r="8099" spans="2:26" x14ac:dyDescent="0.25">
      <c r="B8099"/>
      <c r="Z8099"/>
    </row>
    <row r="8100" spans="2:26" x14ac:dyDescent="0.25">
      <c r="B8100"/>
      <c r="Z8100"/>
    </row>
    <row r="8101" spans="2:26" x14ac:dyDescent="0.25">
      <c r="B8101"/>
      <c r="Z8101"/>
    </row>
    <row r="8102" spans="2:26" x14ac:dyDescent="0.25">
      <c r="B8102"/>
      <c r="Z8102"/>
    </row>
    <row r="8103" spans="2:26" x14ac:dyDescent="0.25">
      <c r="B8103"/>
      <c r="Z8103"/>
    </row>
    <row r="8104" spans="2:26" x14ac:dyDescent="0.25">
      <c r="B8104"/>
      <c r="Z8104"/>
    </row>
    <row r="8105" spans="2:26" x14ac:dyDescent="0.25">
      <c r="B8105"/>
      <c r="Z8105"/>
    </row>
    <row r="8106" spans="2:26" x14ac:dyDescent="0.25">
      <c r="B8106"/>
      <c r="Z8106"/>
    </row>
    <row r="8107" spans="2:26" x14ac:dyDescent="0.25">
      <c r="B8107"/>
      <c r="Z8107"/>
    </row>
    <row r="8108" spans="2:26" x14ac:dyDescent="0.25">
      <c r="B8108"/>
      <c r="Z8108"/>
    </row>
    <row r="8109" spans="2:26" x14ac:dyDescent="0.25">
      <c r="B8109"/>
      <c r="Z8109"/>
    </row>
    <row r="8110" spans="2:26" x14ac:dyDescent="0.25">
      <c r="B8110"/>
      <c r="Z8110"/>
    </row>
    <row r="8111" spans="2:26" x14ac:dyDescent="0.25">
      <c r="B8111"/>
      <c r="Z8111"/>
    </row>
    <row r="8112" spans="2:26" x14ac:dyDescent="0.25">
      <c r="B8112"/>
      <c r="Z8112"/>
    </row>
    <row r="8113" spans="2:26" x14ac:dyDescent="0.25">
      <c r="B8113"/>
      <c r="Z8113"/>
    </row>
    <row r="8114" spans="2:26" x14ac:dyDescent="0.25">
      <c r="B8114"/>
      <c r="Z8114"/>
    </row>
    <row r="8115" spans="2:26" x14ac:dyDescent="0.25">
      <c r="B8115"/>
      <c r="Z8115"/>
    </row>
    <row r="8116" spans="2:26" x14ac:dyDescent="0.25">
      <c r="B8116"/>
      <c r="Z8116"/>
    </row>
    <row r="8117" spans="2:26" x14ac:dyDescent="0.25">
      <c r="B8117"/>
      <c r="Z8117"/>
    </row>
    <row r="8118" spans="2:26" x14ac:dyDescent="0.25">
      <c r="B8118"/>
      <c r="Z8118"/>
    </row>
    <row r="8119" spans="2:26" x14ac:dyDescent="0.25">
      <c r="B8119"/>
      <c r="Z8119"/>
    </row>
    <row r="8120" spans="2:26" x14ac:dyDescent="0.25">
      <c r="B8120"/>
      <c r="Z8120"/>
    </row>
    <row r="8121" spans="2:26" x14ac:dyDescent="0.25">
      <c r="B8121"/>
      <c r="Z8121"/>
    </row>
    <row r="8122" spans="2:26" x14ac:dyDescent="0.25">
      <c r="B8122"/>
      <c r="Z8122"/>
    </row>
    <row r="8123" spans="2:26" x14ac:dyDescent="0.25">
      <c r="B8123"/>
      <c r="Z8123"/>
    </row>
    <row r="8124" spans="2:26" x14ac:dyDescent="0.25">
      <c r="B8124"/>
      <c r="Z8124"/>
    </row>
    <row r="8125" spans="2:26" x14ac:dyDescent="0.25">
      <c r="B8125"/>
      <c r="Z8125"/>
    </row>
    <row r="8126" spans="2:26" x14ac:dyDescent="0.25">
      <c r="B8126"/>
      <c r="Z8126"/>
    </row>
    <row r="8127" spans="2:26" x14ac:dyDescent="0.25">
      <c r="B8127"/>
      <c r="Z8127"/>
    </row>
    <row r="8128" spans="2:26" x14ac:dyDescent="0.25">
      <c r="B8128"/>
      <c r="Z8128"/>
    </row>
    <row r="8129" spans="2:26" x14ac:dyDescent="0.25">
      <c r="B8129"/>
      <c r="Z8129"/>
    </row>
    <row r="8130" spans="2:26" x14ac:dyDescent="0.25">
      <c r="B8130"/>
      <c r="Z8130"/>
    </row>
    <row r="8131" spans="2:26" x14ac:dyDescent="0.25">
      <c r="B8131"/>
      <c r="Z8131"/>
    </row>
    <row r="8132" spans="2:26" x14ac:dyDescent="0.25">
      <c r="B8132"/>
      <c r="Z8132"/>
    </row>
    <row r="8133" spans="2:26" x14ac:dyDescent="0.25">
      <c r="B8133"/>
      <c r="Z8133"/>
    </row>
    <row r="8134" spans="2:26" x14ac:dyDescent="0.25">
      <c r="B8134"/>
      <c r="Z8134"/>
    </row>
    <row r="8135" spans="2:26" x14ac:dyDescent="0.25">
      <c r="B8135"/>
      <c r="Z8135"/>
    </row>
    <row r="8136" spans="2:26" x14ac:dyDescent="0.25">
      <c r="B8136"/>
      <c r="Z8136"/>
    </row>
    <row r="8137" spans="2:26" x14ac:dyDescent="0.25">
      <c r="B8137"/>
      <c r="Z8137"/>
    </row>
    <row r="8138" spans="2:26" x14ac:dyDescent="0.25">
      <c r="B8138"/>
      <c r="Z8138"/>
    </row>
    <row r="8139" spans="2:26" x14ac:dyDescent="0.25">
      <c r="B8139"/>
      <c r="Z8139"/>
    </row>
    <row r="8140" spans="2:26" x14ac:dyDescent="0.25">
      <c r="B8140"/>
      <c r="Z8140"/>
    </row>
    <row r="8141" spans="2:26" x14ac:dyDescent="0.25">
      <c r="B8141"/>
      <c r="Z8141"/>
    </row>
    <row r="8142" spans="2:26" x14ac:dyDescent="0.25">
      <c r="B8142"/>
      <c r="Z8142"/>
    </row>
    <row r="8143" spans="2:26" x14ac:dyDescent="0.25">
      <c r="B8143"/>
      <c r="Z8143"/>
    </row>
    <row r="8144" spans="2:26" x14ac:dyDescent="0.25">
      <c r="B8144"/>
      <c r="Z8144"/>
    </row>
    <row r="8145" spans="2:26" x14ac:dyDescent="0.25">
      <c r="B8145"/>
      <c r="Z8145"/>
    </row>
    <row r="8146" spans="2:26" x14ac:dyDescent="0.25">
      <c r="B8146"/>
      <c r="Z8146"/>
    </row>
    <row r="8147" spans="2:26" x14ac:dyDescent="0.25">
      <c r="B8147"/>
      <c r="Z8147"/>
    </row>
    <row r="8148" spans="2:26" x14ac:dyDescent="0.25">
      <c r="B8148"/>
      <c r="K8148" s="6"/>
      <c r="Z8148"/>
    </row>
    <row r="8149" spans="2:26" x14ac:dyDescent="0.25">
      <c r="B8149"/>
      <c r="Z8149"/>
    </row>
    <row r="8150" spans="2:26" x14ac:dyDescent="0.25">
      <c r="B8150"/>
      <c r="Z8150"/>
    </row>
    <row r="8151" spans="2:26" x14ac:dyDescent="0.25">
      <c r="B8151"/>
      <c r="Z8151"/>
    </row>
    <row r="8152" spans="2:26" x14ac:dyDescent="0.25">
      <c r="B8152"/>
      <c r="Z8152"/>
    </row>
    <row r="8153" spans="2:26" x14ac:dyDescent="0.25">
      <c r="B8153"/>
      <c r="Z8153"/>
    </row>
    <row r="8154" spans="2:26" x14ac:dyDescent="0.25">
      <c r="B8154"/>
      <c r="Z8154"/>
    </row>
    <row r="8155" spans="2:26" x14ac:dyDescent="0.25">
      <c r="B8155"/>
      <c r="Z8155"/>
    </row>
    <row r="8156" spans="2:26" x14ac:dyDescent="0.25">
      <c r="B8156"/>
      <c r="Z8156"/>
    </row>
    <row r="8157" spans="2:26" x14ac:dyDescent="0.25">
      <c r="B8157"/>
      <c r="Z8157"/>
    </row>
    <row r="8158" spans="2:26" x14ac:dyDescent="0.25">
      <c r="B8158"/>
      <c r="Z8158"/>
    </row>
    <row r="8159" spans="2:26" x14ac:dyDescent="0.25">
      <c r="B8159"/>
      <c r="Z8159"/>
    </row>
    <row r="8160" spans="2:26" x14ac:dyDescent="0.25">
      <c r="B8160"/>
      <c r="Z8160"/>
    </row>
    <row r="8161" spans="2:26" x14ac:dyDescent="0.25">
      <c r="B8161"/>
      <c r="Z8161"/>
    </row>
    <row r="8162" spans="2:26" x14ac:dyDescent="0.25">
      <c r="B8162"/>
      <c r="Z8162"/>
    </row>
    <row r="8163" spans="2:26" x14ac:dyDescent="0.25">
      <c r="B8163"/>
      <c r="Z8163"/>
    </row>
    <row r="8164" spans="2:26" x14ac:dyDescent="0.25">
      <c r="B8164"/>
      <c r="Z8164"/>
    </row>
    <row r="8165" spans="2:26" x14ac:dyDescent="0.25">
      <c r="B8165"/>
      <c r="Z8165"/>
    </row>
    <row r="8166" spans="2:26" x14ac:dyDescent="0.25">
      <c r="B8166"/>
      <c r="Z8166"/>
    </row>
    <row r="8167" spans="2:26" x14ac:dyDescent="0.25">
      <c r="B8167"/>
      <c r="Z8167"/>
    </row>
    <row r="8168" spans="2:26" x14ac:dyDescent="0.25">
      <c r="B8168"/>
      <c r="Z8168"/>
    </row>
    <row r="8169" spans="2:26" x14ac:dyDescent="0.25">
      <c r="B8169"/>
      <c r="Z8169"/>
    </row>
    <row r="8170" spans="2:26" x14ac:dyDescent="0.25">
      <c r="B8170"/>
      <c r="Z8170"/>
    </row>
    <row r="8171" spans="2:26" x14ac:dyDescent="0.25">
      <c r="B8171"/>
      <c r="Z8171"/>
    </row>
    <row r="8172" spans="2:26" x14ac:dyDescent="0.25">
      <c r="B8172"/>
      <c r="Z8172"/>
    </row>
    <row r="8173" spans="2:26" x14ac:dyDescent="0.25">
      <c r="B8173"/>
      <c r="Z8173"/>
    </row>
    <row r="8174" spans="2:26" x14ac:dyDescent="0.25">
      <c r="B8174"/>
      <c r="Z8174"/>
    </row>
    <row r="8175" spans="2:26" x14ac:dyDescent="0.25">
      <c r="B8175"/>
      <c r="Z8175"/>
    </row>
    <row r="8176" spans="2:26" x14ac:dyDescent="0.25">
      <c r="B8176"/>
      <c r="Z8176"/>
    </row>
    <row r="8177" spans="1:33" x14ac:dyDescent="0.25">
      <c r="B8177"/>
      <c r="Z8177"/>
    </row>
    <row r="8178" spans="1:33" x14ac:dyDescent="0.25">
      <c r="B8178"/>
      <c r="Z8178"/>
    </row>
    <row r="8179" spans="1:33" x14ac:dyDescent="0.25">
      <c r="B8179"/>
      <c r="Z8179"/>
    </row>
    <row r="8180" spans="1:33" x14ac:dyDescent="0.25">
      <c r="B8180"/>
      <c r="Z8180"/>
    </row>
    <row r="8181" spans="1:33" x14ac:dyDescent="0.25">
      <c r="B8181"/>
      <c r="Z8181"/>
    </row>
    <row r="8182" spans="1:33" x14ac:dyDescent="0.25">
      <c r="B8182"/>
      <c r="Z8182"/>
    </row>
    <row r="8183" spans="1:33" x14ac:dyDescent="0.25">
      <c r="B8183"/>
      <c r="Z8183"/>
    </row>
    <row r="8184" spans="1:33" x14ac:dyDescent="0.25">
      <c r="B8184"/>
      <c r="Z8184"/>
    </row>
    <row r="8185" spans="1:33" x14ac:dyDescent="0.25">
      <c r="B8185"/>
      <c r="Z8185"/>
    </row>
    <row r="8186" spans="1:33" x14ac:dyDescent="0.25">
      <c r="A8186" s="6"/>
      <c r="B8186" s="6"/>
      <c r="C8186" s="6"/>
      <c r="D8186" s="6"/>
      <c r="E8186" s="6"/>
      <c r="F8186" s="6"/>
      <c r="G8186" s="6"/>
      <c r="H8186" s="6"/>
      <c r="I8186" s="6"/>
      <c r="J8186" s="6"/>
      <c r="K8186" s="6"/>
      <c r="L8186" s="6"/>
      <c r="M8186" s="6"/>
      <c r="N8186" s="6"/>
      <c r="O8186" s="6"/>
      <c r="P8186" s="6"/>
      <c r="Q8186" s="6"/>
      <c r="R8186" s="6"/>
      <c r="S8186" s="6"/>
      <c r="T8186" s="6"/>
      <c r="U8186" s="6"/>
      <c r="V8186" s="6"/>
      <c r="W8186" s="6"/>
      <c r="X8186" s="6"/>
      <c r="Y8186" s="6"/>
      <c r="Z8186" s="6"/>
      <c r="AA8186" s="6"/>
      <c r="AB8186" s="6"/>
      <c r="AC8186" s="6"/>
      <c r="AD8186" s="6"/>
      <c r="AE8186" s="6"/>
      <c r="AF8186" s="6"/>
      <c r="AG8186" s="6"/>
    </row>
    <row r="8187" spans="1:33" x14ac:dyDescent="0.25">
      <c r="B8187"/>
      <c r="Z8187"/>
    </row>
    <row r="8188" spans="1:33" x14ac:dyDescent="0.25">
      <c r="B8188"/>
      <c r="Z8188"/>
    </row>
    <row r="8189" spans="1:33" x14ac:dyDescent="0.25">
      <c r="B8189"/>
      <c r="Z8189"/>
    </row>
    <row r="8190" spans="1:33" x14ac:dyDescent="0.25">
      <c r="B8190"/>
      <c r="Z8190"/>
    </row>
    <row r="8191" spans="1:33" x14ac:dyDescent="0.25">
      <c r="B8191"/>
      <c r="Z8191"/>
    </row>
    <row r="8192" spans="1:33" x14ac:dyDescent="0.25">
      <c r="B8192"/>
      <c r="Z8192"/>
    </row>
    <row r="8193" spans="2:26" x14ac:dyDescent="0.25">
      <c r="B8193"/>
      <c r="Z8193"/>
    </row>
    <row r="8194" spans="2:26" x14ac:dyDescent="0.25">
      <c r="B8194"/>
      <c r="Z8194"/>
    </row>
    <row r="8195" spans="2:26" x14ac:dyDescent="0.25">
      <c r="B8195"/>
      <c r="Z8195"/>
    </row>
    <row r="8196" spans="2:26" x14ac:dyDescent="0.25">
      <c r="B8196"/>
      <c r="Z8196"/>
    </row>
    <row r="8197" spans="2:26" x14ac:dyDescent="0.25">
      <c r="B8197"/>
      <c r="Z8197"/>
    </row>
    <row r="8198" spans="2:26" x14ac:dyDescent="0.25">
      <c r="B8198"/>
      <c r="Z8198"/>
    </row>
    <row r="8199" spans="2:26" x14ac:dyDescent="0.25">
      <c r="B8199"/>
      <c r="Z8199"/>
    </row>
    <row r="8200" spans="2:26" x14ac:dyDescent="0.25">
      <c r="B8200"/>
      <c r="Z8200"/>
    </row>
    <row r="8201" spans="2:26" x14ac:dyDescent="0.25">
      <c r="B8201"/>
      <c r="Z8201"/>
    </row>
    <row r="8202" spans="2:26" x14ac:dyDescent="0.25">
      <c r="B8202"/>
      <c r="Z8202"/>
    </row>
    <row r="8203" spans="2:26" x14ac:dyDescent="0.25">
      <c r="B8203"/>
      <c r="Z8203"/>
    </row>
    <row r="8204" spans="2:26" x14ac:dyDescent="0.25">
      <c r="B8204"/>
      <c r="Z8204"/>
    </row>
    <row r="8205" spans="2:26" x14ac:dyDescent="0.25">
      <c r="B8205"/>
      <c r="Z8205"/>
    </row>
    <row r="8206" spans="2:26" x14ac:dyDescent="0.25">
      <c r="B8206"/>
      <c r="Z8206"/>
    </row>
    <row r="8207" spans="2:26" x14ac:dyDescent="0.25">
      <c r="B8207"/>
      <c r="Z8207"/>
    </row>
    <row r="8208" spans="2:26" x14ac:dyDescent="0.25">
      <c r="B8208"/>
      <c r="Z8208"/>
    </row>
    <row r="8209" spans="2:26" x14ac:dyDescent="0.25">
      <c r="B8209"/>
      <c r="Z8209"/>
    </row>
    <row r="8210" spans="2:26" x14ac:dyDescent="0.25">
      <c r="B8210"/>
      <c r="Z8210"/>
    </row>
    <row r="8211" spans="2:26" x14ac:dyDescent="0.25">
      <c r="B8211"/>
      <c r="Z8211"/>
    </row>
    <row r="8212" spans="2:26" x14ac:dyDescent="0.25">
      <c r="B8212"/>
      <c r="Z8212"/>
    </row>
    <row r="8213" spans="2:26" x14ac:dyDescent="0.25">
      <c r="B8213"/>
      <c r="Z8213"/>
    </row>
    <row r="8214" spans="2:26" x14ac:dyDescent="0.25">
      <c r="B8214"/>
      <c r="Z8214"/>
    </row>
    <row r="8215" spans="2:26" x14ac:dyDescent="0.25">
      <c r="B8215"/>
      <c r="Z8215"/>
    </row>
    <row r="8216" spans="2:26" x14ac:dyDescent="0.25">
      <c r="B8216"/>
      <c r="Z8216"/>
    </row>
    <row r="8217" spans="2:26" x14ac:dyDescent="0.25">
      <c r="B8217"/>
      <c r="Z8217"/>
    </row>
    <row r="8218" spans="2:26" x14ac:dyDescent="0.25">
      <c r="B8218"/>
      <c r="Z8218"/>
    </row>
    <row r="8219" spans="2:26" x14ac:dyDescent="0.25">
      <c r="B8219"/>
      <c r="Z8219"/>
    </row>
    <row r="8220" spans="2:26" x14ac:dyDescent="0.25">
      <c r="B8220"/>
      <c r="Z8220"/>
    </row>
    <row r="8221" spans="2:26" x14ac:dyDescent="0.25">
      <c r="B8221"/>
      <c r="Z8221"/>
    </row>
    <row r="8222" spans="2:26" x14ac:dyDescent="0.25">
      <c r="B8222"/>
      <c r="Z8222"/>
    </row>
    <row r="8223" spans="2:26" x14ac:dyDescent="0.25">
      <c r="B8223"/>
      <c r="Z8223"/>
    </row>
    <row r="8224" spans="2:26" x14ac:dyDescent="0.25">
      <c r="B8224"/>
      <c r="Z8224"/>
    </row>
    <row r="8225" spans="2:26" x14ac:dyDescent="0.25">
      <c r="B8225"/>
      <c r="Z8225"/>
    </row>
    <row r="8226" spans="2:26" x14ac:dyDescent="0.25">
      <c r="B8226"/>
      <c r="Z8226"/>
    </row>
    <row r="8227" spans="2:26" x14ac:dyDescent="0.25">
      <c r="B8227"/>
      <c r="Z8227"/>
    </row>
    <row r="8228" spans="2:26" x14ac:dyDescent="0.25">
      <c r="B8228"/>
      <c r="Z8228"/>
    </row>
    <row r="8229" spans="2:26" x14ac:dyDescent="0.25">
      <c r="B8229"/>
      <c r="Z8229"/>
    </row>
    <row r="8230" spans="2:26" x14ac:dyDescent="0.25">
      <c r="B8230"/>
      <c r="Z8230"/>
    </row>
    <row r="8231" spans="2:26" x14ac:dyDescent="0.25">
      <c r="B8231"/>
      <c r="Z8231"/>
    </row>
    <row r="8232" spans="2:26" x14ac:dyDescent="0.25">
      <c r="B8232"/>
      <c r="Z8232"/>
    </row>
    <row r="8233" spans="2:26" x14ac:dyDescent="0.25">
      <c r="B8233"/>
      <c r="Z8233"/>
    </row>
    <row r="8234" spans="2:26" x14ac:dyDescent="0.25">
      <c r="B8234"/>
      <c r="Z8234"/>
    </row>
    <row r="8235" spans="2:26" x14ac:dyDescent="0.25">
      <c r="B8235"/>
      <c r="Z8235"/>
    </row>
    <row r="8236" spans="2:26" x14ac:dyDescent="0.25">
      <c r="B8236"/>
      <c r="Z8236"/>
    </row>
    <row r="8237" spans="2:26" x14ac:dyDescent="0.25">
      <c r="B8237"/>
      <c r="Z8237"/>
    </row>
    <row r="8238" spans="2:26" x14ac:dyDescent="0.25">
      <c r="B8238"/>
      <c r="Z8238"/>
    </row>
    <row r="8239" spans="2:26" x14ac:dyDescent="0.25">
      <c r="B8239"/>
      <c r="Z8239"/>
    </row>
    <row r="8240" spans="2:26" x14ac:dyDescent="0.25">
      <c r="B8240"/>
      <c r="Z8240"/>
    </row>
    <row r="8241" spans="2:26" x14ac:dyDescent="0.25">
      <c r="B8241"/>
      <c r="Z8241"/>
    </row>
    <row r="8242" spans="2:26" x14ac:dyDescent="0.25">
      <c r="B8242"/>
      <c r="Z8242"/>
    </row>
    <row r="8243" spans="2:26" x14ac:dyDescent="0.25">
      <c r="B8243"/>
      <c r="Z8243"/>
    </row>
    <row r="8244" spans="2:26" x14ac:dyDescent="0.25">
      <c r="B8244"/>
      <c r="Z8244"/>
    </row>
    <row r="8245" spans="2:26" x14ac:dyDescent="0.25">
      <c r="B8245"/>
      <c r="Z8245"/>
    </row>
    <row r="8246" spans="2:26" x14ac:dyDescent="0.25">
      <c r="B8246"/>
      <c r="Z8246"/>
    </row>
    <row r="8247" spans="2:26" x14ac:dyDescent="0.25">
      <c r="B8247"/>
      <c r="Z8247"/>
    </row>
    <row r="8248" spans="2:26" x14ac:dyDescent="0.25">
      <c r="B8248"/>
      <c r="Z8248"/>
    </row>
    <row r="8249" spans="2:26" x14ac:dyDescent="0.25">
      <c r="B8249"/>
      <c r="Z8249"/>
    </row>
    <row r="8250" spans="2:26" x14ac:dyDescent="0.25">
      <c r="B8250"/>
      <c r="Z8250"/>
    </row>
    <row r="8251" spans="2:26" x14ac:dyDescent="0.25">
      <c r="B8251"/>
      <c r="Z8251"/>
    </row>
    <row r="8252" spans="2:26" x14ac:dyDescent="0.25">
      <c r="B8252"/>
      <c r="Z8252"/>
    </row>
    <row r="8253" spans="2:26" x14ac:dyDescent="0.25">
      <c r="B8253"/>
      <c r="Z8253"/>
    </row>
    <row r="8254" spans="2:26" x14ac:dyDescent="0.25">
      <c r="B8254"/>
      <c r="Z8254"/>
    </row>
    <row r="8255" spans="2:26" x14ac:dyDescent="0.25">
      <c r="B8255"/>
      <c r="Z8255"/>
    </row>
    <row r="8256" spans="2:26" x14ac:dyDescent="0.25">
      <c r="B8256"/>
      <c r="Z8256"/>
    </row>
    <row r="8257" spans="2:26" x14ac:dyDescent="0.25">
      <c r="B8257"/>
      <c r="Z8257"/>
    </row>
    <row r="8258" spans="2:26" x14ac:dyDescent="0.25">
      <c r="B8258"/>
      <c r="Z8258"/>
    </row>
    <row r="8259" spans="2:26" x14ac:dyDescent="0.25">
      <c r="B8259"/>
      <c r="Z8259"/>
    </row>
    <row r="8260" spans="2:26" x14ac:dyDescent="0.25">
      <c r="B8260"/>
      <c r="Z8260"/>
    </row>
    <row r="8261" spans="2:26" x14ac:dyDescent="0.25">
      <c r="B8261"/>
      <c r="Z8261"/>
    </row>
    <row r="8262" spans="2:26" x14ac:dyDescent="0.25">
      <c r="B8262"/>
      <c r="Z8262"/>
    </row>
    <row r="8263" spans="2:26" x14ac:dyDescent="0.25">
      <c r="B8263"/>
      <c r="Z8263"/>
    </row>
    <row r="8264" spans="2:26" x14ac:dyDescent="0.25">
      <c r="B8264"/>
      <c r="Z8264"/>
    </row>
    <row r="8265" spans="2:26" x14ac:dyDescent="0.25">
      <c r="B8265"/>
      <c r="Z8265"/>
    </row>
    <row r="8266" spans="2:26" x14ac:dyDescent="0.25">
      <c r="B8266"/>
      <c r="Z8266"/>
    </row>
    <row r="8267" spans="2:26" x14ac:dyDescent="0.25">
      <c r="B8267"/>
      <c r="Z8267"/>
    </row>
    <row r="8268" spans="2:26" x14ac:dyDescent="0.25">
      <c r="B8268"/>
      <c r="Z8268"/>
    </row>
    <row r="8269" spans="2:26" x14ac:dyDescent="0.25">
      <c r="B8269"/>
      <c r="Z8269"/>
    </row>
    <row r="8270" spans="2:26" x14ac:dyDescent="0.25">
      <c r="B8270"/>
      <c r="Z8270"/>
    </row>
    <row r="8271" spans="2:26" x14ac:dyDescent="0.25">
      <c r="B8271"/>
      <c r="Z8271"/>
    </row>
    <row r="8272" spans="2:26" x14ac:dyDescent="0.25">
      <c r="B8272"/>
      <c r="Z8272"/>
    </row>
    <row r="8273" spans="2:26" x14ac:dyDescent="0.25">
      <c r="B8273"/>
      <c r="Z8273"/>
    </row>
    <row r="8274" spans="2:26" x14ac:dyDescent="0.25">
      <c r="B8274"/>
      <c r="Z8274"/>
    </row>
    <row r="8275" spans="2:26" x14ac:dyDescent="0.25">
      <c r="B8275"/>
      <c r="Z8275"/>
    </row>
    <row r="8276" spans="2:26" x14ac:dyDescent="0.25">
      <c r="B8276"/>
      <c r="Z8276"/>
    </row>
    <row r="8277" spans="2:26" x14ac:dyDescent="0.25">
      <c r="B8277"/>
      <c r="Z8277"/>
    </row>
    <row r="8278" spans="2:26" x14ac:dyDescent="0.25">
      <c r="B8278"/>
      <c r="Z8278"/>
    </row>
    <row r="8279" spans="2:26" x14ac:dyDescent="0.25">
      <c r="B8279"/>
      <c r="K8279" s="6"/>
      <c r="Z8279"/>
    </row>
    <row r="8280" spans="2:26" x14ac:dyDescent="0.25">
      <c r="B8280"/>
      <c r="Z8280"/>
    </row>
    <row r="8281" spans="2:26" x14ac:dyDescent="0.25">
      <c r="B8281"/>
      <c r="Z8281"/>
    </row>
    <row r="8282" spans="2:26" x14ac:dyDescent="0.25">
      <c r="B8282"/>
      <c r="Z8282"/>
    </row>
    <row r="8283" spans="2:26" x14ac:dyDescent="0.25">
      <c r="B8283"/>
      <c r="Z8283"/>
    </row>
    <row r="8284" spans="2:26" x14ac:dyDescent="0.25">
      <c r="B8284"/>
      <c r="Z8284"/>
    </row>
    <row r="8285" spans="2:26" x14ac:dyDescent="0.25">
      <c r="B8285"/>
      <c r="Z8285"/>
    </row>
    <row r="8286" spans="2:26" x14ac:dyDescent="0.25">
      <c r="B8286"/>
      <c r="Z8286"/>
    </row>
    <row r="8287" spans="2:26" x14ac:dyDescent="0.25">
      <c r="B8287"/>
      <c r="Z8287"/>
    </row>
    <row r="8288" spans="2:26" x14ac:dyDescent="0.25">
      <c r="B8288"/>
      <c r="Z8288"/>
    </row>
    <row r="8289" spans="1:33" x14ac:dyDescent="0.25">
      <c r="A8289" s="6"/>
      <c r="B8289" s="6"/>
      <c r="C8289" s="6"/>
      <c r="D8289" s="6"/>
      <c r="E8289" s="6"/>
      <c r="F8289" s="6"/>
      <c r="G8289" s="6"/>
      <c r="H8289" s="6"/>
      <c r="I8289" s="6"/>
      <c r="J8289" s="6"/>
      <c r="K8289" s="6"/>
      <c r="L8289" s="6"/>
      <c r="M8289" s="6"/>
      <c r="N8289" s="6"/>
      <c r="O8289" s="6"/>
      <c r="P8289" s="6"/>
      <c r="Q8289" s="6"/>
      <c r="R8289" s="6"/>
      <c r="S8289" s="6"/>
      <c r="T8289" s="6"/>
      <c r="U8289" s="6"/>
      <c r="V8289" s="6"/>
      <c r="W8289" s="6"/>
      <c r="X8289" s="6"/>
      <c r="Y8289" s="6"/>
      <c r="Z8289" s="6"/>
      <c r="AA8289" s="6"/>
      <c r="AB8289" s="6"/>
      <c r="AC8289" s="6"/>
      <c r="AD8289" s="6"/>
      <c r="AE8289" s="6"/>
      <c r="AF8289" s="6"/>
      <c r="AG8289" s="6"/>
    </row>
    <row r="8290" spans="1:33" x14ac:dyDescent="0.25">
      <c r="B8290"/>
      <c r="Z8290"/>
    </row>
    <row r="8291" spans="1:33" x14ac:dyDescent="0.25">
      <c r="B8291"/>
      <c r="Z8291"/>
    </row>
    <row r="8292" spans="1:33" x14ac:dyDescent="0.25">
      <c r="B8292"/>
      <c r="Z8292"/>
    </row>
    <row r="8293" spans="1:33" x14ac:dyDescent="0.25">
      <c r="B8293"/>
      <c r="Z8293"/>
    </row>
    <row r="8294" spans="1:33" x14ac:dyDescent="0.25">
      <c r="B8294"/>
      <c r="Z8294"/>
    </row>
    <row r="8295" spans="1:33" x14ac:dyDescent="0.25">
      <c r="B8295"/>
      <c r="Z8295"/>
    </row>
    <row r="8296" spans="1:33" x14ac:dyDescent="0.25">
      <c r="B8296"/>
      <c r="Z8296"/>
    </row>
    <row r="8297" spans="1:33" x14ac:dyDescent="0.25">
      <c r="B8297"/>
      <c r="Z8297"/>
    </row>
    <row r="8298" spans="1:33" x14ac:dyDescent="0.25">
      <c r="B8298"/>
      <c r="Z8298"/>
    </row>
    <row r="8299" spans="1:33" x14ac:dyDescent="0.25">
      <c r="B8299"/>
      <c r="Z8299"/>
    </row>
    <row r="8300" spans="1:33" x14ac:dyDescent="0.25">
      <c r="B8300"/>
      <c r="Z8300"/>
    </row>
    <row r="8301" spans="1:33" x14ac:dyDescent="0.25">
      <c r="B8301"/>
      <c r="Z8301"/>
    </row>
    <row r="8302" spans="1:33" x14ac:dyDescent="0.25">
      <c r="B8302"/>
      <c r="Z8302"/>
    </row>
    <row r="8303" spans="1:33" x14ac:dyDescent="0.25">
      <c r="B8303"/>
      <c r="Z8303"/>
    </row>
    <row r="8304" spans="1:33" x14ac:dyDescent="0.25">
      <c r="B8304"/>
      <c r="Z8304"/>
    </row>
    <row r="8305" spans="2:26" x14ac:dyDescent="0.25">
      <c r="B8305"/>
      <c r="Z8305"/>
    </row>
    <row r="8306" spans="2:26" x14ac:dyDescent="0.25">
      <c r="B8306"/>
      <c r="Z8306"/>
    </row>
    <row r="8307" spans="2:26" x14ac:dyDescent="0.25">
      <c r="B8307"/>
      <c r="Z8307"/>
    </row>
    <row r="8308" spans="2:26" x14ac:dyDescent="0.25">
      <c r="B8308"/>
      <c r="Z8308"/>
    </row>
    <row r="8309" spans="2:26" x14ac:dyDescent="0.25">
      <c r="B8309"/>
      <c r="Z8309"/>
    </row>
    <row r="8310" spans="2:26" x14ac:dyDescent="0.25">
      <c r="B8310"/>
      <c r="Z8310"/>
    </row>
    <row r="8311" spans="2:26" x14ac:dyDescent="0.25">
      <c r="B8311"/>
      <c r="Z8311"/>
    </row>
    <row r="8312" spans="2:26" x14ac:dyDescent="0.25">
      <c r="B8312"/>
      <c r="Z8312"/>
    </row>
    <row r="8313" spans="2:26" x14ac:dyDescent="0.25">
      <c r="B8313"/>
      <c r="Z8313"/>
    </row>
    <row r="8314" spans="2:26" x14ac:dyDescent="0.25">
      <c r="B8314"/>
      <c r="Z8314"/>
    </row>
    <row r="8315" spans="2:26" x14ac:dyDescent="0.25">
      <c r="B8315"/>
      <c r="Z8315"/>
    </row>
    <row r="8316" spans="2:26" x14ac:dyDescent="0.25">
      <c r="B8316"/>
      <c r="Z8316"/>
    </row>
    <row r="8317" spans="2:26" x14ac:dyDescent="0.25">
      <c r="B8317"/>
      <c r="Z8317"/>
    </row>
    <row r="8318" spans="2:26" x14ac:dyDescent="0.25">
      <c r="B8318"/>
      <c r="Z8318"/>
    </row>
    <row r="8319" spans="2:26" x14ac:dyDescent="0.25">
      <c r="B8319"/>
      <c r="Z8319"/>
    </row>
    <row r="8320" spans="2:26" x14ac:dyDescent="0.25">
      <c r="B8320"/>
      <c r="Z8320"/>
    </row>
    <row r="8321" spans="2:26" x14ac:dyDescent="0.25">
      <c r="B8321"/>
      <c r="Z8321"/>
    </row>
    <row r="8322" spans="2:26" x14ac:dyDescent="0.25">
      <c r="B8322"/>
      <c r="Z8322"/>
    </row>
    <row r="8323" spans="2:26" x14ac:dyDescent="0.25">
      <c r="B8323"/>
      <c r="Z8323"/>
    </row>
    <row r="8324" spans="2:26" x14ac:dyDescent="0.25">
      <c r="B8324"/>
      <c r="Z8324"/>
    </row>
    <row r="8325" spans="2:26" x14ac:dyDescent="0.25">
      <c r="B8325"/>
      <c r="Z8325"/>
    </row>
    <row r="8326" spans="2:26" x14ac:dyDescent="0.25">
      <c r="B8326"/>
      <c r="Z8326"/>
    </row>
    <row r="8327" spans="2:26" x14ac:dyDescent="0.25">
      <c r="B8327"/>
      <c r="Z8327"/>
    </row>
    <row r="8328" spans="2:26" x14ac:dyDescent="0.25">
      <c r="B8328"/>
      <c r="Z8328"/>
    </row>
    <row r="8329" spans="2:26" x14ac:dyDescent="0.25">
      <c r="B8329"/>
      <c r="Z8329"/>
    </row>
    <row r="8330" spans="2:26" x14ac:dyDescent="0.25">
      <c r="B8330"/>
      <c r="Z8330"/>
    </row>
    <row r="8331" spans="2:26" x14ac:dyDescent="0.25">
      <c r="B8331"/>
      <c r="Z8331"/>
    </row>
    <row r="8332" spans="2:26" x14ac:dyDescent="0.25">
      <c r="B8332"/>
      <c r="Z8332"/>
    </row>
    <row r="8333" spans="2:26" x14ac:dyDescent="0.25">
      <c r="B8333"/>
      <c r="Z8333"/>
    </row>
    <row r="8334" spans="2:26" x14ac:dyDescent="0.25">
      <c r="B8334"/>
      <c r="Z8334"/>
    </row>
    <row r="8335" spans="2:26" x14ac:dyDescent="0.25">
      <c r="B8335"/>
      <c r="Z8335"/>
    </row>
    <row r="8336" spans="2:26" x14ac:dyDescent="0.25">
      <c r="B8336"/>
      <c r="Z8336"/>
    </row>
    <row r="8337" spans="2:26" x14ac:dyDescent="0.25">
      <c r="B8337"/>
      <c r="Z8337"/>
    </row>
    <row r="8338" spans="2:26" x14ac:dyDescent="0.25">
      <c r="B8338"/>
      <c r="Z8338"/>
    </row>
    <row r="8339" spans="2:26" x14ac:dyDescent="0.25">
      <c r="B8339"/>
      <c r="Z8339"/>
    </row>
    <row r="8340" spans="2:26" x14ac:dyDescent="0.25">
      <c r="B8340"/>
      <c r="Z8340"/>
    </row>
    <row r="8341" spans="2:26" x14ac:dyDescent="0.25">
      <c r="B8341"/>
      <c r="Z8341"/>
    </row>
    <row r="8342" spans="2:26" x14ac:dyDescent="0.25">
      <c r="B8342"/>
      <c r="Z8342"/>
    </row>
    <row r="8343" spans="2:26" x14ac:dyDescent="0.25">
      <c r="B8343"/>
      <c r="Z8343"/>
    </row>
    <row r="8344" spans="2:26" x14ac:dyDescent="0.25">
      <c r="B8344"/>
      <c r="Z8344"/>
    </row>
    <row r="8345" spans="2:26" x14ac:dyDescent="0.25">
      <c r="B8345"/>
      <c r="Z8345"/>
    </row>
    <row r="8346" spans="2:26" x14ac:dyDescent="0.25">
      <c r="B8346"/>
      <c r="Z8346"/>
    </row>
    <row r="8347" spans="2:26" x14ac:dyDescent="0.25">
      <c r="B8347"/>
      <c r="Z8347"/>
    </row>
    <row r="8348" spans="2:26" x14ac:dyDescent="0.25">
      <c r="B8348"/>
      <c r="Z8348"/>
    </row>
    <row r="8349" spans="2:26" x14ac:dyDescent="0.25">
      <c r="B8349"/>
      <c r="Z8349"/>
    </row>
    <row r="8350" spans="2:26" x14ac:dyDescent="0.25">
      <c r="B8350"/>
      <c r="Z8350"/>
    </row>
    <row r="8351" spans="2:26" x14ac:dyDescent="0.25">
      <c r="B8351"/>
      <c r="Z8351"/>
    </row>
    <row r="8352" spans="2:26" x14ac:dyDescent="0.25">
      <c r="B8352"/>
      <c r="Z8352"/>
    </row>
    <row r="8353" spans="2:26" x14ac:dyDescent="0.25">
      <c r="B8353"/>
      <c r="Z8353"/>
    </row>
    <row r="8354" spans="2:26" x14ac:dyDescent="0.25">
      <c r="B8354"/>
      <c r="Z8354"/>
    </row>
    <row r="8355" spans="2:26" x14ac:dyDescent="0.25">
      <c r="B8355"/>
      <c r="Z8355"/>
    </row>
    <row r="8356" spans="2:26" x14ac:dyDescent="0.25">
      <c r="B8356"/>
      <c r="Z8356"/>
    </row>
    <row r="8357" spans="2:26" x14ac:dyDescent="0.25">
      <c r="B8357"/>
      <c r="Z8357"/>
    </row>
    <row r="8358" spans="2:26" x14ac:dyDescent="0.25">
      <c r="B8358"/>
      <c r="Z8358"/>
    </row>
    <row r="8359" spans="2:26" x14ac:dyDescent="0.25">
      <c r="B8359"/>
      <c r="Z8359"/>
    </row>
    <row r="8360" spans="2:26" x14ac:dyDescent="0.25">
      <c r="B8360"/>
      <c r="Z8360"/>
    </row>
    <row r="8361" spans="2:26" x14ac:dyDescent="0.25">
      <c r="B8361"/>
      <c r="Z8361"/>
    </row>
    <row r="8362" spans="2:26" x14ac:dyDescent="0.25">
      <c r="B8362"/>
      <c r="Z8362"/>
    </row>
    <row r="8363" spans="2:26" x14ac:dyDescent="0.25">
      <c r="B8363"/>
      <c r="Z8363"/>
    </row>
    <row r="8364" spans="2:26" x14ac:dyDescent="0.25">
      <c r="B8364"/>
      <c r="Z8364"/>
    </row>
    <row r="8365" spans="2:26" x14ac:dyDescent="0.25">
      <c r="B8365"/>
      <c r="Z8365"/>
    </row>
    <row r="8366" spans="2:26" x14ac:dyDescent="0.25">
      <c r="B8366"/>
      <c r="Z8366"/>
    </row>
    <row r="8367" spans="2:26" x14ac:dyDescent="0.25">
      <c r="B8367"/>
      <c r="Z8367"/>
    </row>
    <row r="8368" spans="2:26" x14ac:dyDescent="0.25">
      <c r="B8368"/>
      <c r="Z8368"/>
    </row>
    <row r="8369" spans="2:26" x14ac:dyDescent="0.25">
      <c r="B8369"/>
      <c r="Z8369"/>
    </row>
    <row r="8370" spans="2:26" x14ac:dyDescent="0.25">
      <c r="B8370"/>
      <c r="Z8370"/>
    </row>
    <row r="8371" spans="2:26" x14ac:dyDescent="0.25">
      <c r="B8371"/>
      <c r="Z8371"/>
    </row>
    <row r="8372" spans="2:26" x14ac:dyDescent="0.25">
      <c r="B8372"/>
      <c r="Z8372"/>
    </row>
    <row r="8373" spans="2:26" x14ac:dyDescent="0.25">
      <c r="B8373"/>
      <c r="Z8373"/>
    </row>
    <row r="8374" spans="2:26" x14ac:dyDescent="0.25">
      <c r="B8374"/>
      <c r="Z8374"/>
    </row>
    <row r="8375" spans="2:26" x14ac:dyDescent="0.25">
      <c r="B8375"/>
      <c r="Z8375"/>
    </row>
    <row r="8376" spans="2:26" x14ac:dyDescent="0.25">
      <c r="B8376"/>
      <c r="Z8376"/>
    </row>
    <row r="8377" spans="2:26" x14ac:dyDescent="0.25">
      <c r="B8377"/>
      <c r="Z8377"/>
    </row>
    <row r="8378" spans="2:26" x14ac:dyDescent="0.25">
      <c r="B8378"/>
      <c r="Z8378"/>
    </row>
    <row r="8379" spans="2:26" x14ac:dyDescent="0.25">
      <c r="B8379"/>
      <c r="Z8379"/>
    </row>
    <row r="8380" spans="2:26" x14ac:dyDescent="0.25">
      <c r="B8380"/>
      <c r="Z8380"/>
    </row>
    <row r="8381" spans="2:26" x14ac:dyDescent="0.25">
      <c r="B8381"/>
      <c r="Z8381"/>
    </row>
    <row r="8382" spans="2:26" x14ac:dyDescent="0.25">
      <c r="B8382"/>
      <c r="Z8382"/>
    </row>
    <row r="8383" spans="2:26" x14ac:dyDescent="0.25">
      <c r="B8383"/>
      <c r="Z8383"/>
    </row>
    <row r="8384" spans="2:26" x14ac:dyDescent="0.25">
      <c r="B8384"/>
      <c r="Z8384"/>
    </row>
    <row r="8385" spans="1:33" x14ac:dyDescent="0.25">
      <c r="B8385"/>
      <c r="Z8385"/>
    </row>
    <row r="8386" spans="1:33" x14ac:dyDescent="0.25">
      <c r="B8386"/>
      <c r="Z8386"/>
    </row>
    <row r="8387" spans="1:33" x14ac:dyDescent="0.25">
      <c r="B8387"/>
      <c r="K8387" s="6"/>
      <c r="Z8387"/>
    </row>
    <row r="8388" spans="1:33" x14ac:dyDescent="0.25">
      <c r="B8388"/>
      <c r="Z8388"/>
    </row>
    <row r="8389" spans="1:33" x14ac:dyDescent="0.25">
      <c r="B8389"/>
      <c r="Z8389"/>
    </row>
    <row r="8390" spans="1:33" x14ac:dyDescent="0.25">
      <c r="B8390"/>
      <c r="Z8390"/>
    </row>
    <row r="8391" spans="1:33" x14ac:dyDescent="0.25">
      <c r="B8391"/>
      <c r="Z8391"/>
    </row>
    <row r="8392" spans="1:33" x14ac:dyDescent="0.25">
      <c r="A8392" s="6"/>
      <c r="B8392" s="6"/>
      <c r="C8392" s="6"/>
      <c r="D8392" s="6"/>
      <c r="E8392" s="6"/>
      <c r="F8392" s="6"/>
      <c r="G8392" s="6"/>
      <c r="H8392" s="6"/>
      <c r="I8392" s="6"/>
      <c r="J8392" s="6"/>
      <c r="K8392" s="6"/>
      <c r="L8392" s="6"/>
      <c r="M8392" s="6"/>
      <c r="N8392" s="6"/>
      <c r="O8392" s="6"/>
      <c r="P8392" s="6"/>
      <c r="Q8392" s="6"/>
      <c r="R8392" s="6"/>
      <c r="S8392" s="6"/>
      <c r="T8392" s="6"/>
      <c r="U8392" s="6"/>
      <c r="V8392" s="6"/>
      <c r="W8392" s="6"/>
      <c r="X8392" s="6"/>
      <c r="Y8392" s="6"/>
      <c r="Z8392" s="6"/>
      <c r="AA8392" s="6"/>
      <c r="AB8392" s="6"/>
      <c r="AC8392" s="6"/>
      <c r="AD8392" s="6"/>
      <c r="AE8392" s="6"/>
      <c r="AF8392" s="6"/>
      <c r="AG8392" s="6"/>
    </row>
    <row r="8393" spans="1:33" x14ac:dyDescent="0.25">
      <c r="B8393"/>
      <c r="Z8393"/>
    </row>
    <row r="8394" spans="1:33" x14ac:dyDescent="0.25">
      <c r="B8394"/>
      <c r="Z8394"/>
    </row>
    <row r="8395" spans="1:33" x14ac:dyDescent="0.25">
      <c r="B8395"/>
      <c r="Z8395"/>
    </row>
    <row r="8396" spans="1:33" x14ac:dyDescent="0.25">
      <c r="B8396"/>
      <c r="Z8396"/>
    </row>
    <row r="8397" spans="1:33" x14ac:dyDescent="0.25">
      <c r="B8397"/>
      <c r="Z8397"/>
    </row>
    <row r="8398" spans="1:33" x14ac:dyDescent="0.25">
      <c r="B8398"/>
      <c r="Z8398"/>
    </row>
    <row r="8399" spans="1:33" x14ac:dyDescent="0.25">
      <c r="B8399"/>
      <c r="Z8399"/>
    </row>
    <row r="8400" spans="1:33" x14ac:dyDescent="0.25">
      <c r="B8400"/>
      <c r="Z8400"/>
    </row>
    <row r="8401" spans="2:26" x14ac:dyDescent="0.25">
      <c r="B8401"/>
      <c r="Z8401"/>
    </row>
    <row r="8402" spans="2:26" x14ac:dyDescent="0.25">
      <c r="B8402"/>
      <c r="Z8402"/>
    </row>
    <row r="8403" spans="2:26" x14ac:dyDescent="0.25">
      <c r="B8403"/>
      <c r="Z8403"/>
    </row>
    <row r="8404" spans="2:26" x14ac:dyDescent="0.25">
      <c r="B8404"/>
      <c r="Z8404"/>
    </row>
    <row r="8405" spans="2:26" x14ac:dyDescent="0.25">
      <c r="B8405"/>
      <c r="Z8405"/>
    </row>
    <row r="8406" spans="2:26" x14ac:dyDescent="0.25">
      <c r="B8406"/>
      <c r="Z8406"/>
    </row>
    <row r="8407" spans="2:26" x14ac:dyDescent="0.25">
      <c r="B8407"/>
      <c r="Z8407"/>
    </row>
    <row r="8408" spans="2:26" x14ac:dyDescent="0.25">
      <c r="B8408"/>
      <c r="Z8408"/>
    </row>
    <row r="8409" spans="2:26" x14ac:dyDescent="0.25">
      <c r="B8409"/>
      <c r="Z8409"/>
    </row>
    <row r="8410" spans="2:26" x14ac:dyDescent="0.25">
      <c r="B8410"/>
      <c r="Z8410"/>
    </row>
    <row r="8411" spans="2:26" x14ac:dyDescent="0.25">
      <c r="B8411"/>
      <c r="Z8411"/>
    </row>
    <row r="8412" spans="2:26" x14ac:dyDescent="0.25">
      <c r="B8412"/>
      <c r="Z8412"/>
    </row>
    <row r="8413" spans="2:26" x14ac:dyDescent="0.25">
      <c r="B8413"/>
      <c r="Z8413"/>
    </row>
    <row r="8414" spans="2:26" x14ac:dyDescent="0.25">
      <c r="B8414"/>
      <c r="Z8414"/>
    </row>
    <row r="8415" spans="2:26" x14ac:dyDescent="0.25">
      <c r="B8415"/>
      <c r="Z8415"/>
    </row>
    <row r="8416" spans="2:26" x14ac:dyDescent="0.25">
      <c r="B8416"/>
      <c r="Z8416"/>
    </row>
    <row r="8417" spans="2:26" x14ac:dyDescent="0.25">
      <c r="B8417"/>
      <c r="Z8417"/>
    </row>
    <row r="8418" spans="2:26" x14ac:dyDescent="0.25">
      <c r="B8418"/>
      <c r="Z8418"/>
    </row>
    <row r="8419" spans="2:26" x14ac:dyDescent="0.25">
      <c r="B8419"/>
      <c r="Z8419"/>
    </row>
    <row r="8420" spans="2:26" x14ac:dyDescent="0.25">
      <c r="B8420"/>
      <c r="Z8420"/>
    </row>
    <row r="8421" spans="2:26" x14ac:dyDescent="0.25">
      <c r="B8421"/>
      <c r="Z8421"/>
    </row>
    <row r="8422" spans="2:26" x14ac:dyDescent="0.25">
      <c r="B8422"/>
      <c r="Z8422"/>
    </row>
    <row r="8423" spans="2:26" x14ac:dyDescent="0.25">
      <c r="B8423"/>
      <c r="Z8423"/>
    </row>
    <row r="8424" spans="2:26" x14ac:dyDescent="0.25">
      <c r="B8424"/>
      <c r="Z8424"/>
    </row>
    <row r="8425" spans="2:26" x14ac:dyDescent="0.25">
      <c r="B8425"/>
      <c r="Z8425"/>
    </row>
    <row r="8426" spans="2:26" x14ac:dyDescent="0.25">
      <c r="B8426"/>
      <c r="Z8426"/>
    </row>
    <row r="8427" spans="2:26" x14ac:dyDescent="0.25">
      <c r="B8427"/>
      <c r="Z8427"/>
    </row>
    <row r="8428" spans="2:26" x14ac:dyDescent="0.25">
      <c r="B8428"/>
      <c r="Z8428"/>
    </row>
    <row r="8429" spans="2:26" x14ac:dyDescent="0.25">
      <c r="B8429"/>
      <c r="Z8429"/>
    </row>
    <row r="8430" spans="2:26" x14ac:dyDescent="0.25">
      <c r="B8430"/>
      <c r="Z8430"/>
    </row>
    <row r="8431" spans="2:26" x14ac:dyDescent="0.25">
      <c r="B8431"/>
      <c r="Z8431"/>
    </row>
    <row r="8432" spans="2:26" x14ac:dyDescent="0.25">
      <c r="B8432"/>
      <c r="Z8432"/>
    </row>
    <row r="8433" spans="2:26" x14ac:dyDescent="0.25">
      <c r="B8433"/>
      <c r="Z8433"/>
    </row>
    <row r="8434" spans="2:26" x14ac:dyDescent="0.25">
      <c r="B8434"/>
      <c r="Z8434"/>
    </row>
    <row r="8435" spans="2:26" x14ac:dyDescent="0.25">
      <c r="B8435"/>
      <c r="Z8435"/>
    </row>
    <row r="8436" spans="2:26" x14ac:dyDescent="0.25">
      <c r="B8436"/>
      <c r="Z8436"/>
    </row>
    <row r="8437" spans="2:26" x14ac:dyDescent="0.25">
      <c r="B8437"/>
      <c r="Z8437"/>
    </row>
    <row r="8438" spans="2:26" x14ac:dyDescent="0.25">
      <c r="B8438"/>
      <c r="Z8438"/>
    </row>
    <row r="8439" spans="2:26" x14ac:dyDescent="0.25">
      <c r="B8439"/>
      <c r="Z8439"/>
    </row>
    <row r="8440" spans="2:26" x14ac:dyDescent="0.25">
      <c r="B8440"/>
      <c r="Z8440"/>
    </row>
    <row r="8441" spans="2:26" x14ac:dyDescent="0.25">
      <c r="B8441"/>
      <c r="Z8441"/>
    </row>
    <row r="8442" spans="2:26" x14ac:dyDescent="0.25">
      <c r="B8442"/>
      <c r="Z8442"/>
    </row>
    <row r="8443" spans="2:26" x14ac:dyDescent="0.25">
      <c r="B8443"/>
      <c r="Z8443"/>
    </row>
    <row r="8444" spans="2:26" x14ac:dyDescent="0.25">
      <c r="B8444"/>
      <c r="Z8444"/>
    </row>
    <row r="8445" spans="2:26" x14ac:dyDescent="0.25">
      <c r="B8445"/>
      <c r="Z8445"/>
    </row>
    <row r="8446" spans="2:26" x14ac:dyDescent="0.25">
      <c r="B8446"/>
      <c r="Z8446"/>
    </row>
    <row r="8447" spans="2:26" x14ac:dyDescent="0.25">
      <c r="B8447"/>
      <c r="Z8447"/>
    </row>
    <row r="8448" spans="2:26" x14ac:dyDescent="0.25">
      <c r="B8448"/>
      <c r="Z8448"/>
    </row>
    <row r="8449" spans="2:26" x14ac:dyDescent="0.25">
      <c r="B8449"/>
      <c r="Z8449"/>
    </row>
    <row r="8450" spans="2:26" x14ac:dyDescent="0.25">
      <c r="B8450"/>
      <c r="Z8450"/>
    </row>
    <row r="8451" spans="2:26" x14ac:dyDescent="0.25">
      <c r="B8451"/>
      <c r="Z8451"/>
    </row>
    <row r="8452" spans="2:26" x14ac:dyDescent="0.25">
      <c r="B8452"/>
      <c r="Z8452"/>
    </row>
    <row r="8453" spans="2:26" x14ac:dyDescent="0.25">
      <c r="B8453"/>
      <c r="Z8453"/>
    </row>
    <row r="8454" spans="2:26" x14ac:dyDescent="0.25">
      <c r="B8454"/>
      <c r="Z8454"/>
    </row>
    <row r="8455" spans="2:26" x14ac:dyDescent="0.25">
      <c r="B8455"/>
      <c r="Z8455"/>
    </row>
    <row r="8456" spans="2:26" x14ac:dyDescent="0.25">
      <c r="B8456"/>
      <c r="Z8456"/>
    </row>
    <row r="8457" spans="2:26" x14ac:dyDescent="0.25">
      <c r="B8457"/>
      <c r="Z8457"/>
    </row>
    <row r="8458" spans="2:26" x14ac:dyDescent="0.25">
      <c r="B8458"/>
      <c r="Z8458"/>
    </row>
    <row r="8459" spans="2:26" x14ac:dyDescent="0.25">
      <c r="B8459"/>
      <c r="Z8459"/>
    </row>
    <row r="8460" spans="2:26" x14ac:dyDescent="0.25">
      <c r="B8460"/>
      <c r="Z8460"/>
    </row>
    <row r="8461" spans="2:26" x14ac:dyDescent="0.25">
      <c r="B8461"/>
      <c r="Z8461"/>
    </row>
    <row r="8462" spans="2:26" x14ac:dyDescent="0.25">
      <c r="B8462"/>
      <c r="Z8462"/>
    </row>
    <row r="8463" spans="2:26" x14ac:dyDescent="0.25">
      <c r="B8463"/>
      <c r="Z8463"/>
    </row>
    <row r="8464" spans="2:26" x14ac:dyDescent="0.25">
      <c r="B8464"/>
      <c r="Z8464"/>
    </row>
    <row r="8465" spans="2:26" x14ac:dyDescent="0.25">
      <c r="B8465"/>
      <c r="Z8465"/>
    </row>
    <row r="8466" spans="2:26" x14ac:dyDescent="0.25">
      <c r="B8466"/>
      <c r="Z8466"/>
    </row>
    <row r="8467" spans="2:26" x14ac:dyDescent="0.25">
      <c r="B8467"/>
      <c r="Z8467"/>
    </row>
    <row r="8468" spans="2:26" x14ac:dyDescent="0.25">
      <c r="B8468"/>
      <c r="Z8468"/>
    </row>
    <row r="8469" spans="2:26" x14ac:dyDescent="0.25">
      <c r="B8469"/>
      <c r="Z8469"/>
    </row>
    <row r="8470" spans="2:26" x14ac:dyDescent="0.25">
      <c r="B8470"/>
      <c r="Z8470"/>
    </row>
    <row r="8471" spans="2:26" x14ac:dyDescent="0.25">
      <c r="B8471"/>
      <c r="Z8471"/>
    </row>
    <row r="8472" spans="2:26" x14ac:dyDescent="0.25">
      <c r="B8472"/>
      <c r="Z8472"/>
    </row>
    <row r="8473" spans="2:26" x14ac:dyDescent="0.25">
      <c r="B8473"/>
      <c r="Z8473"/>
    </row>
    <row r="8474" spans="2:26" x14ac:dyDescent="0.25">
      <c r="B8474"/>
      <c r="Z8474"/>
    </row>
    <row r="8475" spans="2:26" x14ac:dyDescent="0.25">
      <c r="B8475"/>
      <c r="Z8475"/>
    </row>
    <row r="8476" spans="2:26" x14ac:dyDescent="0.25">
      <c r="B8476"/>
      <c r="Z8476"/>
    </row>
    <row r="8477" spans="2:26" x14ac:dyDescent="0.25">
      <c r="B8477"/>
      <c r="Z8477"/>
    </row>
    <row r="8478" spans="2:26" x14ac:dyDescent="0.25">
      <c r="B8478"/>
      <c r="Z8478"/>
    </row>
    <row r="8479" spans="2:26" x14ac:dyDescent="0.25">
      <c r="B8479"/>
      <c r="Z8479"/>
    </row>
    <row r="8480" spans="2:26" x14ac:dyDescent="0.25">
      <c r="B8480"/>
      <c r="Z8480"/>
    </row>
    <row r="8481" spans="1:33" x14ac:dyDescent="0.25">
      <c r="B8481"/>
      <c r="Z8481"/>
    </row>
    <row r="8482" spans="1:33" x14ac:dyDescent="0.25">
      <c r="B8482"/>
      <c r="Z8482"/>
    </row>
    <row r="8483" spans="1:33" x14ac:dyDescent="0.25">
      <c r="B8483"/>
      <c r="Z8483"/>
    </row>
    <row r="8484" spans="1:33" x14ac:dyDescent="0.25">
      <c r="B8484"/>
      <c r="Z8484"/>
    </row>
    <row r="8485" spans="1:33" x14ac:dyDescent="0.25">
      <c r="B8485"/>
      <c r="Z8485"/>
    </row>
    <row r="8486" spans="1:33" x14ac:dyDescent="0.25">
      <c r="B8486"/>
      <c r="Z8486"/>
    </row>
    <row r="8487" spans="1:33" x14ac:dyDescent="0.25">
      <c r="B8487"/>
      <c r="K8487" s="6"/>
      <c r="Z8487"/>
    </row>
    <row r="8488" spans="1:33" x14ac:dyDescent="0.25">
      <c r="B8488"/>
      <c r="Z8488"/>
    </row>
    <row r="8489" spans="1:33" x14ac:dyDescent="0.25">
      <c r="B8489"/>
      <c r="Z8489"/>
    </row>
    <row r="8490" spans="1:33" x14ac:dyDescent="0.25">
      <c r="B8490"/>
      <c r="Z8490"/>
    </row>
    <row r="8491" spans="1:33" x14ac:dyDescent="0.25">
      <c r="B8491"/>
      <c r="Z8491"/>
    </row>
    <row r="8492" spans="1:33" x14ac:dyDescent="0.25">
      <c r="B8492"/>
      <c r="Z8492"/>
    </row>
    <row r="8493" spans="1:33" x14ac:dyDescent="0.25">
      <c r="B8493"/>
      <c r="Z8493"/>
    </row>
    <row r="8494" spans="1:33" x14ac:dyDescent="0.25">
      <c r="B8494"/>
      <c r="Z8494"/>
    </row>
    <row r="8495" spans="1:33" x14ac:dyDescent="0.25">
      <c r="A8495" s="6"/>
      <c r="B8495" s="6"/>
      <c r="C8495" s="6"/>
      <c r="D8495" s="6"/>
      <c r="E8495" s="6"/>
      <c r="F8495" s="6"/>
      <c r="G8495" s="6"/>
      <c r="H8495" s="6"/>
      <c r="I8495" s="6"/>
      <c r="J8495" s="6"/>
      <c r="K8495" s="6"/>
      <c r="L8495" s="6"/>
      <c r="M8495" s="6"/>
      <c r="N8495" s="6"/>
      <c r="O8495" s="6"/>
      <c r="P8495" s="6"/>
      <c r="Q8495" s="6"/>
      <c r="R8495" s="6"/>
      <c r="S8495" s="6"/>
      <c r="T8495" s="6"/>
      <c r="U8495" s="6"/>
      <c r="V8495" s="6"/>
      <c r="W8495" s="6"/>
      <c r="X8495" s="6"/>
      <c r="Y8495" s="6"/>
      <c r="Z8495" s="6"/>
      <c r="AA8495" s="6"/>
      <c r="AB8495" s="6"/>
      <c r="AC8495" s="6"/>
      <c r="AD8495" s="6"/>
      <c r="AE8495" s="6"/>
      <c r="AF8495" s="6"/>
      <c r="AG8495" s="6"/>
    </row>
    <row r="8496" spans="1:33" x14ac:dyDescent="0.25">
      <c r="B8496"/>
      <c r="Z8496"/>
    </row>
    <row r="8497" spans="2:26" x14ac:dyDescent="0.25">
      <c r="B8497"/>
      <c r="Z8497"/>
    </row>
    <row r="8498" spans="2:26" x14ac:dyDescent="0.25">
      <c r="B8498"/>
      <c r="Z8498"/>
    </row>
    <row r="8499" spans="2:26" x14ac:dyDescent="0.25">
      <c r="B8499"/>
      <c r="Z8499"/>
    </row>
    <row r="8500" spans="2:26" x14ac:dyDescent="0.25">
      <c r="B8500"/>
      <c r="Z8500"/>
    </row>
    <row r="8501" spans="2:26" x14ac:dyDescent="0.25">
      <c r="B8501"/>
      <c r="Z8501"/>
    </row>
    <row r="8502" spans="2:26" x14ac:dyDescent="0.25">
      <c r="B8502"/>
      <c r="Z8502"/>
    </row>
    <row r="8503" spans="2:26" x14ac:dyDescent="0.25">
      <c r="B8503"/>
      <c r="Z8503"/>
    </row>
    <row r="8504" spans="2:26" x14ac:dyDescent="0.25">
      <c r="B8504"/>
      <c r="Z8504"/>
    </row>
    <row r="8505" spans="2:26" x14ac:dyDescent="0.25">
      <c r="B8505"/>
      <c r="Z8505"/>
    </row>
    <row r="8506" spans="2:26" x14ac:dyDescent="0.25">
      <c r="B8506"/>
      <c r="Z8506"/>
    </row>
    <row r="8507" spans="2:26" x14ac:dyDescent="0.25">
      <c r="B8507"/>
      <c r="Z8507"/>
    </row>
    <row r="8508" spans="2:26" x14ac:dyDescent="0.25">
      <c r="B8508"/>
      <c r="Z8508"/>
    </row>
    <row r="8509" spans="2:26" x14ac:dyDescent="0.25">
      <c r="B8509"/>
      <c r="Z8509"/>
    </row>
    <row r="8510" spans="2:26" x14ac:dyDescent="0.25">
      <c r="B8510"/>
      <c r="Z8510"/>
    </row>
    <row r="8511" spans="2:26" x14ac:dyDescent="0.25">
      <c r="B8511"/>
      <c r="Z8511"/>
    </row>
    <row r="8512" spans="2:26" x14ac:dyDescent="0.25">
      <c r="B8512"/>
      <c r="Z8512"/>
    </row>
    <row r="8513" spans="2:26" x14ac:dyDescent="0.25">
      <c r="B8513"/>
      <c r="Z8513"/>
    </row>
    <row r="8514" spans="2:26" x14ac:dyDescent="0.25">
      <c r="B8514"/>
      <c r="Z8514"/>
    </row>
    <row r="8515" spans="2:26" x14ac:dyDescent="0.25">
      <c r="B8515"/>
      <c r="Z8515"/>
    </row>
    <row r="8516" spans="2:26" x14ac:dyDescent="0.25">
      <c r="B8516"/>
      <c r="Z8516"/>
    </row>
    <row r="8517" spans="2:26" x14ac:dyDescent="0.25">
      <c r="B8517"/>
      <c r="Z8517"/>
    </row>
    <row r="8518" spans="2:26" x14ac:dyDescent="0.25">
      <c r="B8518"/>
      <c r="Z8518"/>
    </row>
    <row r="8519" spans="2:26" x14ac:dyDescent="0.25">
      <c r="B8519"/>
      <c r="Z8519"/>
    </row>
    <row r="8520" spans="2:26" x14ac:dyDescent="0.25">
      <c r="B8520"/>
      <c r="Z8520"/>
    </row>
    <row r="8521" spans="2:26" x14ac:dyDescent="0.25">
      <c r="B8521"/>
      <c r="Z8521"/>
    </row>
    <row r="8522" spans="2:26" x14ac:dyDescent="0.25">
      <c r="B8522"/>
      <c r="Z8522"/>
    </row>
    <row r="8523" spans="2:26" x14ac:dyDescent="0.25">
      <c r="B8523"/>
      <c r="Z8523"/>
    </row>
    <row r="8524" spans="2:26" x14ac:dyDescent="0.25">
      <c r="B8524"/>
      <c r="Z8524"/>
    </row>
    <row r="8525" spans="2:26" x14ac:dyDescent="0.25">
      <c r="B8525"/>
      <c r="Z8525"/>
    </row>
    <row r="8526" spans="2:26" x14ac:dyDescent="0.25">
      <c r="B8526"/>
      <c r="Z8526"/>
    </row>
    <row r="8527" spans="2:26" x14ac:dyDescent="0.25">
      <c r="B8527"/>
      <c r="Z8527"/>
    </row>
    <row r="8528" spans="2:26" x14ac:dyDescent="0.25">
      <c r="B8528"/>
      <c r="Z8528"/>
    </row>
    <row r="8529" spans="2:26" x14ac:dyDescent="0.25">
      <c r="B8529"/>
      <c r="Z8529"/>
    </row>
    <row r="8530" spans="2:26" x14ac:dyDescent="0.25">
      <c r="B8530"/>
      <c r="Z8530"/>
    </row>
    <row r="8531" spans="2:26" x14ac:dyDescent="0.25">
      <c r="B8531"/>
      <c r="Z8531"/>
    </row>
    <row r="8532" spans="2:26" x14ac:dyDescent="0.25">
      <c r="B8532"/>
      <c r="Z8532"/>
    </row>
    <row r="8533" spans="2:26" x14ac:dyDescent="0.25">
      <c r="B8533"/>
      <c r="Z8533"/>
    </row>
    <row r="8534" spans="2:26" x14ac:dyDescent="0.25">
      <c r="B8534"/>
      <c r="Z8534"/>
    </row>
    <row r="8535" spans="2:26" x14ac:dyDescent="0.25">
      <c r="B8535"/>
      <c r="Z8535"/>
    </row>
    <row r="8536" spans="2:26" x14ac:dyDescent="0.25">
      <c r="B8536"/>
      <c r="Z8536"/>
    </row>
    <row r="8537" spans="2:26" x14ac:dyDescent="0.25">
      <c r="B8537"/>
      <c r="Z8537"/>
    </row>
    <row r="8538" spans="2:26" x14ac:dyDescent="0.25">
      <c r="B8538"/>
      <c r="Z8538"/>
    </row>
    <row r="8539" spans="2:26" x14ac:dyDescent="0.25">
      <c r="B8539"/>
      <c r="Z8539"/>
    </row>
    <row r="8540" spans="2:26" x14ac:dyDescent="0.25">
      <c r="B8540"/>
      <c r="Z8540"/>
    </row>
    <row r="8541" spans="2:26" x14ac:dyDescent="0.25">
      <c r="B8541"/>
      <c r="Z8541"/>
    </row>
    <row r="8542" spans="2:26" x14ac:dyDescent="0.25">
      <c r="B8542"/>
      <c r="Z8542"/>
    </row>
    <row r="8543" spans="2:26" x14ac:dyDescent="0.25">
      <c r="B8543"/>
      <c r="Z8543"/>
    </row>
    <row r="8544" spans="2:26" x14ac:dyDescent="0.25">
      <c r="B8544"/>
      <c r="Z8544"/>
    </row>
    <row r="8545" spans="2:26" x14ac:dyDescent="0.25">
      <c r="B8545"/>
      <c r="Z8545"/>
    </row>
    <row r="8546" spans="2:26" x14ac:dyDescent="0.25">
      <c r="B8546"/>
      <c r="Z8546"/>
    </row>
    <row r="8547" spans="2:26" x14ac:dyDescent="0.25">
      <c r="B8547"/>
      <c r="Z8547"/>
    </row>
    <row r="8548" spans="2:26" x14ac:dyDescent="0.25">
      <c r="B8548"/>
      <c r="Z8548"/>
    </row>
    <row r="8549" spans="2:26" x14ac:dyDescent="0.25">
      <c r="B8549"/>
      <c r="Z8549"/>
    </row>
    <row r="8550" spans="2:26" x14ac:dyDescent="0.25">
      <c r="B8550"/>
      <c r="Z8550"/>
    </row>
    <row r="8551" spans="2:26" x14ac:dyDescent="0.25">
      <c r="B8551"/>
      <c r="Z8551"/>
    </row>
    <row r="8552" spans="2:26" x14ac:dyDescent="0.25">
      <c r="B8552"/>
      <c r="Z8552"/>
    </row>
    <row r="8553" spans="2:26" x14ac:dyDescent="0.25">
      <c r="B8553"/>
      <c r="Z8553"/>
    </row>
    <row r="8554" spans="2:26" x14ac:dyDescent="0.25">
      <c r="B8554"/>
      <c r="Z8554"/>
    </row>
    <row r="8555" spans="2:26" x14ac:dyDescent="0.25">
      <c r="B8555"/>
      <c r="Z8555"/>
    </row>
    <row r="8556" spans="2:26" x14ac:dyDescent="0.25">
      <c r="B8556"/>
      <c r="Z8556"/>
    </row>
    <row r="8557" spans="2:26" x14ac:dyDescent="0.25">
      <c r="B8557"/>
      <c r="Z8557"/>
    </row>
    <row r="8558" spans="2:26" x14ac:dyDescent="0.25">
      <c r="B8558"/>
      <c r="Z8558"/>
    </row>
    <row r="8559" spans="2:26" x14ac:dyDescent="0.25">
      <c r="B8559"/>
      <c r="Z8559"/>
    </row>
    <row r="8560" spans="2:26" x14ac:dyDescent="0.25">
      <c r="B8560"/>
      <c r="Z8560"/>
    </row>
    <row r="8561" spans="2:26" x14ac:dyDescent="0.25">
      <c r="B8561"/>
      <c r="Z8561"/>
    </row>
    <row r="8562" spans="2:26" x14ac:dyDescent="0.25">
      <c r="B8562"/>
      <c r="Z8562"/>
    </row>
    <row r="8563" spans="2:26" x14ac:dyDescent="0.25">
      <c r="B8563"/>
      <c r="Z8563"/>
    </row>
    <row r="8564" spans="2:26" x14ac:dyDescent="0.25">
      <c r="B8564"/>
      <c r="Z8564"/>
    </row>
    <row r="8565" spans="2:26" x14ac:dyDescent="0.25">
      <c r="B8565"/>
      <c r="Z8565"/>
    </row>
    <row r="8566" spans="2:26" x14ac:dyDescent="0.25">
      <c r="B8566"/>
      <c r="Z8566"/>
    </row>
    <row r="8567" spans="2:26" x14ac:dyDescent="0.25">
      <c r="B8567"/>
      <c r="Z8567"/>
    </row>
    <row r="8568" spans="2:26" x14ac:dyDescent="0.25">
      <c r="B8568"/>
      <c r="Z8568"/>
    </row>
    <row r="8569" spans="2:26" x14ac:dyDescent="0.25">
      <c r="B8569"/>
      <c r="Z8569"/>
    </row>
    <row r="8570" spans="2:26" x14ac:dyDescent="0.25">
      <c r="B8570"/>
      <c r="Z8570"/>
    </row>
    <row r="8571" spans="2:26" x14ac:dyDescent="0.25">
      <c r="B8571"/>
      <c r="Z8571"/>
    </row>
    <row r="8572" spans="2:26" x14ac:dyDescent="0.25">
      <c r="B8572"/>
      <c r="Z8572"/>
    </row>
    <row r="8573" spans="2:26" x14ac:dyDescent="0.25">
      <c r="B8573"/>
      <c r="Z8573"/>
    </row>
    <row r="8574" spans="2:26" x14ac:dyDescent="0.25">
      <c r="B8574"/>
      <c r="Z8574"/>
    </row>
    <row r="8575" spans="2:26" x14ac:dyDescent="0.25">
      <c r="B8575"/>
      <c r="Z8575"/>
    </row>
    <row r="8576" spans="2:26" x14ac:dyDescent="0.25">
      <c r="B8576"/>
      <c r="Z8576"/>
    </row>
    <row r="8577" spans="2:26" x14ac:dyDescent="0.25">
      <c r="B8577"/>
      <c r="Z8577"/>
    </row>
    <row r="8578" spans="2:26" x14ac:dyDescent="0.25">
      <c r="B8578"/>
      <c r="Z8578"/>
    </row>
    <row r="8579" spans="2:26" x14ac:dyDescent="0.25">
      <c r="B8579"/>
      <c r="Z8579"/>
    </row>
    <row r="8580" spans="2:26" x14ac:dyDescent="0.25">
      <c r="B8580"/>
      <c r="Z8580"/>
    </row>
    <row r="8581" spans="2:26" x14ac:dyDescent="0.25">
      <c r="B8581"/>
      <c r="Z8581"/>
    </row>
    <row r="8582" spans="2:26" x14ac:dyDescent="0.25">
      <c r="B8582"/>
      <c r="Z8582"/>
    </row>
    <row r="8583" spans="2:26" x14ac:dyDescent="0.25">
      <c r="B8583"/>
      <c r="Z8583"/>
    </row>
    <row r="8584" spans="2:26" x14ac:dyDescent="0.25">
      <c r="B8584"/>
      <c r="Z8584"/>
    </row>
    <row r="8585" spans="2:26" x14ac:dyDescent="0.25">
      <c r="B8585"/>
      <c r="Z8585"/>
    </row>
    <row r="8586" spans="2:26" x14ac:dyDescent="0.25">
      <c r="B8586"/>
      <c r="Z8586"/>
    </row>
    <row r="8587" spans="2:26" x14ac:dyDescent="0.25">
      <c r="B8587"/>
      <c r="Z8587"/>
    </row>
    <row r="8588" spans="2:26" x14ac:dyDescent="0.25">
      <c r="B8588"/>
      <c r="Z8588"/>
    </row>
    <row r="8589" spans="2:26" x14ac:dyDescent="0.25">
      <c r="B8589"/>
      <c r="Z8589"/>
    </row>
    <row r="8590" spans="2:26" x14ac:dyDescent="0.25">
      <c r="B8590"/>
      <c r="Z8590"/>
    </row>
    <row r="8591" spans="2:26" x14ac:dyDescent="0.25">
      <c r="B8591"/>
      <c r="Z8591"/>
    </row>
    <row r="8592" spans="2:26" x14ac:dyDescent="0.25">
      <c r="B8592"/>
      <c r="Z8592"/>
    </row>
    <row r="8593" spans="1:33" x14ac:dyDescent="0.25">
      <c r="B8593"/>
      <c r="Z8593"/>
    </row>
    <row r="8594" spans="1:33" x14ac:dyDescent="0.25">
      <c r="B8594"/>
      <c r="Z8594"/>
    </row>
    <row r="8595" spans="1:33" x14ac:dyDescent="0.25">
      <c r="B8595"/>
      <c r="Z8595"/>
    </row>
    <row r="8596" spans="1:33" x14ac:dyDescent="0.25">
      <c r="B8596"/>
      <c r="K8596" s="6"/>
      <c r="Z8596"/>
    </row>
    <row r="8597" spans="1:33" x14ac:dyDescent="0.25">
      <c r="B8597"/>
      <c r="Z8597"/>
    </row>
    <row r="8598" spans="1:33" x14ac:dyDescent="0.25">
      <c r="A8598" s="6"/>
      <c r="B8598" s="6"/>
      <c r="C8598" s="6"/>
      <c r="D8598" s="6"/>
      <c r="E8598" s="6"/>
      <c r="F8598" s="6"/>
      <c r="G8598" s="6"/>
      <c r="H8598" s="6"/>
      <c r="I8598" s="6"/>
      <c r="J8598" s="6"/>
      <c r="K8598" s="6"/>
      <c r="L8598" s="6"/>
      <c r="M8598" s="6"/>
      <c r="N8598" s="6"/>
      <c r="O8598" s="6"/>
      <c r="P8598" s="6"/>
      <c r="Q8598" s="6"/>
      <c r="R8598" s="6"/>
      <c r="S8598" s="6"/>
      <c r="T8598" s="6"/>
      <c r="U8598" s="6"/>
      <c r="V8598" s="6"/>
      <c r="W8598" s="6"/>
      <c r="X8598" s="6"/>
      <c r="Y8598" s="6"/>
      <c r="Z8598" s="6"/>
      <c r="AA8598" s="6"/>
      <c r="AB8598" s="6"/>
      <c r="AC8598" s="6"/>
      <c r="AD8598" s="6"/>
      <c r="AE8598" s="6"/>
      <c r="AF8598" s="6"/>
      <c r="AG8598" s="6"/>
    </row>
    <row r="8599" spans="1:33" x14ac:dyDescent="0.25">
      <c r="B8599"/>
      <c r="Z8599"/>
    </row>
    <row r="8600" spans="1:33" x14ac:dyDescent="0.25">
      <c r="B8600"/>
      <c r="Z8600"/>
    </row>
    <row r="8601" spans="1:33" x14ac:dyDescent="0.25">
      <c r="B8601"/>
      <c r="Z8601"/>
    </row>
    <row r="8602" spans="1:33" x14ac:dyDescent="0.25">
      <c r="B8602"/>
      <c r="Z8602"/>
    </row>
    <row r="8603" spans="1:33" x14ac:dyDescent="0.25">
      <c r="B8603"/>
      <c r="Z8603"/>
    </row>
    <row r="8604" spans="1:33" x14ac:dyDescent="0.25">
      <c r="B8604"/>
      <c r="Z8604"/>
    </row>
    <row r="8605" spans="1:33" x14ac:dyDescent="0.25">
      <c r="B8605"/>
      <c r="Z8605"/>
    </row>
    <row r="8606" spans="1:33" x14ac:dyDescent="0.25">
      <c r="B8606"/>
      <c r="Z8606"/>
    </row>
    <row r="8607" spans="1:33" x14ac:dyDescent="0.25">
      <c r="B8607"/>
      <c r="Z8607"/>
    </row>
    <row r="8608" spans="1:33" x14ac:dyDescent="0.25">
      <c r="B8608"/>
      <c r="Z8608"/>
    </row>
    <row r="8609" spans="2:26" x14ac:dyDescent="0.25">
      <c r="B8609"/>
      <c r="Z8609"/>
    </row>
    <row r="8610" spans="2:26" x14ac:dyDescent="0.25">
      <c r="B8610"/>
      <c r="Z8610"/>
    </row>
    <row r="8611" spans="2:26" x14ac:dyDescent="0.25">
      <c r="B8611"/>
      <c r="Z8611"/>
    </row>
    <row r="8612" spans="2:26" x14ac:dyDescent="0.25">
      <c r="B8612"/>
      <c r="Z8612"/>
    </row>
    <row r="8613" spans="2:26" x14ac:dyDescent="0.25">
      <c r="B8613"/>
      <c r="Z8613"/>
    </row>
    <row r="8614" spans="2:26" x14ac:dyDescent="0.25">
      <c r="B8614"/>
      <c r="Z8614"/>
    </row>
    <row r="8615" spans="2:26" x14ac:dyDescent="0.25">
      <c r="B8615"/>
      <c r="Z8615"/>
    </row>
    <row r="8616" spans="2:26" x14ac:dyDescent="0.25">
      <c r="B8616"/>
      <c r="Z8616"/>
    </row>
    <row r="8617" spans="2:26" x14ac:dyDescent="0.25">
      <c r="B8617"/>
      <c r="Z8617"/>
    </row>
    <row r="8618" spans="2:26" x14ac:dyDescent="0.25">
      <c r="B8618"/>
      <c r="Z8618"/>
    </row>
    <row r="8619" spans="2:26" x14ac:dyDescent="0.25">
      <c r="B8619"/>
      <c r="Z8619"/>
    </row>
    <row r="8620" spans="2:26" x14ac:dyDescent="0.25">
      <c r="B8620"/>
      <c r="Z8620"/>
    </row>
    <row r="8621" spans="2:26" x14ac:dyDescent="0.25">
      <c r="B8621"/>
      <c r="Z8621"/>
    </row>
    <row r="8622" spans="2:26" x14ac:dyDescent="0.25">
      <c r="B8622"/>
      <c r="Z8622"/>
    </row>
    <row r="8623" spans="2:26" x14ac:dyDescent="0.25">
      <c r="B8623"/>
      <c r="Z8623"/>
    </row>
    <row r="8624" spans="2:26" x14ac:dyDescent="0.25">
      <c r="B8624"/>
      <c r="Z8624"/>
    </row>
    <row r="8625" spans="2:26" x14ac:dyDescent="0.25">
      <c r="B8625"/>
      <c r="Z8625"/>
    </row>
    <row r="8626" spans="2:26" x14ac:dyDescent="0.25">
      <c r="B8626"/>
      <c r="Z8626"/>
    </row>
    <row r="8627" spans="2:26" x14ac:dyDescent="0.25">
      <c r="B8627"/>
      <c r="Z8627"/>
    </row>
    <row r="8628" spans="2:26" x14ac:dyDescent="0.25">
      <c r="B8628"/>
      <c r="Z8628"/>
    </row>
    <row r="8629" spans="2:26" x14ac:dyDescent="0.25">
      <c r="B8629"/>
      <c r="Z8629"/>
    </row>
    <row r="8630" spans="2:26" x14ac:dyDescent="0.25">
      <c r="B8630"/>
      <c r="Z8630"/>
    </row>
    <row r="8631" spans="2:26" x14ac:dyDescent="0.25">
      <c r="B8631"/>
      <c r="Z8631"/>
    </row>
    <row r="8632" spans="2:26" x14ac:dyDescent="0.25">
      <c r="B8632"/>
      <c r="Z8632"/>
    </row>
    <row r="8633" spans="2:26" x14ac:dyDescent="0.25">
      <c r="B8633"/>
      <c r="Z8633"/>
    </row>
    <row r="8634" spans="2:26" x14ac:dyDescent="0.25">
      <c r="B8634"/>
      <c r="Z8634"/>
    </row>
    <row r="8635" spans="2:26" x14ac:dyDescent="0.25">
      <c r="B8635"/>
      <c r="Z8635"/>
    </row>
    <row r="8636" spans="2:26" x14ac:dyDescent="0.25">
      <c r="B8636"/>
      <c r="Z8636"/>
    </row>
    <row r="8637" spans="2:26" x14ac:dyDescent="0.25">
      <c r="B8637"/>
      <c r="Z8637"/>
    </row>
    <row r="8638" spans="2:26" x14ac:dyDescent="0.25">
      <c r="B8638"/>
      <c r="Z8638"/>
    </row>
    <row r="8639" spans="2:26" x14ac:dyDescent="0.25">
      <c r="B8639"/>
      <c r="Z8639"/>
    </row>
    <row r="8640" spans="2:26" x14ac:dyDescent="0.25">
      <c r="B8640"/>
      <c r="Z8640"/>
    </row>
    <row r="8641" spans="2:26" x14ac:dyDescent="0.25">
      <c r="B8641"/>
      <c r="Z8641"/>
    </row>
    <row r="8642" spans="2:26" x14ac:dyDescent="0.25">
      <c r="B8642"/>
      <c r="Z8642"/>
    </row>
    <row r="8643" spans="2:26" x14ac:dyDescent="0.25">
      <c r="B8643"/>
      <c r="Z8643"/>
    </row>
    <row r="8644" spans="2:26" x14ac:dyDescent="0.25">
      <c r="B8644"/>
      <c r="Z8644"/>
    </row>
    <row r="8645" spans="2:26" x14ac:dyDescent="0.25">
      <c r="B8645"/>
      <c r="Z8645"/>
    </row>
    <row r="8646" spans="2:26" x14ac:dyDescent="0.25">
      <c r="B8646"/>
      <c r="Z8646"/>
    </row>
    <row r="8647" spans="2:26" x14ac:dyDescent="0.25">
      <c r="B8647"/>
      <c r="Z8647"/>
    </row>
    <row r="8648" spans="2:26" x14ac:dyDescent="0.25">
      <c r="B8648"/>
      <c r="Z8648"/>
    </row>
    <row r="8649" spans="2:26" x14ac:dyDescent="0.25">
      <c r="B8649"/>
      <c r="Z8649"/>
    </row>
    <row r="8650" spans="2:26" x14ac:dyDescent="0.25">
      <c r="B8650"/>
      <c r="Z8650"/>
    </row>
    <row r="8651" spans="2:26" x14ac:dyDescent="0.25">
      <c r="B8651"/>
      <c r="Z8651"/>
    </row>
    <row r="8652" spans="2:26" x14ac:dyDescent="0.25">
      <c r="B8652"/>
      <c r="Z8652"/>
    </row>
    <row r="8653" spans="2:26" x14ac:dyDescent="0.25">
      <c r="B8653"/>
      <c r="Z8653"/>
    </row>
    <row r="8654" spans="2:26" x14ac:dyDescent="0.25">
      <c r="B8654"/>
      <c r="Z8654"/>
    </row>
    <row r="8655" spans="2:26" x14ac:dyDescent="0.25">
      <c r="B8655"/>
      <c r="Z8655"/>
    </row>
    <row r="8656" spans="2:26" x14ac:dyDescent="0.25">
      <c r="B8656"/>
      <c r="Z8656"/>
    </row>
    <row r="8657" spans="2:26" x14ac:dyDescent="0.25">
      <c r="B8657"/>
      <c r="Z8657"/>
    </row>
    <row r="8658" spans="2:26" x14ac:dyDescent="0.25">
      <c r="B8658"/>
      <c r="Z8658"/>
    </row>
    <row r="8659" spans="2:26" x14ac:dyDescent="0.25">
      <c r="B8659"/>
      <c r="Z8659"/>
    </row>
    <row r="8660" spans="2:26" x14ac:dyDescent="0.25">
      <c r="B8660"/>
      <c r="Z8660"/>
    </row>
    <row r="8661" spans="2:26" x14ac:dyDescent="0.25">
      <c r="B8661"/>
      <c r="Z8661"/>
    </row>
    <row r="8662" spans="2:26" x14ac:dyDescent="0.25">
      <c r="B8662"/>
      <c r="Z8662"/>
    </row>
    <row r="8663" spans="2:26" x14ac:dyDescent="0.25">
      <c r="B8663"/>
      <c r="Z8663"/>
    </row>
    <row r="8664" spans="2:26" x14ac:dyDescent="0.25">
      <c r="B8664"/>
      <c r="Z8664"/>
    </row>
    <row r="8665" spans="2:26" x14ac:dyDescent="0.25">
      <c r="B8665"/>
      <c r="Z8665"/>
    </row>
    <row r="8666" spans="2:26" x14ac:dyDescent="0.25">
      <c r="B8666"/>
      <c r="Z8666"/>
    </row>
    <row r="8667" spans="2:26" x14ac:dyDescent="0.25">
      <c r="B8667"/>
      <c r="Z8667"/>
    </row>
    <row r="8668" spans="2:26" x14ac:dyDescent="0.25">
      <c r="B8668"/>
      <c r="Z8668"/>
    </row>
    <row r="8669" spans="2:26" x14ac:dyDescent="0.25">
      <c r="B8669"/>
      <c r="Z8669"/>
    </row>
    <row r="8670" spans="2:26" x14ac:dyDescent="0.25">
      <c r="B8670"/>
      <c r="Z8670"/>
    </row>
    <row r="8671" spans="2:26" x14ac:dyDescent="0.25">
      <c r="B8671"/>
      <c r="Z8671"/>
    </row>
    <row r="8672" spans="2:26" x14ac:dyDescent="0.25">
      <c r="B8672"/>
      <c r="Z8672"/>
    </row>
    <row r="8673" spans="2:26" x14ac:dyDescent="0.25">
      <c r="B8673"/>
      <c r="Z8673"/>
    </row>
    <row r="8674" spans="2:26" x14ac:dyDescent="0.25">
      <c r="B8674"/>
      <c r="Z8674"/>
    </row>
    <row r="8675" spans="2:26" x14ac:dyDescent="0.25">
      <c r="B8675"/>
      <c r="Z8675"/>
    </row>
    <row r="8676" spans="2:26" x14ac:dyDescent="0.25">
      <c r="B8676"/>
      <c r="Z8676"/>
    </row>
    <row r="8677" spans="2:26" x14ac:dyDescent="0.25">
      <c r="B8677"/>
      <c r="Z8677"/>
    </row>
    <row r="8678" spans="2:26" x14ac:dyDescent="0.25">
      <c r="B8678"/>
      <c r="Z8678"/>
    </row>
    <row r="8679" spans="2:26" x14ac:dyDescent="0.25">
      <c r="B8679"/>
      <c r="Z8679"/>
    </row>
    <row r="8680" spans="2:26" x14ac:dyDescent="0.25">
      <c r="B8680"/>
      <c r="K8680" s="6"/>
      <c r="Z8680"/>
    </row>
    <row r="8681" spans="2:26" x14ac:dyDescent="0.25">
      <c r="B8681"/>
      <c r="Z8681"/>
    </row>
    <row r="8682" spans="2:26" x14ac:dyDescent="0.25">
      <c r="B8682"/>
      <c r="Z8682"/>
    </row>
    <row r="8683" spans="2:26" x14ac:dyDescent="0.25">
      <c r="B8683"/>
      <c r="Z8683"/>
    </row>
    <row r="8684" spans="2:26" x14ac:dyDescent="0.25">
      <c r="B8684"/>
      <c r="Z8684"/>
    </row>
    <row r="8685" spans="2:26" x14ac:dyDescent="0.25">
      <c r="B8685"/>
      <c r="Z8685"/>
    </row>
    <row r="8686" spans="2:26" x14ac:dyDescent="0.25">
      <c r="B8686"/>
      <c r="Z8686"/>
    </row>
    <row r="8687" spans="2:26" x14ac:dyDescent="0.25">
      <c r="B8687"/>
      <c r="Z8687"/>
    </row>
    <row r="8688" spans="2:26" x14ac:dyDescent="0.25">
      <c r="B8688"/>
      <c r="Z8688"/>
    </row>
    <row r="8689" spans="1:33" x14ac:dyDescent="0.25">
      <c r="B8689"/>
      <c r="Z8689"/>
    </row>
    <row r="8690" spans="1:33" x14ac:dyDescent="0.25">
      <c r="B8690"/>
      <c r="Z8690"/>
    </row>
    <row r="8691" spans="1:33" x14ac:dyDescent="0.25">
      <c r="B8691"/>
      <c r="Z8691"/>
    </row>
    <row r="8692" spans="1:33" x14ac:dyDescent="0.25">
      <c r="B8692"/>
      <c r="Z8692"/>
    </row>
    <row r="8693" spans="1:33" x14ac:dyDescent="0.25">
      <c r="B8693"/>
      <c r="Z8693"/>
    </row>
    <row r="8694" spans="1:33" x14ac:dyDescent="0.25">
      <c r="B8694"/>
      <c r="Z8694"/>
    </row>
    <row r="8695" spans="1:33" x14ac:dyDescent="0.25">
      <c r="B8695"/>
      <c r="Z8695"/>
    </row>
    <row r="8696" spans="1:33" x14ac:dyDescent="0.25">
      <c r="B8696"/>
      <c r="Z8696"/>
    </row>
    <row r="8697" spans="1:33" x14ac:dyDescent="0.25">
      <c r="B8697"/>
      <c r="Z8697"/>
    </row>
    <row r="8698" spans="1:33" x14ac:dyDescent="0.25">
      <c r="B8698"/>
      <c r="Z8698"/>
    </row>
    <row r="8699" spans="1:33" x14ac:dyDescent="0.25">
      <c r="B8699"/>
      <c r="Z8699"/>
    </row>
    <row r="8700" spans="1:33" x14ac:dyDescent="0.25">
      <c r="B8700"/>
      <c r="Z8700"/>
    </row>
    <row r="8701" spans="1:33" x14ac:dyDescent="0.25">
      <c r="A8701" s="6"/>
      <c r="B8701" s="6"/>
      <c r="C8701" s="6"/>
      <c r="D8701" s="6"/>
      <c r="E8701" s="6"/>
      <c r="F8701" s="6"/>
      <c r="G8701" s="6"/>
      <c r="H8701" s="6"/>
      <c r="I8701" s="6"/>
      <c r="J8701" s="6"/>
      <c r="K8701" s="6"/>
      <c r="L8701" s="6"/>
      <c r="M8701" s="6"/>
      <c r="N8701" s="6"/>
      <c r="O8701" s="6"/>
      <c r="P8701" s="6"/>
      <c r="Q8701" s="6"/>
      <c r="R8701" s="6"/>
      <c r="S8701" s="6"/>
      <c r="T8701" s="6"/>
      <c r="U8701" s="6"/>
      <c r="V8701" s="6"/>
      <c r="W8701" s="6"/>
      <c r="X8701" s="6"/>
      <c r="Y8701" s="6"/>
      <c r="Z8701" s="6"/>
      <c r="AA8701" s="6"/>
      <c r="AB8701" s="6"/>
      <c r="AC8701" s="6"/>
      <c r="AD8701" s="6"/>
      <c r="AE8701" s="6"/>
      <c r="AF8701" s="6"/>
      <c r="AG8701" s="6"/>
    </row>
    <row r="8702" spans="1:33" x14ac:dyDescent="0.25">
      <c r="B8702"/>
      <c r="Z8702"/>
    </row>
    <row r="8703" spans="1:33" x14ac:dyDescent="0.25">
      <c r="B8703"/>
      <c r="Z8703"/>
    </row>
    <row r="8704" spans="1:33" x14ac:dyDescent="0.25">
      <c r="B8704"/>
      <c r="Z8704"/>
    </row>
    <row r="8705" spans="2:26" x14ac:dyDescent="0.25">
      <c r="B8705"/>
      <c r="Z8705"/>
    </row>
    <row r="8706" spans="2:26" x14ac:dyDescent="0.25">
      <c r="B8706"/>
      <c r="Z8706"/>
    </row>
    <row r="8707" spans="2:26" x14ac:dyDescent="0.25">
      <c r="B8707"/>
      <c r="Z8707"/>
    </row>
    <row r="8708" spans="2:26" x14ac:dyDescent="0.25">
      <c r="B8708"/>
      <c r="Z8708"/>
    </row>
    <row r="8709" spans="2:26" x14ac:dyDescent="0.25">
      <c r="B8709"/>
      <c r="Z8709"/>
    </row>
    <row r="8710" spans="2:26" x14ac:dyDescent="0.25">
      <c r="B8710"/>
      <c r="Z8710"/>
    </row>
    <row r="8711" spans="2:26" x14ac:dyDescent="0.25">
      <c r="B8711"/>
      <c r="Z8711"/>
    </row>
    <row r="8712" spans="2:26" x14ac:dyDescent="0.25">
      <c r="B8712"/>
      <c r="Z8712"/>
    </row>
    <row r="8713" spans="2:26" x14ac:dyDescent="0.25">
      <c r="B8713"/>
      <c r="Z8713"/>
    </row>
    <row r="8714" spans="2:26" x14ac:dyDescent="0.25">
      <c r="B8714"/>
      <c r="Z8714"/>
    </row>
    <row r="8715" spans="2:26" x14ac:dyDescent="0.25">
      <c r="B8715"/>
      <c r="Z8715"/>
    </row>
    <row r="8716" spans="2:26" x14ac:dyDescent="0.25">
      <c r="B8716"/>
      <c r="Z8716"/>
    </row>
    <row r="8717" spans="2:26" x14ac:dyDescent="0.25">
      <c r="B8717"/>
      <c r="Z8717"/>
    </row>
    <row r="8718" spans="2:26" x14ac:dyDescent="0.25">
      <c r="B8718"/>
      <c r="Z8718"/>
    </row>
    <row r="8719" spans="2:26" x14ac:dyDescent="0.25">
      <c r="B8719"/>
      <c r="Z8719"/>
    </row>
    <row r="8720" spans="2:26" x14ac:dyDescent="0.25">
      <c r="B8720"/>
      <c r="Z8720"/>
    </row>
    <row r="8721" spans="2:26" x14ac:dyDescent="0.25">
      <c r="B8721"/>
      <c r="Z8721"/>
    </row>
    <row r="8722" spans="2:26" x14ac:dyDescent="0.25">
      <c r="B8722"/>
      <c r="Z8722"/>
    </row>
    <row r="8723" spans="2:26" x14ac:dyDescent="0.25">
      <c r="B8723"/>
      <c r="Z8723"/>
    </row>
    <row r="8724" spans="2:26" x14ac:dyDescent="0.25">
      <c r="B8724"/>
      <c r="Z8724"/>
    </row>
    <row r="8725" spans="2:26" x14ac:dyDescent="0.25">
      <c r="B8725"/>
      <c r="Z8725"/>
    </row>
    <row r="8726" spans="2:26" x14ac:dyDescent="0.25">
      <c r="B8726"/>
      <c r="Z8726"/>
    </row>
    <row r="8727" spans="2:26" x14ac:dyDescent="0.25">
      <c r="B8727"/>
      <c r="Z8727"/>
    </row>
    <row r="8728" spans="2:26" x14ac:dyDescent="0.25">
      <c r="B8728"/>
      <c r="Z8728"/>
    </row>
    <row r="8729" spans="2:26" x14ac:dyDescent="0.25">
      <c r="B8729"/>
      <c r="Z8729"/>
    </row>
    <row r="8730" spans="2:26" x14ac:dyDescent="0.25">
      <c r="B8730"/>
      <c r="Z8730"/>
    </row>
    <row r="8731" spans="2:26" x14ac:dyDescent="0.25">
      <c r="B8731"/>
      <c r="Z8731"/>
    </row>
    <row r="8732" spans="2:26" x14ac:dyDescent="0.25">
      <c r="B8732"/>
      <c r="Z8732"/>
    </row>
    <row r="8733" spans="2:26" x14ac:dyDescent="0.25">
      <c r="B8733"/>
      <c r="Z8733"/>
    </row>
    <row r="8734" spans="2:26" x14ac:dyDescent="0.25">
      <c r="B8734"/>
      <c r="Z8734"/>
    </row>
    <row r="8735" spans="2:26" x14ac:dyDescent="0.25">
      <c r="B8735"/>
      <c r="Z8735"/>
    </row>
    <row r="8736" spans="2:26" x14ac:dyDescent="0.25">
      <c r="B8736"/>
      <c r="Z8736"/>
    </row>
    <row r="8737" spans="2:26" x14ac:dyDescent="0.25">
      <c r="B8737"/>
      <c r="Z8737"/>
    </row>
    <row r="8738" spans="2:26" x14ac:dyDescent="0.25">
      <c r="B8738"/>
      <c r="Z8738"/>
    </row>
    <row r="8739" spans="2:26" x14ac:dyDescent="0.25">
      <c r="B8739"/>
      <c r="Z8739"/>
    </row>
    <row r="8740" spans="2:26" x14ac:dyDescent="0.25">
      <c r="B8740"/>
      <c r="Z8740"/>
    </row>
    <row r="8741" spans="2:26" x14ac:dyDescent="0.25">
      <c r="B8741"/>
      <c r="Z8741"/>
    </row>
    <row r="8742" spans="2:26" x14ac:dyDescent="0.25">
      <c r="B8742"/>
      <c r="Z8742"/>
    </row>
    <row r="8743" spans="2:26" x14ac:dyDescent="0.25">
      <c r="B8743"/>
      <c r="Z8743"/>
    </row>
    <row r="8744" spans="2:26" x14ac:dyDescent="0.25">
      <c r="B8744"/>
      <c r="Z8744"/>
    </row>
    <row r="8745" spans="2:26" x14ac:dyDescent="0.25">
      <c r="B8745"/>
      <c r="Z8745"/>
    </row>
    <row r="8746" spans="2:26" x14ac:dyDescent="0.25">
      <c r="B8746"/>
      <c r="Z8746"/>
    </row>
    <row r="8747" spans="2:26" x14ac:dyDescent="0.25">
      <c r="B8747"/>
      <c r="Z8747"/>
    </row>
    <row r="8748" spans="2:26" x14ac:dyDescent="0.25">
      <c r="B8748"/>
      <c r="Z8748"/>
    </row>
    <row r="8749" spans="2:26" x14ac:dyDescent="0.25">
      <c r="B8749"/>
      <c r="Z8749"/>
    </row>
    <row r="8750" spans="2:26" x14ac:dyDescent="0.25">
      <c r="B8750"/>
      <c r="Z8750"/>
    </row>
    <row r="8751" spans="2:26" x14ac:dyDescent="0.25">
      <c r="B8751"/>
      <c r="Z8751"/>
    </row>
    <row r="8752" spans="2:26" x14ac:dyDescent="0.25">
      <c r="B8752"/>
      <c r="Z8752"/>
    </row>
    <row r="8753" spans="2:26" x14ac:dyDescent="0.25">
      <c r="B8753"/>
      <c r="Z8753"/>
    </row>
    <row r="8754" spans="2:26" x14ac:dyDescent="0.25">
      <c r="B8754"/>
      <c r="Z8754"/>
    </row>
    <row r="8755" spans="2:26" x14ac:dyDescent="0.25">
      <c r="B8755"/>
      <c r="Z8755"/>
    </row>
    <row r="8756" spans="2:26" x14ac:dyDescent="0.25">
      <c r="B8756"/>
      <c r="Z8756"/>
    </row>
    <row r="8757" spans="2:26" x14ac:dyDescent="0.25">
      <c r="B8757"/>
      <c r="Z8757"/>
    </row>
    <row r="8758" spans="2:26" x14ac:dyDescent="0.25">
      <c r="B8758"/>
      <c r="Z8758"/>
    </row>
    <row r="8759" spans="2:26" x14ac:dyDescent="0.25">
      <c r="B8759"/>
      <c r="Z8759"/>
    </row>
    <row r="8760" spans="2:26" x14ac:dyDescent="0.25">
      <c r="B8760"/>
      <c r="Z8760"/>
    </row>
    <row r="8761" spans="2:26" x14ac:dyDescent="0.25">
      <c r="B8761"/>
      <c r="Z8761"/>
    </row>
    <row r="8762" spans="2:26" x14ac:dyDescent="0.25">
      <c r="B8762"/>
      <c r="Z8762"/>
    </row>
    <row r="8763" spans="2:26" x14ac:dyDescent="0.25">
      <c r="B8763"/>
      <c r="Z8763"/>
    </row>
    <row r="8764" spans="2:26" x14ac:dyDescent="0.25">
      <c r="B8764"/>
      <c r="Z8764"/>
    </row>
    <row r="8765" spans="2:26" x14ac:dyDescent="0.25">
      <c r="B8765"/>
      <c r="Z8765"/>
    </row>
    <row r="8766" spans="2:26" x14ac:dyDescent="0.25">
      <c r="B8766"/>
      <c r="Z8766"/>
    </row>
    <row r="8767" spans="2:26" x14ac:dyDescent="0.25">
      <c r="B8767"/>
      <c r="Z8767"/>
    </row>
    <row r="8768" spans="2:26" x14ac:dyDescent="0.25">
      <c r="B8768"/>
      <c r="Z8768"/>
    </row>
    <row r="8769" spans="2:26" x14ac:dyDescent="0.25">
      <c r="B8769"/>
      <c r="Z8769"/>
    </row>
    <row r="8770" spans="2:26" x14ac:dyDescent="0.25">
      <c r="B8770"/>
      <c r="Z8770"/>
    </row>
    <row r="8771" spans="2:26" x14ac:dyDescent="0.25">
      <c r="B8771"/>
      <c r="Z8771"/>
    </row>
    <row r="8772" spans="2:26" x14ac:dyDescent="0.25">
      <c r="B8772"/>
      <c r="Z8772"/>
    </row>
    <row r="8773" spans="2:26" x14ac:dyDescent="0.25">
      <c r="B8773"/>
      <c r="Z8773"/>
    </row>
    <row r="8774" spans="2:26" x14ac:dyDescent="0.25">
      <c r="B8774"/>
      <c r="Z8774"/>
    </row>
    <row r="8775" spans="2:26" x14ac:dyDescent="0.25">
      <c r="B8775"/>
      <c r="Z8775"/>
    </row>
    <row r="8776" spans="2:26" x14ac:dyDescent="0.25">
      <c r="B8776"/>
      <c r="Z8776"/>
    </row>
    <row r="8777" spans="2:26" x14ac:dyDescent="0.25">
      <c r="B8777"/>
      <c r="Z8777"/>
    </row>
    <row r="8778" spans="2:26" x14ac:dyDescent="0.25">
      <c r="B8778"/>
      <c r="Z8778"/>
    </row>
    <row r="8779" spans="2:26" x14ac:dyDescent="0.25">
      <c r="B8779"/>
      <c r="Z8779"/>
    </row>
    <row r="8780" spans="2:26" x14ac:dyDescent="0.25">
      <c r="B8780"/>
      <c r="Z8780"/>
    </row>
    <row r="8781" spans="2:26" x14ac:dyDescent="0.25">
      <c r="B8781"/>
      <c r="Z8781"/>
    </row>
    <row r="8782" spans="2:26" x14ac:dyDescent="0.25">
      <c r="B8782"/>
      <c r="Z8782"/>
    </row>
    <row r="8783" spans="2:26" x14ac:dyDescent="0.25">
      <c r="B8783"/>
      <c r="Z8783"/>
    </row>
    <row r="8784" spans="2:26" x14ac:dyDescent="0.25">
      <c r="B8784"/>
      <c r="Z8784"/>
    </row>
    <row r="8785" spans="2:26" x14ac:dyDescent="0.25">
      <c r="B8785"/>
      <c r="Z8785"/>
    </row>
    <row r="8786" spans="2:26" x14ac:dyDescent="0.25">
      <c r="B8786"/>
      <c r="Z8786"/>
    </row>
    <row r="8787" spans="2:26" x14ac:dyDescent="0.25">
      <c r="B8787"/>
      <c r="K8787" s="6"/>
      <c r="Z8787"/>
    </row>
    <row r="8788" spans="2:26" x14ac:dyDescent="0.25">
      <c r="B8788"/>
      <c r="Z8788"/>
    </row>
    <row r="8789" spans="2:26" x14ac:dyDescent="0.25">
      <c r="B8789"/>
      <c r="Z8789"/>
    </row>
    <row r="8790" spans="2:26" x14ac:dyDescent="0.25">
      <c r="B8790"/>
      <c r="Z8790"/>
    </row>
    <row r="8791" spans="2:26" x14ac:dyDescent="0.25">
      <c r="B8791"/>
      <c r="Z8791"/>
    </row>
    <row r="8792" spans="2:26" x14ac:dyDescent="0.25">
      <c r="B8792"/>
      <c r="Z8792"/>
    </row>
    <row r="8793" spans="2:26" x14ac:dyDescent="0.25">
      <c r="B8793"/>
      <c r="Z8793"/>
    </row>
    <row r="8794" spans="2:26" x14ac:dyDescent="0.25">
      <c r="B8794"/>
      <c r="Z8794"/>
    </row>
    <row r="8795" spans="2:26" x14ac:dyDescent="0.25">
      <c r="B8795"/>
      <c r="Z8795"/>
    </row>
    <row r="8796" spans="2:26" x14ac:dyDescent="0.25">
      <c r="B8796"/>
      <c r="Z8796"/>
    </row>
    <row r="8797" spans="2:26" x14ac:dyDescent="0.25">
      <c r="B8797"/>
      <c r="Z8797"/>
    </row>
    <row r="8798" spans="2:26" x14ac:dyDescent="0.25">
      <c r="B8798"/>
      <c r="Z8798"/>
    </row>
    <row r="8799" spans="2:26" x14ac:dyDescent="0.25">
      <c r="B8799"/>
      <c r="Z8799"/>
    </row>
    <row r="8800" spans="2:26" x14ac:dyDescent="0.25">
      <c r="B8800"/>
      <c r="Z8800"/>
    </row>
    <row r="8801" spans="1:33" x14ac:dyDescent="0.25">
      <c r="B8801"/>
      <c r="Z8801"/>
    </row>
    <row r="8802" spans="1:33" x14ac:dyDescent="0.25">
      <c r="B8802"/>
      <c r="Z8802"/>
    </row>
    <row r="8803" spans="1:33" x14ac:dyDescent="0.25">
      <c r="B8803"/>
      <c r="Z8803"/>
    </row>
    <row r="8804" spans="1:33" x14ac:dyDescent="0.25">
      <c r="A8804" s="6"/>
      <c r="B8804" s="6"/>
      <c r="C8804" s="6"/>
      <c r="D8804" s="6"/>
      <c r="E8804" s="6"/>
      <c r="F8804" s="6"/>
      <c r="G8804" s="6"/>
      <c r="H8804" s="6"/>
      <c r="I8804" s="6"/>
      <c r="J8804" s="6"/>
      <c r="K8804" s="6"/>
      <c r="L8804" s="6"/>
      <c r="M8804" s="6"/>
      <c r="N8804" s="6"/>
      <c r="O8804" s="6"/>
      <c r="P8804" s="6"/>
      <c r="Q8804" s="6"/>
      <c r="R8804" s="6"/>
      <c r="S8804" s="6"/>
      <c r="T8804" s="6"/>
      <c r="U8804" s="6"/>
      <c r="V8804" s="6"/>
      <c r="W8804" s="6"/>
      <c r="X8804" s="6"/>
      <c r="Y8804" s="6"/>
      <c r="Z8804" s="6"/>
      <c r="AA8804" s="6"/>
      <c r="AB8804" s="6"/>
      <c r="AC8804" s="6"/>
      <c r="AD8804" s="6"/>
      <c r="AE8804" s="6"/>
      <c r="AF8804" s="6"/>
      <c r="AG8804" s="6"/>
    </row>
    <row r="8805" spans="1:33" x14ac:dyDescent="0.25">
      <c r="B8805"/>
      <c r="Z8805"/>
    </row>
    <row r="8806" spans="1:33" x14ac:dyDescent="0.25">
      <c r="B8806"/>
      <c r="Z8806"/>
    </row>
    <row r="8807" spans="1:33" x14ac:dyDescent="0.25">
      <c r="B8807"/>
      <c r="Z8807"/>
    </row>
    <row r="8808" spans="1:33" x14ac:dyDescent="0.25">
      <c r="B8808"/>
      <c r="Z8808"/>
    </row>
    <row r="8809" spans="1:33" x14ac:dyDescent="0.25">
      <c r="B8809"/>
      <c r="Z8809"/>
    </row>
    <row r="8810" spans="1:33" x14ac:dyDescent="0.25">
      <c r="B8810"/>
      <c r="Z8810"/>
    </row>
    <row r="8811" spans="1:33" x14ac:dyDescent="0.25">
      <c r="B8811"/>
      <c r="Z8811"/>
    </row>
    <row r="8812" spans="1:33" x14ac:dyDescent="0.25">
      <c r="B8812"/>
      <c r="Z8812"/>
    </row>
    <row r="8813" spans="1:33" x14ac:dyDescent="0.25">
      <c r="B8813"/>
      <c r="Z8813"/>
    </row>
    <row r="8814" spans="1:33" x14ac:dyDescent="0.25">
      <c r="B8814"/>
      <c r="Z8814"/>
    </row>
    <row r="8815" spans="1:33" x14ac:dyDescent="0.25">
      <c r="B8815"/>
      <c r="Z8815"/>
    </row>
    <row r="8816" spans="1:33" x14ac:dyDescent="0.25">
      <c r="B8816"/>
      <c r="Z8816"/>
    </row>
    <row r="8817" spans="2:26" x14ac:dyDescent="0.25">
      <c r="B8817"/>
      <c r="Z8817"/>
    </row>
    <row r="8818" spans="2:26" x14ac:dyDescent="0.25">
      <c r="B8818"/>
      <c r="Z8818"/>
    </row>
    <row r="8819" spans="2:26" x14ac:dyDescent="0.25">
      <c r="B8819"/>
      <c r="Z8819"/>
    </row>
    <row r="8820" spans="2:26" x14ac:dyDescent="0.25">
      <c r="B8820"/>
      <c r="Z8820"/>
    </row>
    <row r="8821" spans="2:26" x14ac:dyDescent="0.25">
      <c r="B8821"/>
      <c r="Z8821"/>
    </row>
    <row r="8822" spans="2:26" x14ac:dyDescent="0.25">
      <c r="B8822"/>
      <c r="Z8822"/>
    </row>
    <row r="8823" spans="2:26" x14ac:dyDescent="0.25">
      <c r="B8823"/>
      <c r="Z8823"/>
    </row>
    <row r="8824" spans="2:26" x14ac:dyDescent="0.25">
      <c r="B8824"/>
      <c r="Z8824"/>
    </row>
    <row r="8825" spans="2:26" x14ac:dyDescent="0.25">
      <c r="B8825"/>
      <c r="Z8825"/>
    </row>
    <row r="8826" spans="2:26" x14ac:dyDescent="0.25">
      <c r="B8826"/>
      <c r="Z8826"/>
    </row>
    <row r="8827" spans="2:26" x14ac:dyDescent="0.25">
      <c r="B8827"/>
      <c r="Z8827"/>
    </row>
    <row r="8828" spans="2:26" x14ac:dyDescent="0.25">
      <c r="B8828"/>
      <c r="Z8828"/>
    </row>
    <row r="8829" spans="2:26" x14ac:dyDescent="0.25">
      <c r="B8829"/>
      <c r="Z8829"/>
    </row>
    <row r="8830" spans="2:26" x14ac:dyDescent="0.25">
      <c r="B8830"/>
      <c r="Z8830"/>
    </row>
    <row r="8831" spans="2:26" x14ac:dyDescent="0.25">
      <c r="B8831"/>
      <c r="Z8831"/>
    </row>
    <row r="8832" spans="2:26" x14ac:dyDescent="0.25">
      <c r="B8832"/>
      <c r="Z8832"/>
    </row>
    <row r="8833" spans="2:26" x14ac:dyDescent="0.25">
      <c r="B8833"/>
      <c r="Z8833"/>
    </row>
    <row r="8834" spans="2:26" x14ac:dyDescent="0.25">
      <c r="B8834"/>
      <c r="Z8834"/>
    </row>
    <row r="8835" spans="2:26" x14ac:dyDescent="0.25">
      <c r="B8835"/>
      <c r="Z8835"/>
    </row>
    <row r="8836" spans="2:26" x14ac:dyDescent="0.25">
      <c r="B8836"/>
      <c r="Z8836"/>
    </row>
    <row r="8837" spans="2:26" x14ac:dyDescent="0.25">
      <c r="B8837"/>
      <c r="Z8837"/>
    </row>
    <row r="8838" spans="2:26" x14ac:dyDescent="0.25">
      <c r="B8838"/>
      <c r="Z8838"/>
    </row>
    <row r="8839" spans="2:26" x14ac:dyDescent="0.25">
      <c r="B8839"/>
      <c r="Z8839"/>
    </row>
    <row r="8840" spans="2:26" x14ac:dyDescent="0.25">
      <c r="B8840"/>
      <c r="Z8840"/>
    </row>
    <row r="8841" spans="2:26" x14ac:dyDescent="0.25">
      <c r="B8841"/>
      <c r="Z8841"/>
    </row>
    <row r="8842" spans="2:26" x14ac:dyDescent="0.25">
      <c r="B8842"/>
      <c r="Z8842"/>
    </row>
    <row r="8843" spans="2:26" x14ac:dyDescent="0.25">
      <c r="B8843"/>
      <c r="Z8843"/>
    </row>
    <row r="8844" spans="2:26" x14ac:dyDescent="0.25">
      <c r="B8844"/>
      <c r="Z8844"/>
    </row>
    <row r="8845" spans="2:26" x14ac:dyDescent="0.25">
      <c r="B8845"/>
      <c r="Z8845"/>
    </row>
    <row r="8846" spans="2:26" x14ac:dyDescent="0.25">
      <c r="B8846"/>
      <c r="Z8846"/>
    </row>
    <row r="8847" spans="2:26" x14ac:dyDescent="0.25">
      <c r="B8847"/>
      <c r="Z8847"/>
    </row>
    <row r="8848" spans="2:26" x14ac:dyDescent="0.25">
      <c r="B8848"/>
      <c r="Z8848"/>
    </row>
    <row r="8849" spans="2:26" x14ac:dyDescent="0.25">
      <c r="B8849"/>
      <c r="Z8849"/>
    </row>
    <row r="8850" spans="2:26" x14ac:dyDescent="0.25">
      <c r="B8850"/>
      <c r="Z8850"/>
    </row>
    <row r="8851" spans="2:26" x14ac:dyDescent="0.25">
      <c r="B8851"/>
      <c r="Z8851"/>
    </row>
    <row r="8852" spans="2:26" x14ac:dyDescent="0.25">
      <c r="B8852"/>
      <c r="Z8852"/>
    </row>
    <row r="8853" spans="2:26" x14ac:dyDescent="0.25">
      <c r="B8853"/>
      <c r="Z8853"/>
    </row>
    <row r="8854" spans="2:26" x14ac:dyDescent="0.25">
      <c r="B8854"/>
      <c r="Z8854"/>
    </row>
    <row r="8855" spans="2:26" x14ac:dyDescent="0.25">
      <c r="B8855"/>
      <c r="Z8855"/>
    </row>
    <row r="8856" spans="2:26" x14ac:dyDescent="0.25">
      <c r="B8856"/>
      <c r="Z8856"/>
    </row>
    <row r="8857" spans="2:26" x14ac:dyDescent="0.25">
      <c r="B8857"/>
      <c r="Z8857"/>
    </row>
    <row r="8858" spans="2:26" x14ac:dyDescent="0.25">
      <c r="B8858"/>
      <c r="Z8858"/>
    </row>
    <row r="8859" spans="2:26" x14ac:dyDescent="0.25">
      <c r="B8859"/>
      <c r="Z8859"/>
    </row>
    <row r="8860" spans="2:26" x14ac:dyDescent="0.25">
      <c r="B8860"/>
      <c r="Z8860"/>
    </row>
    <row r="8861" spans="2:26" x14ac:dyDescent="0.25">
      <c r="B8861"/>
      <c r="Z8861"/>
    </row>
    <row r="8862" spans="2:26" x14ac:dyDescent="0.25">
      <c r="B8862"/>
      <c r="Z8862"/>
    </row>
    <row r="8863" spans="2:26" x14ac:dyDescent="0.25">
      <c r="B8863"/>
      <c r="Z8863"/>
    </row>
    <row r="8864" spans="2:26" x14ac:dyDescent="0.25">
      <c r="B8864"/>
      <c r="Z8864"/>
    </row>
    <row r="8865" spans="2:26" x14ac:dyDescent="0.25">
      <c r="B8865"/>
      <c r="Z8865"/>
    </row>
    <row r="8866" spans="2:26" x14ac:dyDescent="0.25">
      <c r="B8866"/>
      <c r="Z8866"/>
    </row>
    <row r="8867" spans="2:26" x14ac:dyDescent="0.25">
      <c r="B8867"/>
      <c r="Z8867"/>
    </row>
    <row r="8868" spans="2:26" x14ac:dyDescent="0.25">
      <c r="B8868"/>
      <c r="Z8868"/>
    </row>
    <row r="8869" spans="2:26" x14ac:dyDescent="0.25">
      <c r="B8869"/>
      <c r="Z8869"/>
    </row>
    <row r="8870" spans="2:26" x14ac:dyDescent="0.25">
      <c r="B8870"/>
      <c r="Z8870"/>
    </row>
    <row r="8871" spans="2:26" x14ac:dyDescent="0.25">
      <c r="B8871"/>
      <c r="Z8871"/>
    </row>
    <row r="8872" spans="2:26" x14ac:dyDescent="0.25">
      <c r="B8872"/>
      <c r="Z8872"/>
    </row>
    <row r="8873" spans="2:26" x14ac:dyDescent="0.25">
      <c r="B8873"/>
      <c r="Z8873"/>
    </row>
    <row r="8874" spans="2:26" x14ac:dyDescent="0.25">
      <c r="B8874"/>
      <c r="Z8874"/>
    </row>
    <row r="8875" spans="2:26" x14ac:dyDescent="0.25">
      <c r="B8875"/>
      <c r="Z8875"/>
    </row>
    <row r="8876" spans="2:26" x14ac:dyDescent="0.25">
      <c r="B8876"/>
      <c r="Z8876"/>
    </row>
    <row r="8877" spans="2:26" x14ac:dyDescent="0.25">
      <c r="B8877"/>
      <c r="Z8877"/>
    </row>
    <row r="8878" spans="2:26" x14ac:dyDescent="0.25">
      <c r="B8878"/>
      <c r="Z8878"/>
    </row>
    <row r="8879" spans="2:26" x14ac:dyDescent="0.25">
      <c r="B8879"/>
      <c r="Z8879"/>
    </row>
    <row r="8880" spans="2:26" x14ac:dyDescent="0.25">
      <c r="B8880"/>
      <c r="Z8880"/>
    </row>
    <row r="8881" spans="2:26" x14ac:dyDescent="0.25">
      <c r="B8881"/>
      <c r="Z8881"/>
    </row>
    <row r="8882" spans="2:26" x14ac:dyDescent="0.25">
      <c r="B8882"/>
      <c r="Z8882"/>
    </row>
    <row r="8883" spans="2:26" x14ac:dyDescent="0.25">
      <c r="B8883"/>
      <c r="Z8883"/>
    </row>
    <row r="8884" spans="2:26" x14ac:dyDescent="0.25">
      <c r="B8884"/>
      <c r="Z8884"/>
    </row>
    <row r="8885" spans="2:26" x14ac:dyDescent="0.25">
      <c r="B8885"/>
      <c r="Z8885"/>
    </row>
    <row r="8886" spans="2:26" x14ac:dyDescent="0.25">
      <c r="B8886"/>
      <c r="Z8886"/>
    </row>
    <row r="8887" spans="2:26" x14ac:dyDescent="0.25">
      <c r="B8887"/>
      <c r="Z8887"/>
    </row>
    <row r="8888" spans="2:26" x14ac:dyDescent="0.25">
      <c r="B8888"/>
      <c r="Z8888"/>
    </row>
    <row r="8889" spans="2:26" x14ac:dyDescent="0.25">
      <c r="B8889"/>
      <c r="Z8889"/>
    </row>
    <row r="8890" spans="2:26" x14ac:dyDescent="0.25">
      <c r="B8890"/>
      <c r="Z8890"/>
    </row>
    <row r="8891" spans="2:26" x14ac:dyDescent="0.25">
      <c r="B8891"/>
      <c r="K8891" s="6"/>
      <c r="Z8891"/>
    </row>
    <row r="8892" spans="2:26" x14ac:dyDescent="0.25">
      <c r="B8892"/>
      <c r="Z8892"/>
    </row>
    <row r="8893" spans="2:26" x14ac:dyDescent="0.25">
      <c r="B8893"/>
      <c r="Z8893"/>
    </row>
    <row r="8894" spans="2:26" x14ac:dyDescent="0.25">
      <c r="B8894"/>
      <c r="Z8894"/>
    </row>
    <row r="8895" spans="2:26" x14ac:dyDescent="0.25">
      <c r="B8895"/>
      <c r="Z8895"/>
    </row>
    <row r="8896" spans="2:26" x14ac:dyDescent="0.25">
      <c r="B8896"/>
      <c r="Z8896"/>
    </row>
    <row r="8897" spans="1:33" x14ac:dyDescent="0.25">
      <c r="B8897"/>
      <c r="Z8897"/>
    </row>
    <row r="8898" spans="1:33" x14ac:dyDescent="0.25">
      <c r="B8898"/>
      <c r="Z8898"/>
    </row>
    <row r="8899" spans="1:33" x14ac:dyDescent="0.25">
      <c r="B8899"/>
      <c r="Z8899"/>
    </row>
    <row r="8900" spans="1:33" x14ac:dyDescent="0.25">
      <c r="B8900"/>
      <c r="Z8900"/>
    </row>
    <row r="8901" spans="1:33" x14ac:dyDescent="0.25">
      <c r="B8901"/>
      <c r="Z8901"/>
    </row>
    <row r="8902" spans="1:33" x14ac:dyDescent="0.25">
      <c r="B8902"/>
      <c r="Z8902"/>
    </row>
    <row r="8903" spans="1:33" x14ac:dyDescent="0.25">
      <c r="B8903"/>
      <c r="Z8903"/>
    </row>
    <row r="8904" spans="1:33" x14ac:dyDescent="0.25">
      <c r="B8904"/>
      <c r="Z8904"/>
    </row>
    <row r="8905" spans="1:33" x14ac:dyDescent="0.25">
      <c r="B8905"/>
      <c r="Z8905"/>
    </row>
    <row r="8906" spans="1:33" x14ac:dyDescent="0.25">
      <c r="B8906"/>
      <c r="Z8906"/>
    </row>
    <row r="8907" spans="1:33" x14ac:dyDescent="0.25">
      <c r="A8907" s="6"/>
      <c r="B8907" s="6"/>
      <c r="C8907" s="6"/>
      <c r="D8907" s="6"/>
      <c r="E8907" s="6"/>
      <c r="F8907" s="6"/>
      <c r="G8907" s="6"/>
      <c r="H8907" s="6"/>
      <c r="I8907" s="6"/>
      <c r="J8907" s="6"/>
      <c r="K8907" s="6"/>
      <c r="L8907" s="6"/>
      <c r="M8907" s="6"/>
      <c r="N8907" s="6"/>
      <c r="O8907" s="6"/>
      <c r="P8907" s="6"/>
      <c r="Q8907" s="6"/>
      <c r="R8907" s="6"/>
      <c r="S8907" s="6"/>
      <c r="T8907" s="6"/>
      <c r="U8907" s="6"/>
      <c r="V8907" s="6"/>
      <c r="W8907" s="6"/>
      <c r="X8907" s="6"/>
      <c r="Y8907" s="6"/>
      <c r="Z8907" s="6"/>
      <c r="AA8907" s="6"/>
      <c r="AB8907" s="6"/>
      <c r="AC8907" s="6"/>
      <c r="AD8907" s="6"/>
      <c r="AE8907" s="6"/>
      <c r="AF8907" s="6"/>
      <c r="AG8907" s="6"/>
    </row>
    <row r="8908" spans="1:33" x14ac:dyDescent="0.25">
      <c r="B8908"/>
      <c r="Z8908"/>
    </row>
    <row r="8909" spans="1:33" x14ac:dyDescent="0.25">
      <c r="B8909"/>
      <c r="Z8909"/>
    </row>
    <row r="8910" spans="1:33" x14ac:dyDescent="0.25">
      <c r="B8910"/>
      <c r="Z8910"/>
    </row>
    <row r="8911" spans="1:33" x14ac:dyDescent="0.25">
      <c r="B8911"/>
      <c r="Z8911"/>
    </row>
    <row r="8912" spans="1:33" x14ac:dyDescent="0.25">
      <c r="B8912"/>
      <c r="Z8912"/>
    </row>
    <row r="8913" spans="2:26" x14ac:dyDescent="0.25">
      <c r="B8913"/>
      <c r="Z8913"/>
    </row>
    <row r="8914" spans="2:26" x14ac:dyDescent="0.25">
      <c r="B8914"/>
      <c r="Z8914"/>
    </row>
    <row r="8915" spans="2:26" x14ac:dyDescent="0.25">
      <c r="B8915"/>
      <c r="Z8915"/>
    </row>
    <row r="8916" spans="2:26" x14ac:dyDescent="0.25">
      <c r="B8916"/>
      <c r="Z8916"/>
    </row>
    <row r="8917" spans="2:26" x14ac:dyDescent="0.25">
      <c r="B8917"/>
      <c r="Z8917"/>
    </row>
    <row r="8918" spans="2:26" x14ac:dyDescent="0.25">
      <c r="B8918"/>
      <c r="Z8918"/>
    </row>
    <row r="8919" spans="2:26" x14ac:dyDescent="0.25">
      <c r="B8919"/>
      <c r="Z8919"/>
    </row>
    <row r="8920" spans="2:26" x14ac:dyDescent="0.25">
      <c r="B8920"/>
      <c r="Z8920"/>
    </row>
    <row r="8921" spans="2:26" x14ac:dyDescent="0.25">
      <c r="B8921"/>
      <c r="Z8921"/>
    </row>
    <row r="8922" spans="2:26" x14ac:dyDescent="0.25">
      <c r="B8922"/>
      <c r="Z8922"/>
    </row>
    <row r="8923" spans="2:26" x14ac:dyDescent="0.25">
      <c r="B8923"/>
      <c r="Z8923"/>
    </row>
    <row r="8924" spans="2:26" x14ac:dyDescent="0.25">
      <c r="B8924"/>
      <c r="Z8924"/>
    </row>
    <row r="8925" spans="2:26" x14ac:dyDescent="0.25">
      <c r="B8925"/>
      <c r="Z8925"/>
    </row>
    <row r="8926" spans="2:26" x14ac:dyDescent="0.25">
      <c r="B8926"/>
      <c r="Z8926"/>
    </row>
    <row r="8927" spans="2:26" x14ac:dyDescent="0.25">
      <c r="B8927"/>
      <c r="Z8927"/>
    </row>
    <row r="8928" spans="2:26" x14ac:dyDescent="0.25">
      <c r="B8928"/>
      <c r="Z8928"/>
    </row>
    <row r="8929" spans="2:26" x14ac:dyDescent="0.25">
      <c r="B8929"/>
      <c r="Z8929"/>
    </row>
    <row r="8930" spans="2:26" x14ac:dyDescent="0.25">
      <c r="B8930"/>
      <c r="Z8930"/>
    </row>
    <row r="8931" spans="2:26" x14ac:dyDescent="0.25">
      <c r="B8931"/>
      <c r="Z8931"/>
    </row>
    <row r="8932" spans="2:26" x14ac:dyDescent="0.25">
      <c r="B8932"/>
      <c r="Z8932"/>
    </row>
    <row r="8933" spans="2:26" x14ac:dyDescent="0.25">
      <c r="B8933"/>
      <c r="Z8933"/>
    </row>
    <row r="8934" spans="2:26" x14ac:dyDescent="0.25">
      <c r="B8934"/>
      <c r="Z8934"/>
    </row>
    <row r="8935" spans="2:26" x14ac:dyDescent="0.25">
      <c r="B8935"/>
      <c r="Z8935"/>
    </row>
    <row r="8936" spans="2:26" x14ac:dyDescent="0.25">
      <c r="B8936"/>
      <c r="Z8936"/>
    </row>
    <row r="8937" spans="2:26" x14ac:dyDescent="0.25">
      <c r="B8937"/>
      <c r="Z8937"/>
    </row>
    <row r="8938" spans="2:26" x14ac:dyDescent="0.25">
      <c r="B8938"/>
      <c r="Z8938"/>
    </row>
    <row r="8939" spans="2:26" x14ac:dyDescent="0.25">
      <c r="B8939"/>
      <c r="Z8939"/>
    </row>
    <row r="8940" spans="2:26" x14ac:dyDescent="0.25">
      <c r="B8940"/>
      <c r="Z8940"/>
    </row>
    <row r="8941" spans="2:26" x14ac:dyDescent="0.25">
      <c r="B8941"/>
      <c r="Z8941"/>
    </row>
    <row r="8942" spans="2:26" x14ac:dyDescent="0.25">
      <c r="B8942"/>
      <c r="Z8942"/>
    </row>
    <row r="8943" spans="2:26" x14ac:dyDescent="0.25">
      <c r="B8943"/>
      <c r="Z8943"/>
    </row>
    <row r="8944" spans="2:26" x14ac:dyDescent="0.25">
      <c r="B8944"/>
      <c r="Z8944"/>
    </row>
    <row r="8945" spans="2:26" x14ac:dyDescent="0.25">
      <c r="B8945"/>
      <c r="Z8945"/>
    </row>
    <row r="8946" spans="2:26" x14ac:dyDescent="0.25">
      <c r="B8946"/>
      <c r="Z8946"/>
    </row>
    <row r="8947" spans="2:26" x14ac:dyDescent="0.25">
      <c r="B8947"/>
      <c r="Z8947"/>
    </row>
    <row r="8948" spans="2:26" x14ac:dyDescent="0.25">
      <c r="B8948"/>
      <c r="Z8948"/>
    </row>
    <row r="8949" spans="2:26" x14ac:dyDescent="0.25">
      <c r="B8949"/>
      <c r="Z8949"/>
    </row>
    <row r="8950" spans="2:26" x14ac:dyDescent="0.25">
      <c r="B8950"/>
      <c r="Z8950"/>
    </row>
    <row r="8951" spans="2:26" x14ac:dyDescent="0.25">
      <c r="B8951"/>
      <c r="Z8951"/>
    </row>
    <row r="8952" spans="2:26" x14ac:dyDescent="0.25">
      <c r="B8952"/>
      <c r="Z8952"/>
    </row>
    <row r="8953" spans="2:26" x14ac:dyDescent="0.25">
      <c r="B8953"/>
      <c r="Z8953"/>
    </row>
    <row r="8954" spans="2:26" x14ac:dyDescent="0.25">
      <c r="B8954"/>
      <c r="Z8954"/>
    </row>
    <row r="8955" spans="2:26" x14ac:dyDescent="0.25">
      <c r="B8955"/>
      <c r="Z8955"/>
    </row>
    <row r="8956" spans="2:26" x14ac:dyDescent="0.25">
      <c r="B8956"/>
      <c r="Z8956"/>
    </row>
    <row r="8957" spans="2:26" x14ac:dyDescent="0.25">
      <c r="B8957"/>
      <c r="Z8957"/>
    </row>
    <row r="8958" spans="2:26" x14ac:dyDescent="0.25">
      <c r="B8958"/>
      <c r="Z8958"/>
    </row>
    <row r="8959" spans="2:26" x14ac:dyDescent="0.25">
      <c r="B8959"/>
      <c r="Z8959"/>
    </row>
    <row r="8960" spans="2:26" x14ac:dyDescent="0.25">
      <c r="B8960"/>
      <c r="Z8960"/>
    </row>
    <row r="8961" spans="2:26" x14ac:dyDescent="0.25">
      <c r="B8961"/>
      <c r="Z8961"/>
    </row>
    <row r="8962" spans="2:26" x14ac:dyDescent="0.25">
      <c r="B8962"/>
      <c r="Z8962"/>
    </row>
    <row r="8963" spans="2:26" x14ac:dyDescent="0.25">
      <c r="B8963"/>
      <c r="Z8963"/>
    </row>
    <row r="8964" spans="2:26" x14ac:dyDescent="0.25">
      <c r="B8964"/>
      <c r="Z8964"/>
    </row>
    <row r="8965" spans="2:26" x14ac:dyDescent="0.25">
      <c r="B8965"/>
      <c r="Z8965"/>
    </row>
    <row r="8966" spans="2:26" x14ac:dyDescent="0.25">
      <c r="B8966"/>
      <c r="Z8966"/>
    </row>
    <row r="8967" spans="2:26" x14ac:dyDescent="0.25">
      <c r="B8967"/>
      <c r="Z8967"/>
    </row>
    <row r="8968" spans="2:26" x14ac:dyDescent="0.25">
      <c r="B8968"/>
      <c r="Z8968"/>
    </row>
    <row r="8969" spans="2:26" x14ac:dyDescent="0.25">
      <c r="B8969"/>
      <c r="Z8969"/>
    </row>
    <row r="8970" spans="2:26" x14ac:dyDescent="0.25">
      <c r="B8970"/>
      <c r="Z8970"/>
    </row>
    <row r="8971" spans="2:26" x14ac:dyDescent="0.25">
      <c r="B8971"/>
      <c r="Z8971"/>
    </row>
    <row r="8972" spans="2:26" x14ac:dyDescent="0.25">
      <c r="B8972"/>
      <c r="Z8972"/>
    </row>
    <row r="8973" spans="2:26" x14ac:dyDescent="0.25">
      <c r="B8973"/>
      <c r="Z8973"/>
    </row>
    <row r="8974" spans="2:26" x14ac:dyDescent="0.25">
      <c r="B8974"/>
      <c r="Z8974"/>
    </row>
    <row r="8975" spans="2:26" x14ac:dyDescent="0.25">
      <c r="B8975"/>
      <c r="Z8975"/>
    </row>
    <row r="8976" spans="2:26" x14ac:dyDescent="0.25">
      <c r="B8976"/>
      <c r="Z8976"/>
    </row>
    <row r="8977" spans="2:26" x14ac:dyDescent="0.25">
      <c r="B8977"/>
      <c r="Z8977"/>
    </row>
    <row r="8978" spans="2:26" x14ac:dyDescent="0.25">
      <c r="B8978"/>
      <c r="Z8978"/>
    </row>
    <row r="8979" spans="2:26" x14ac:dyDescent="0.25">
      <c r="B8979"/>
      <c r="Z8979"/>
    </row>
    <row r="8980" spans="2:26" x14ac:dyDescent="0.25">
      <c r="B8980"/>
      <c r="Z8980"/>
    </row>
    <row r="8981" spans="2:26" x14ac:dyDescent="0.25">
      <c r="B8981"/>
      <c r="Z8981"/>
    </row>
    <row r="8982" spans="2:26" x14ac:dyDescent="0.25">
      <c r="B8982"/>
      <c r="Z8982"/>
    </row>
    <row r="8983" spans="2:26" x14ac:dyDescent="0.25">
      <c r="B8983"/>
      <c r="Z8983"/>
    </row>
    <row r="8984" spans="2:26" x14ac:dyDescent="0.25">
      <c r="B8984"/>
      <c r="Z8984"/>
    </row>
    <row r="8985" spans="2:26" x14ac:dyDescent="0.25">
      <c r="B8985"/>
      <c r="Z8985"/>
    </row>
    <row r="8986" spans="2:26" x14ac:dyDescent="0.25">
      <c r="B8986"/>
      <c r="Z8986"/>
    </row>
    <row r="8987" spans="2:26" x14ac:dyDescent="0.25">
      <c r="B8987"/>
      <c r="Z8987"/>
    </row>
    <row r="8988" spans="2:26" x14ac:dyDescent="0.25">
      <c r="B8988"/>
      <c r="Z8988"/>
    </row>
    <row r="8989" spans="2:26" x14ac:dyDescent="0.25">
      <c r="B8989"/>
      <c r="Z8989"/>
    </row>
    <row r="8990" spans="2:26" x14ac:dyDescent="0.25">
      <c r="B8990"/>
      <c r="Z8990"/>
    </row>
    <row r="8991" spans="2:26" x14ac:dyDescent="0.25">
      <c r="B8991"/>
      <c r="Z8991"/>
    </row>
    <row r="8992" spans="2:26" x14ac:dyDescent="0.25">
      <c r="B8992"/>
      <c r="Z8992"/>
    </row>
    <row r="8993" spans="2:26" x14ac:dyDescent="0.25">
      <c r="B8993"/>
      <c r="Z8993"/>
    </row>
    <row r="8994" spans="2:26" x14ac:dyDescent="0.25">
      <c r="B8994"/>
      <c r="Z8994"/>
    </row>
    <row r="8995" spans="2:26" x14ac:dyDescent="0.25">
      <c r="B8995"/>
      <c r="Z8995"/>
    </row>
    <row r="8996" spans="2:26" x14ac:dyDescent="0.25">
      <c r="B8996"/>
      <c r="Z8996"/>
    </row>
    <row r="8997" spans="2:26" x14ac:dyDescent="0.25">
      <c r="B8997"/>
      <c r="Z8997"/>
    </row>
    <row r="8998" spans="2:26" x14ac:dyDescent="0.25">
      <c r="B8998"/>
      <c r="Z8998"/>
    </row>
    <row r="8999" spans="2:26" x14ac:dyDescent="0.25">
      <c r="B8999"/>
      <c r="Z8999"/>
    </row>
    <row r="9000" spans="2:26" x14ac:dyDescent="0.25">
      <c r="B9000"/>
      <c r="Z9000"/>
    </row>
    <row r="9001" spans="2:26" x14ac:dyDescent="0.25">
      <c r="B9001"/>
      <c r="K9001" s="6"/>
      <c r="Z9001"/>
    </row>
    <row r="9002" spans="2:26" x14ac:dyDescent="0.25">
      <c r="B9002"/>
      <c r="Z9002"/>
    </row>
    <row r="9003" spans="2:26" x14ac:dyDescent="0.25">
      <c r="B9003"/>
      <c r="Z9003"/>
    </row>
    <row r="9004" spans="2:26" x14ac:dyDescent="0.25">
      <c r="B9004"/>
      <c r="Z9004"/>
    </row>
    <row r="9005" spans="2:26" x14ac:dyDescent="0.25">
      <c r="B9005"/>
      <c r="Z9005"/>
    </row>
    <row r="9006" spans="2:26" x14ac:dyDescent="0.25">
      <c r="B9006"/>
      <c r="Z9006"/>
    </row>
    <row r="9007" spans="2:26" x14ac:dyDescent="0.25">
      <c r="B9007"/>
      <c r="Z9007"/>
    </row>
    <row r="9008" spans="2:26" x14ac:dyDescent="0.25">
      <c r="B9008"/>
      <c r="Z9008"/>
    </row>
    <row r="9009" spans="1:33" x14ac:dyDescent="0.25">
      <c r="B9009"/>
      <c r="Z9009"/>
    </row>
    <row r="9010" spans="1:33" x14ac:dyDescent="0.25">
      <c r="B9010"/>
      <c r="Z9010"/>
    </row>
    <row r="9011" spans="1:33" x14ac:dyDescent="0.25">
      <c r="A9011" s="6"/>
      <c r="B9011" s="6"/>
      <c r="C9011" s="6"/>
      <c r="D9011" s="6"/>
      <c r="E9011" s="6"/>
      <c r="F9011" s="6"/>
      <c r="G9011" s="6"/>
      <c r="H9011" s="6"/>
      <c r="I9011" s="6"/>
      <c r="J9011" s="6"/>
      <c r="K9011" s="6"/>
      <c r="L9011" s="6"/>
      <c r="M9011" s="6"/>
      <c r="N9011" s="6"/>
      <c r="O9011" s="6"/>
      <c r="P9011" s="6"/>
      <c r="Q9011" s="6"/>
      <c r="R9011" s="6"/>
      <c r="S9011" s="6"/>
      <c r="T9011" s="6"/>
      <c r="U9011" s="6"/>
      <c r="V9011" s="6"/>
      <c r="W9011" s="6"/>
      <c r="X9011" s="6"/>
      <c r="Y9011" s="6"/>
      <c r="Z9011" s="6"/>
      <c r="AA9011" s="6"/>
      <c r="AB9011" s="6"/>
      <c r="AC9011" s="6"/>
      <c r="AD9011" s="6"/>
      <c r="AE9011" s="6"/>
      <c r="AF9011" s="6"/>
      <c r="AG9011" s="6"/>
    </row>
    <row r="9012" spans="1:33" x14ac:dyDescent="0.25">
      <c r="B9012"/>
      <c r="Z9012"/>
    </row>
    <row r="9013" spans="1:33" x14ac:dyDescent="0.25">
      <c r="B9013"/>
      <c r="Z9013"/>
    </row>
    <row r="9014" spans="1:33" x14ac:dyDescent="0.25">
      <c r="B9014"/>
      <c r="Z9014"/>
    </row>
    <row r="9015" spans="1:33" x14ac:dyDescent="0.25">
      <c r="B9015"/>
      <c r="Z9015"/>
    </row>
    <row r="9016" spans="1:33" x14ac:dyDescent="0.25">
      <c r="B9016"/>
      <c r="Z9016"/>
    </row>
    <row r="9017" spans="1:33" x14ac:dyDescent="0.25">
      <c r="B9017"/>
      <c r="Z9017"/>
    </row>
    <row r="9018" spans="1:33" x14ac:dyDescent="0.25">
      <c r="B9018"/>
      <c r="Z9018"/>
    </row>
    <row r="9019" spans="1:33" x14ac:dyDescent="0.25">
      <c r="B9019"/>
      <c r="Z9019"/>
    </row>
    <row r="9020" spans="1:33" x14ac:dyDescent="0.25">
      <c r="B9020"/>
      <c r="Z9020"/>
    </row>
    <row r="9021" spans="1:33" x14ac:dyDescent="0.25">
      <c r="B9021"/>
      <c r="Z9021"/>
    </row>
    <row r="9022" spans="1:33" x14ac:dyDescent="0.25">
      <c r="B9022"/>
      <c r="Z9022"/>
    </row>
    <row r="9023" spans="1:33" x14ac:dyDescent="0.25">
      <c r="B9023"/>
      <c r="Z9023"/>
    </row>
    <row r="9024" spans="1:33" x14ac:dyDescent="0.25">
      <c r="B9024"/>
      <c r="Z9024"/>
    </row>
    <row r="9025" spans="2:26" x14ac:dyDescent="0.25">
      <c r="B9025"/>
      <c r="Z9025"/>
    </row>
    <row r="9026" spans="2:26" x14ac:dyDescent="0.25">
      <c r="B9026"/>
      <c r="Z9026"/>
    </row>
    <row r="9027" spans="2:26" x14ac:dyDescent="0.25">
      <c r="B9027"/>
      <c r="Z9027"/>
    </row>
    <row r="9028" spans="2:26" x14ac:dyDescent="0.25">
      <c r="B9028"/>
      <c r="Z9028"/>
    </row>
    <row r="9029" spans="2:26" x14ac:dyDescent="0.25">
      <c r="B9029"/>
      <c r="Z9029"/>
    </row>
    <row r="9030" spans="2:26" x14ac:dyDescent="0.25">
      <c r="B9030"/>
      <c r="Z9030"/>
    </row>
    <row r="9031" spans="2:26" x14ac:dyDescent="0.25">
      <c r="B9031"/>
      <c r="Z9031"/>
    </row>
    <row r="9032" spans="2:26" x14ac:dyDescent="0.25">
      <c r="B9032"/>
      <c r="Z9032"/>
    </row>
    <row r="9033" spans="2:26" x14ac:dyDescent="0.25">
      <c r="B9033"/>
      <c r="Z9033"/>
    </row>
    <row r="9034" spans="2:26" x14ac:dyDescent="0.25">
      <c r="B9034"/>
      <c r="Z9034"/>
    </row>
    <row r="9035" spans="2:26" x14ac:dyDescent="0.25">
      <c r="B9035"/>
      <c r="Z9035"/>
    </row>
    <row r="9036" spans="2:26" x14ac:dyDescent="0.25">
      <c r="B9036"/>
      <c r="Z9036"/>
    </row>
    <row r="9037" spans="2:26" x14ac:dyDescent="0.25">
      <c r="B9037"/>
      <c r="Z9037"/>
    </row>
    <row r="9038" spans="2:26" x14ac:dyDescent="0.25">
      <c r="B9038"/>
      <c r="Z9038"/>
    </row>
    <row r="9039" spans="2:26" x14ac:dyDescent="0.25">
      <c r="B9039"/>
      <c r="Z9039"/>
    </row>
    <row r="9040" spans="2:26" x14ac:dyDescent="0.25">
      <c r="B9040"/>
      <c r="Z9040"/>
    </row>
    <row r="9041" spans="2:26" x14ac:dyDescent="0.25">
      <c r="B9041"/>
      <c r="Z9041"/>
    </row>
    <row r="9042" spans="2:26" x14ac:dyDescent="0.25">
      <c r="B9042"/>
      <c r="Z9042"/>
    </row>
    <row r="9043" spans="2:26" x14ac:dyDescent="0.25">
      <c r="B9043"/>
      <c r="Z9043"/>
    </row>
    <row r="9044" spans="2:26" x14ac:dyDescent="0.25">
      <c r="B9044"/>
      <c r="Z9044"/>
    </row>
    <row r="9045" spans="2:26" x14ac:dyDescent="0.25">
      <c r="B9045"/>
      <c r="Z9045"/>
    </row>
    <row r="9046" spans="2:26" x14ac:dyDescent="0.25">
      <c r="B9046"/>
      <c r="Z9046"/>
    </row>
    <row r="9047" spans="2:26" x14ac:dyDescent="0.25">
      <c r="B9047"/>
      <c r="Z9047"/>
    </row>
    <row r="9048" spans="2:26" x14ac:dyDescent="0.25">
      <c r="B9048"/>
      <c r="Z9048"/>
    </row>
    <row r="9049" spans="2:26" x14ac:dyDescent="0.25">
      <c r="B9049"/>
      <c r="Z9049"/>
    </row>
    <row r="9050" spans="2:26" x14ac:dyDescent="0.25">
      <c r="B9050"/>
      <c r="Z9050"/>
    </row>
    <row r="9051" spans="2:26" x14ac:dyDescent="0.25">
      <c r="B9051"/>
      <c r="Z9051"/>
    </row>
    <row r="9052" spans="2:26" x14ac:dyDescent="0.25">
      <c r="B9052"/>
      <c r="Z9052"/>
    </row>
    <row r="9053" spans="2:26" x14ac:dyDescent="0.25">
      <c r="B9053"/>
      <c r="Z9053"/>
    </row>
    <row r="9054" spans="2:26" x14ac:dyDescent="0.25">
      <c r="B9054"/>
      <c r="Z9054"/>
    </row>
    <row r="9055" spans="2:26" x14ac:dyDescent="0.25">
      <c r="B9055"/>
      <c r="Z9055"/>
    </row>
    <row r="9056" spans="2:26" x14ac:dyDescent="0.25">
      <c r="B9056"/>
      <c r="Z9056"/>
    </row>
    <row r="9057" spans="2:26" x14ac:dyDescent="0.25">
      <c r="B9057"/>
      <c r="Z9057"/>
    </row>
    <row r="9058" spans="2:26" x14ac:dyDescent="0.25">
      <c r="B9058"/>
      <c r="Z9058"/>
    </row>
    <row r="9059" spans="2:26" x14ac:dyDescent="0.25">
      <c r="B9059"/>
      <c r="Z9059"/>
    </row>
    <row r="9060" spans="2:26" x14ac:dyDescent="0.25">
      <c r="B9060"/>
      <c r="Z9060"/>
    </row>
    <row r="9061" spans="2:26" x14ac:dyDescent="0.25">
      <c r="B9061"/>
      <c r="Z9061"/>
    </row>
    <row r="9062" spans="2:26" x14ac:dyDescent="0.25">
      <c r="B9062"/>
      <c r="Z9062"/>
    </row>
    <row r="9063" spans="2:26" x14ac:dyDescent="0.25">
      <c r="B9063"/>
      <c r="Z9063"/>
    </row>
    <row r="9064" spans="2:26" x14ac:dyDescent="0.25">
      <c r="B9064"/>
      <c r="Z9064"/>
    </row>
    <row r="9065" spans="2:26" x14ac:dyDescent="0.25">
      <c r="B9065"/>
      <c r="Z9065"/>
    </row>
    <row r="9066" spans="2:26" x14ac:dyDescent="0.25">
      <c r="B9066"/>
      <c r="Z9066"/>
    </row>
    <row r="9067" spans="2:26" x14ac:dyDescent="0.25">
      <c r="B9067"/>
      <c r="Z9067"/>
    </row>
    <row r="9068" spans="2:26" x14ac:dyDescent="0.25">
      <c r="B9068"/>
      <c r="Z9068"/>
    </row>
    <row r="9069" spans="2:26" x14ac:dyDescent="0.25">
      <c r="B9069"/>
      <c r="Z9069"/>
    </row>
    <row r="9070" spans="2:26" x14ac:dyDescent="0.25">
      <c r="B9070"/>
      <c r="Z9070"/>
    </row>
    <row r="9071" spans="2:26" x14ac:dyDescent="0.25">
      <c r="B9071"/>
      <c r="Z9071"/>
    </row>
    <row r="9072" spans="2:26" x14ac:dyDescent="0.25">
      <c r="B9072"/>
      <c r="Z9072"/>
    </row>
    <row r="9073" spans="2:26" x14ac:dyDescent="0.25">
      <c r="B9073"/>
      <c r="Z9073"/>
    </row>
    <row r="9074" spans="2:26" x14ac:dyDescent="0.25">
      <c r="B9074"/>
      <c r="Z9074"/>
    </row>
    <row r="9075" spans="2:26" x14ac:dyDescent="0.25">
      <c r="B9075"/>
      <c r="Z9075"/>
    </row>
    <row r="9076" spans="2:26" x14ac:dyDescent="0.25">
      <c r="B9076"/>
      <c r="Z9076"/>
    </row>
    <row r="9077" spans="2:26" x14ac:dyDescent="0.25">
      <c r="B9077"/>
      <c r="Z9077"/>
    </row>
    <row r="9078" spans="2:26" x14ac:dyDescent="0.25">
      <c r="B9078"/>
      <c r="Z9078"/>
    </row>
    <row r="9079" spans="2:26" x14ac:dyDescent="0.25">
      <c r="B9079"/>
      <c r="Z9079"/>
    </row>
    <row r="9080" spans="2:26" x14ac:dyDescent="0.25">
      <c r="B9080"/>
      <c r="Z9080"/>
    </row>
    <row r="9081" spans="2:26" x14ac:dyDescent="0.25">
      <c r="B9081"/>
      <c r="Z9081"/>
    </row>
    <row r="9082" spans="2:26" x14ac:dyDescent="0.25">
      <c r="B9082"/>
      <c r="Z9082"/>
    </row>
    <row r="9083" spans="2:26" x14ac:dyDescent="0.25">
      <c r="B9083"/>
      <c r="Z9083"/>
    </row>
    <row r="9084" spans="2:26" x14ac:dyDescent="0.25">
      <c r="B9084"/>
      <c r="Z9084"/>
    </row>
    <row r="9085" spans="2:26" x14ac:dyDescent="0.25">
      <c r="B9085"/>
      <c r="Z9085"/>
    </row>
    <row r="9086" spans="2:26" x14ac:dyDescent="0.25">
      <c r="B9086"/>
      <c r="Z9086"/>
    </row>
    <row r="9087" spans="2:26" x14ac:dyDescent="0.25">
      <c r="B9087"/>
      <c r="Z9087"/>
    </row>
    <row r="9088" spans="2:26" x14ac:dyDescent="0.25">
      <c r="B9088"/>
      <c r="Z9088"/>
    </row>
    <row r="9089" spans="2:26" x14ac:dyDescent="0.25">
      <c r="B9089"/>
      <c r="Z9089"/>
    </row>
    <row r="9090" spans="2:26" x14ac:dyDescent="0.25">
      <c r="B9090"/>
      <c r="Z9090"/>
    </row>
    <row r="9091" spans="2:26" x14ac:dyDescent="0.25">
      <c r="B9091"/>
      <c r="Z9091"/>
    </row>
    <row r="9092" spans="2:26" x14ac:dyDescent="0.25">
      <c r="B9092"/>
      <c r="Z9092"/>
    </row>
    <row r="9093" spans="2:26" x14ac:dyDescent="0.25">
      <c r="B9093"/>
      <c r="Z9093"/>
    </row>
    <row r="9094" spans="2:26" x14ac:dyDescent="0.25">
      <c r="B9094"/>
      <c r="Z9094"/>
    </row>
    <row r="9095" spans="2:26" x14ac:dyDescent="0.25">
      <c r="B9095"/>
      <c r="Z9095"/>
    </row>
    <row r="9096" spans="2:26" x14ac:dyDescent="0.25">
      <c r="B9096"/>
      <c r="Z9096"/>
    </row>
    <row r="9097" spans="2:26" x14ac:dyDescent="0.25">
      <c r="B9097"/>
      <c r="Z9097"/>
    </row>
    <row r="9098" spans="2:26" x14ac:dyDescent="0.25">
      <c r="B9098"/>
      <c r="Z9098"/>
    </row>
    <row r="9099" spans="2:26" x14ac:dyDescent="0.25">
      <c r="B9099"/>
      <c r="Z9099"/>
    </row>
    <row r="9100" spans="2:26" x14ac:dyDescent="0.25">
      <c r="B9100"/>
      <c r="Z9100"/>
    </row>
    <row r="9101" spans="2:26" x14ac:dyDescent="0.25">
      <c r="B9101"/>
      <c r="Z9101"/>
    </row>
    <row r="9102" spans="2:26" x14ac:dyDescent="0.25">
      <c r="B9102"/>
      <c r="K9102" s="6"/>
      <c r="Z9102"/>
    </row>
    <row r="9103" spans="2:26" x14ac:dyDescent="0.25">
      <c r="B9103"/>
      <c r="Z9103"/>
    </row>
    <row r="9104" spans="2:26" x14ac:dyDescent="0.25">
      <c r="B9104"/>
      <c r="Z9104"/>
    </row>
    <row r="9105" spans="1:33" x14ac:dyDescent="0.25">
      <c r="B9105"/>
      <c r="Z9105"/>
    </row>
    <row r="9106" spans="1:33" x14ac:dyDescent="0.25">
      <c r="B9106"/>
      <c r="Z9106"/>
    </row>
    <row r="9107" spans="1:33" x14ac:dyDescent="0.25">
      <c r="B9107"/>
      <c r="Z9107"/>
    </row>
    <row r="9108" spans="1:33" x14ac:dyDescent="0.25">
      <c r="B9108"/>
      <c r="Z9108"/>
    </row>
    <row r="9109" spans="1:33" x14ac:dyDescent="0.25">
      <c r="B9109"/>
      <c r="Z9109"/>
    </row>
    <row r="9110" spans="1:33" x14ac:dyDescent="0.25">
      <c r="B9110"/>
      <c r="Z9110"/>
    </row>
    <row r="9111" spans="1:33" x14ac:dyDescent="0.25">
      <c r="B9111"/>
      <c r="Z9111"/>
    </row>
    <row r="9112" spans="1:33" x14ac:dyDescent="0.25">
      <c r="B9112"/>
      <c r="Z9112"/>
    </row>
    <row r="9113" spans="1:33" x14ac:dyDescent="0.25">
      <c r="B9113"/>
      <c r="Z9113"/>
    </row>
    <row r="9114" spans="1:33" x14ac:dyDescent="0.25">
      <c r="B9114"/>
      <c r="Z9114"/>
    </row>
    <row r="9115" spans="1:33" x14ac:dyDescent="0.25">
      <c r="A9115" s="6"/>
      <c r="B9115" s="6"/>
      <c r="C9115" s="6"/>
      <c r="D9115" s="6"/>
      <c r="E9115" s="6"/>
      <c r="F9115" s="6"/>
      <c r="G9115" s="6"/>
      <c r="H9115" s="6"/>
      <c r="I9115" s="6"/>
      <c r="J9115" s="6"/>
      <c r="K9115" s="6"/>
      <c r="L9115" s="6"/>
      <c r="M9115" s="6"/>
      <c r="N9115" s="6"/>
      <c r="O9115" s="6"/>
      <c r="P9115" s="6"/>
      <c r="Q9115" s="6"/>
      <c r="R9115" s="6"/>
      <c r="S9115" s="6"/>
      <c r="T9115" s="6"/>
      <c r="U9115" s="6"/>
      <c r="V9115" s="6"/>
      <c r="W9115" s="6"/>
      <c r="X9115" s="6"/>
      <c r="Y9115" s="6"/>
      <c r="Z9115" s="6"/>
      <c r="AA9115" s="6"/>
      <c r="AB9115" s="6"/>
      <c r="AC9115" s="6"/>
      <c r="AD9115" s="6"/>
      <c r="AE9115" s="6"/>
      <c r="AF9115" s="6"/>
      <c r="AG9115" s="6"/>
    </row>
    <row r="9116" spans="1:33" x14ac:dyDescent="0.25">
      <c r="B9116"/>
      <c r="Z9116"/>
    </row>
    <row r="9117" spans="1:33" x14ac:dyDescent="0.25">
      <c r="B9117"/>
      <c r="Z9117"/>
    </row>
    <row r="9118" spans="1:33" x14ac:dyDescent="0.25">
      <c r="B9118"/>
      <c r="Z9118"/>
    </row>
    <row r="9119" spans="1:33" x14ac:dyDescent="0.25">
      <c r="B9119"/>
      <c r="Z9119"/>
    </row>
    <row r="9120" spans="1:33" x14ac:dyDescent="0.25">
      <c r="B9120"/>
      <c r="Z9120"/>
    </row>
    <row r="9121" spans="2:26" x14ac:dyDescent="0.25">
      <c r="B9121"/>
      <c r="Z9121"/>
    </row>
    <row r="9122" spans="2:26" x14ac:dyDescent="0.25">
      <c r="B9122"/>
      <c r="Z9122"/>
    </row>
    <row r="9123" spans="2:26" x14ac:dyDescent="0.25">
      <c r="B9123"/>
      <c r="Z9123"/>
    </row>
    <row r="9124" spans="2:26" x14ac:dyDescent="0.25">
      <c r="B9124"/>
      <c r="Z9124"/>
    </row>
    <row r="9125" spans="2:26" x14ac:dyDescent="0.25">
      <c r="B9125"/>
      <c r="Z9125"/>
    </row>
    <row r="9126" spans="2:26" x14ac:dyDescent="0.25">
      <c r="B9126"/>
      <c r="Z9126"/>
    </row>
    <row r="9127" spans="2:26" x14ac:dyDescent="0.25">
      <c r="B9127"/>
      <c r="Z9127"/>
    </row>
    <row r="9128" spans="2:26" x14ac:dyDescent="0.25">
      <c r="B9128"/>
      <c r="Z9128"/>
    </row>
    <row r="9129" spans="2:26" x14ac:dyDescent="0.25">
      <c r="B9129"/>
      <c r="Z9129"/>
    </row>
    <row r="9130" spans="2:26" x14ac:dyDescent="0.25">
      <c r="B9130"/>
      <c r="Z9130"/>
    </row>
    <row r="9131" spans="2:26" x14ac:dyDescent="0.25">
      <c r="B9131"/>
      <c r="Z9131"/>
    </row>
    <row r="9132" spans="2:26" x14ac:dyDescent="0.25">
      <c r="B9132"/>
      <c r="Z9132"/>
    </row>
    <row r="9133" spans="2:26" x14ac:dyDescent="0.25">
      <c r="B9133"/>
      <c r="Z9133"/>
    </row>
    <row r="9134" spans="2:26" x14ac:dyDescent="0.25">
      <c r="B9134"/>
      <c r="Z9134"/>
    </row>
    <row r="9135" spans="2:26" x14ac:dyDescent="0.25">
      <c r="B9135"/>
      <c r="Z9135"/>
    </row>
    <row r="9136" spans="2:26" x14ac:dyDescent="0.25">
      <c r="B9136"/>
      <c r="Z9136"/>
    </row>
    <row r="9137" spans="2:26" x14ac:dyDescent="0.25">
      <c r="B9137"/>
      <c r="Z9137"/>
    </row>
    <row r="9138" spans="2:26" x14ac:dyDescent="0.25">
      <c r="B9138"/>
      <c r="Z9138"/>
    </row>
    <row r="9139" spans="2:26" x14ac:dyDescent="0.25">
      <c r="B9139"/>
      <c r="Z9139"/>
    </row>
    <row r="9140" spans="2:26" x14ac:dyDescent="0.25">
      <c r="B9140"/>
      <c r="Z9140"/>
    </row>
    <row r="9141" spans="2:26" x14ac:dyDescent="0.25">
      <c r="B9141"/>
      <c r="Z9141"/>
    </row>
    <row r="9142" spans="2:26" x14ac:dyDescent="0.25">
      <c r="B9142"/>
      <c r="Z9142"/>
    </row>
    <row r="9143" spans="2:26" x14ac:dyDescent="0.25">
      <c r="B9143"/>
      <c r="Z9143"/>
    </row>
    <row r="9144" spans="2:26" x14ac:dyDescent="0.25">
      <c r="B9144"/>
      <c r="Z9144"/>
    </row>
    <row r="9145" spans="2:26" x14ac:dyDescent="0.25">
      <c r="B9145"/>
      <c r="Z9145"/>
    </row>
    <row r="9146" spans="2:26" x14ac:dyDescent="0.25">
      <c r="B9146"/>
      <c r="Z9146"/>
    </row>
    <row r="9147" spans="2:26" x14ac:dyDescent="0.25">
      <c r="B9147"/>
      <c r="Z9147"/>
    </row>
    <row r="9148" spans="2:26" x14ac:dyDescent="0.25">
      <c r="B9148"/>
      <c r="Z9148"/>
    </row>
    <row r="9149" spans="2:26" x14ac:dyDescent="0.25">
      <c r="B9149"/>
      <c r="Z9149"/>
    </row>
    <row r="9150" spans="2:26" x14ac:dyDescent="0.25">
      <c r="B9150"/>
      <c r="Z9150"/>
    </row>
    <row r="9151" spans="2:26" x14ac:dyDescent="0.25">
      <c r="B9151"/>
      <c r="Z9151"/>
    </row>
    <row r="9152" spans="2:26" x14ac:dyDescent="0.25">
      <c r="B9152"/>
      <c r="Z9152"/>
    </row>
    <row r="9153" spans="2:26" x14ac:dyDescent="0.25">
      <c r="B9153"/>
      <c r="Z9153"/>
    </row>
    <row r="9154" spans="2:26" x14ac:dyDescent="0.25">
      <c r="B9154"/>
      <c r="Z9154"/>
    </row>
    <row r="9155" spans="2:26" x14ac:dyDescent="0.25">
      <c r="B9155"/>
      <c r="Z9155"/>
    </row>
    <row r="9156" spans="2:26" x14ac:dyDescent="0.25">
      <c r="B9156"/>
      <c r="Z9156"/>
    </row>
    <row r="9157" spans="2:26" x14ac:dyDescent="0.25">
      <c r="B9157"/>
      <c r="Z9157"/>
    </row>
    <row r="9158" spans="2:26" x14ac:dyDescent="0.25">
      <c r="B9158"/>
      <c r="Z9158"/>
    </row>
    <row r="9159" spans="2:26" x14ac:dyDescent="0.25">
      <c r="B9159"/>
      <c r="Z9159"/>
    </row>
    <row r="9160" spans="2:26" x14ac:dyDescent="0.25">
      <c r="B9160"/>
      <c r="Z9160"/>
    </row>
    <row r="9161" spans="2:26" x14ac:dyDescent="0.25">
      <c r="B9161"/>
      <c r="Z9161"/>
    </row>
    <row r="9162" spans="2:26" x14ac:dyDescent="0.25">
      <c r="B9162"/>
      <c r="Z9162"/>
    </row>
    <row r="9163" spans="2:26" x14ac:dyDescent="0.25">
      <c r="B9163"/>
      <c r="Z9163"/>
    </row>
    <row r="9164" spans="2:26" x14ac:dyDescent="0.25">
      <c r="B9164"/>
      <c r="Z9164"/>
    </row>
    <row r="9165" spans="2:26" x14ac:dyDescent="0.25">
      <c r="B9165"/>
      <c r="Z9165"/>
    </row>
    <row r="9166" spans="2:26" x14ac:dyDescent="0.25">
      <c r="B9166"/>
      <c r="Z9166"/>
    </row>
    <row r="9167" spans="2:26" x14ac:dyDescent="0.25">
      <c r="B9167"/>
      <c r="Z9167"/>
    </row>
    <row r="9168" spans="2:26" x14ac:dyDescent="0.25">
      <c r="B9168"/>
      <c r="Z9168"/>
    </row>
    <row r="9169" spans="2:26" x14ac:dyDescent="0.25">
      <c r="B9169"/>
      <c r="Z9169"/>
    </row>
    <row r="9170" spans="2:26" x14ac:dyDescent="0.25">
      <c r="B9170"/>
      <c r="Z9170"/>
    </row>
    <row r="9171" spans="2:26" x14ac:dyDescent="0.25">
      <c r="B9171"/>
      <c r="Z9171"/>
    </row>
    <row r="9172" spans="2:26" x14ac:dyDescent="0.25">
      <c r="B9172"/>
      <c r="Z9172"/>
    </row>
    <row r="9173" spans="2:26" x14ac:dyDescent="0.25">
      <c r="B9173"/>
      <c r="Z9173"/>
    </row>
    <row r="9174" spans="2:26" x14ac:dyDescent="0.25">
      <c r="B9174"/>
      <c r="Z9174"/>
    </row>
    <row r="9175" spans="2:26" x14ac:dyDescent="0.25">
      <c r="B9175"/>
      <c r="Z9175"/>
    </row>
    <row r="9176" spans="2:26" x14ac:dyDescent="0.25">
      <c r="B9176"/>
      <c r="Z9176"/>
    </row>
    <row r="9177" spans="2:26" x14ac:dyDescent="0.25">
      <c r="B9177"/>
      <c r="Z9177"/>
    </row>
    <row r="9178" spans="2:26" x14ac:dyDescent="0.25">
      <c r="B9178"/>
      <c r="Z9178"/>
    </row>
    <row r="9179" spans="2:26" x14ac:dyDescent="0.25">
      <c r="B9179"/>
      <c r="Z9179"/>
    </row>
    <row r="9180" spans="2:26" x14ac:dyDescent="0.25">
      <c r="B9180"/>
      <c r="Z9180"/>
    </row>
    <row r="9181" spans="2:26" x14ac:dyDescent="0.25">
      <c r="B9181"/>
      <c r="Z9181"/>
    </row>
    <row r="9182" spans="2:26" x14ac:dyDescent="0.25">
      <c r="B9182"/>
      <c r="Z9182"/>
    </row>
    <row r="9183" spans="2:26" x14ac:dyDescent="0.25">
      <c r="B9183"/>
      <c r="Z9183"/>
    </row>
    <row r="9184" spans="2:26" x14ac:dyDescent="0.25">
      <c r="B9184"/>
      <c r="Z9184"/>
    </row>
    <row r="9185" spans="2:26" x14ac:dyDescent="0.25">
      <c r="B9185"/>
      <c r="Z9185"/>
    </row>
    <row r="9186" spans="2:26" x14ac:dyDescent="0.25">
      <c r="B9186"/>
      <c r="Z9186"/>
    </row>
    <row r="9187" spans="2:26" x14ac:dyDescent="0.25">
      <c r="B9187"/>
      <c r="Z9187"/>
    </row>
    <row r="9188" spans="2:26" x14ac:dyDescent="0.25">
      <c r="B9188"/>
      <c r="Z9188"/>
    </row>
    <row r="9189" spans="2:26" x14ac:dyDescent="0.25">
      <c r="B9189"/>
      <c r="Z9189"/>
    </row>
    <row r="9190" spans="2:26" x14ac:dyDescent="0.25">
      <c r="B9190"/>
      <c r="Z9190"/>
    </row>
    <row r="9191" spans="2:26" x14ac:dyDescent="0.25">
      <c r="B9191"/>
      <c r="Z9191"/>
    </row>
    <row r="9192" spans="2:26" x14ac:dyDescent="0.25">
      <c r="B9192"/>
      <c r="Z9192"/>
    </row>
    <row r="9193" spans="2:26" x14ac:dyDescent="0.25">
      <c r="B9193"/>
      <c r="Z9193"/>
    </row>
    <row r="9194" spans="2:26" x14ac:dyDescent="0.25">
      <c r="B9194"/>
      <c r="Z9194"/>
    </row>
    <row r="9195" spans="2:26" x14ac:dyDescent="0.25">
      <c r="B9195"/>
      <c r="Z9195"/>
    </row>
    <row r="9196" spans="2:26" x14ac:dyDescent="0.25">
      <c r="B9196"/>
      <c r="Z9196"/>
    </row>
    <row r="9197" spans="2:26" x14ac:dyDescent="0.25">
      <c r="B9197"/>
      <c r="Z9197"/>
    </row>
    <row r="9198" spans="2:26" x14ac:dyDescent="0.25">
      <c r="B9198"/>
      <c r="Z9198"/>
    </row>
    <row r="9199" spans="2:26" x14ac:dyDescent="0.25">
      <c r="B9199"/>
      <c r="Z9199"/>
    </row>
    <row r="9200" spans="2:26" x14ac:dyDescent="0.25">
      <c r="B9200"/>
      <c r="Z9200"/>
    </row>
    <row r="9201" spans="2:26" x14ac:dyDescent="0.25">
      <c r="B9201"/>
      <c r="Z9201"/>
    </row>
    <row r="9202" spans="2:26" x14ac:dyDescent="0.25">
      <c r="B9202"/>
      <c r="Z9202"/>
    </row>
    <row r="9203" spans="2:26" x14ac:dyDescent="0.25">
      <c r="B9203"/>
      <c r="Z9203"/>
    </row>
    <row r="9204" spans="2:26" x14ac:dyDescent="0.25">
      <c r="B9204"/>
      <c r="Z9204"/>
    </row>
    <row r="9205" spans="2:26" x14ac:dyDescent="0.25">
      <c r="B9205"/>
      <c r="Z9205"/>
    </row>
    <row r="9206" spans="2:26" x14ac:dyDescent="0.25">
      <c r="B9206"/>
      <c r="K9206" s="6"/>
      <c r="Z9206"/>
    </row>
    <row r="9207" spans="2:26" x14ac:dyDescent="0.25">
      <c r="B9207"/>
      <c r="Z9207"/>
    </row>
    <row r="9208" spans="2:26" x14ac:dyDescent="0.25">
      <c r="B9208"/>
      <c r="Z9208"/>
    </row>
    <row r="9209" spans="2:26" x14ac:dyDescent="0.25">
      <c r="B9209"/>
      <c r="Z9209"/>
    </row>
    <row r="9210" spans="2:26" x14ac:dyDescent="0.25">
      <c r="B9210"/>
      <c r="Z9210"/>
    </row>
    <row r="9211" spans="2:26" x14ac:dyDescent="0.25">
      <c r="B9211"/>
      <c r="Z9211"/>
    </row>
    <row r="9212" spans="2:26" x14ac:dyDescent="0.25">
      <c r="B9212"/>
      <c r="Z9212"/>
    </row>
    <row r="9213" spans="2:26" x14ac:dyDescent="0.25">
      <c r="B9213"/>
      <c r="Z9213"/>
    </row>
    <row r="9214" spans="2:26" x14ac:dyDescent="0.25">
      <c r="B9214"/>
      <c r="Z9214"/>
    </row>
    <row r="9215" spans="2:26" x14ac:dyDescent="0.25">
      <c r="B9215"/>
      <c r="Z9215"/>
    </row>
    <row r="9216" spans="2:26" x14ac:dyDescent="0.25">
      <c r="B9216"/>
      <c r="Z9216"/>
    </row>
    <row r="9217" spans="1:33" x14ac:dyDescent="0.25">
      <c r="B9217"/>
      <c r="Z9217"/>
    </row>
    <row r="9218" spans="1:33" x14ac:dyDescent="0.25">
      <c r="B9218"/>
      <c r="Z9218"/>
    </row>
    <row r="9219" spans="1:33" x14ac:dyDescent="0.25">
      <c r="A9219" s="6"/>
      <c r="B9219" s="6"/>
      <c r="C9219" s="6"/>
      <c r="D9219" s="6"/>
      <c r="E9219" s="6"/>
      <c r="F9219" s="6"/>
      <c r="G9219" s="6"/>
      <c r="H9219" s="6"/>
      <c r="I9219" s="6"/>
      <c r="J9219" s="6"/>
      <c r="K9219" s="6"/>
      <c r="L9219" s="6"/>
      <c r="M9219" s="6"/>
      <c r="N9219" s="6"/>
      <c r="O9219" s="6"/>
      <c r="P9219" s="6"/>
      <c r="Q9219" s="6"/>
      <c r="R9219" s="6"/>
      <c r="S9219" s="6"/>
      <c r="T9219" s="6"/>
      <c r="U9219" s="6"/>
      <c r="V9219" s="6"/>
      <c r="W9219" s="6"/>
      <c r="X9219" s="6"/>
      <c r="Y9219" s="6"/>
      <c r="Z9219" s="6"/>
      <c r="AA9219" s="6"/>
      <c r="AB9219" s="6"/>
      <c r="AC9219" s="6"/>
      <c r="AD9219" s="6"/>
      <c r="AE9219" s="6"/>
      <c r="AF9219" s="6"/>
      <c r="AG9219" s="6"/>
    </row>
    <row r="9220" spans="1:33" x14ac:dyDescent="0.25">
      <c r="B9220"/>
      <c r="Z9220"/>
    </row>
    <row r="9221" spans="1:33" x14ac:dyDescent="0.25">
      <c r="B9221"/>
      <c r="Z9221"/>
    </row>
    <row r="9222" spans="1:33" x14ac:dyDescent="0.25">
      <c r="B9222"/>
      <c r="Z9222"/>
    </row>
    <row r="9223" spans="1:33" x14ac:dyDescent="0.25">
      <c r="B9223"/>
      <c r="Z9223"/>
    </row>
    <row r="9224" spans="1:33" x14ac:dyDescent="0.25">
      <c r="B9224"/>
      <c r="Z9224"/>
    </row>
    <row r="9225" spans="1:33" x14ac:dyDescent="0.25">
      <c r="B9225"/>
      <c r="Z9225"/>
    </row>
    <row r="9226" spans="1:33" x14ac:dyDescent="0.25">
      <c r="B9226"/>
      <c r="Z9226"/>
    </row>
    <row r="9227" spans="1:33" x14ac:dyDescent="0.25">
      <c r="B9227"/>
      <c r="Z9227"/>
    </row>
    <row r="9228" spans="1:33" x14ac:dyDescent="0.25">
      <c r="B9228"/>
      <c r="Z9228"/>
    </row>
    <row r="9229" spans="1:33" x14ac:dyDescent="0.25">
      <c r="B9229"/>
      <c r="Z9229"/>
    </row>
    <row r="9230" spans="1:33" x14ac:dyDescent="0.25">
      <c r="B9230"/>
      <c r="Z9230"/>
    </row>
    <row r="9231" spans="1:33" x14ac:dyDescent="0.25">
      <c r="B9231"/>
      <c r="Z9231"/>
    </row>
    <row r="9232" spans="1:33" x14ac:dyDescent="0.25">
      <c r="B9232"/>
      <c r="Z9232"/>
    </row>
    <row r="9233" spans="2:26" x14ac:dyDescent="0.25">
      <c r="B9233"/>
      <c r="Z9233"/>
    </row>
    <row r="9234" spans="2:26" x14ac:dyDescent="0.25">
      <c r="B9234"/>
      <c r="Z9234"/>
    </row>
    <row r="9235" spans="2:26" x14ac:dyDescent="0.25">
      <c r="B9235"/>
      <c r="Z9235"/>
    </row>
    <row r="9236" spans="2:26" x14ac:dyDescent="0.25">
      <c r="B9236"/>
      <c r="Z9236"/>
    </row>
    <row r="9237" spans="2:26" x14ac:dyDescent="0.25">
      <c r="B9237"/>
      <c r="Z9237"/>
    </row>
    <row r="9238" spans="2:26" x14ac:dyDescent="0.25">
      <c r="B9238"/>
      <c r="Z9238"/>
    </row>
    <row r="9239" spans="2:26" x14ac:dyDescent="0.25">
      <c r="B9239"/>
      <c r="Z9239"/>
    </row>
    <row r="9240" spans="2:26" x14ac:dyDescent="0.25">
      <c r="B9240"/>
      <c r="Z9240"/>
    </row>
    <row r="9241" spans="2:26" x14ac:dyDescent="0.25">
      <c r="B9241"/>
      <c r="Z9241"/>
    </row>
    <row r="9242" spans="2:26" x14ac:dyDescent="0.25">
      <c r="B9242"/>
      <c r="Z9242"/>
    </row>
    <row r="9243" spans="2:26" x14ac:dyDescent="0.25">
      <c r="B9243"/>
      <c r="Z9243"/>
    </row>
    <row r="9244" spans="2:26" x14ac:dyDescent="0.25">
      <c r="B9244"/>
      <c r="Z9244"/>
    </row>
    <row r="9245" spans="2:26" x14ac:dyDescent="0.25">
      <c r="B9245"/>
      <c r="Z9245"/>
    </row>
    <row r="9246" spans="2:26" x14ac:dyDescent="0.25">
      <c r="B9246"/>
      <c r="Z9246"/>
    </row>
    <row r="9247" spans="2:26" x14ac:dyDescent="0.25">
      <c r="B9247"/>
      <c r="Z9247"/>
    </row>
    <row r="9248" spans="2:26" x14ac:dyDescent="0.25">
      <c r="B9248"/>
      <c r="Z9248"/>
    </row>
    <row r="9249" spans="2:26" x14ac:dyDescent="0.25">
      <c r="B9249"/>
      <c r="Z9249"/>
    </row>
    <row r="9250" spans="2:26" x14ac:dyDescent="0.25">
      <c r="B9250"/>
      <c r="Z9250"/>
    </row>
    <row r="9251" spans="2:26" x14ac:dyDescent="0.25">
      <c r="B9251"/>
      <c r="Z9251"/>
    </row>
    <row r="9252" spans="2:26" x14ac:dyDescent="0.25">
      <c r="B9252"/>
      <c r="Z9252"/>
    </row>
    <row r="9253" spans="2:26" x14ac:dyDescent="0.25">
      <c r="B9253"/>
      <c r="Z9253"/>
    </row>
    <row r="9254" spans="2:26" x14ac:dyDescent="0.25">
      <c r="B9254"/>
      <c r="Z9254"/>
    </row>
    <row r="9255" spans="2:26" x14ac:dyDescent="0.25">
      <c r="B9255"/>
      <c r="Z9255"/>
    </row>
    <row r="9256" spans="2:26" x14ac:dyDescent="0.25">
      <c r="B9256"/>
      <c r="Z9256"/>
    </row>
    <row r="9257" spans="2:26" x14ac:dyDescent="0.25">
      <c r="B9257"/>
      <c r="Z9257"/>
    </row>
    <row r="9258" spans="2:26" x14ac:dyDescent="0.25">
      <c r="B9258"/>
      <c r="Z9258"/>
    </row>
    <row r="9259" spans="2:26" x14ac:dyDescent="0.25">
      <c r="B9259"/>
      <c r="Z9259"/>
    </row>
    <row r="9260" spans="2:26" x14ac:dyDescent="0.25">
      <c r="B9260"/>
      <c r="Z9260"/>
    </row>
    <row r="9261" spans="2:26" x14ac:dyDescent="0.25">
      <c r="B9261"/>
      <c r="Z9261"/>
    </row>
    <row r="9262" spans="2:26" x14ac:dyDescent="0.25">
      <c r="B9262"/>
      <c r="Z9262"/>
    </row>
    <row r="9263" spans="2:26" x14ac:dyDescent="0.25">
      <c r="B9263"/>
      <c r="Z9263"/>
    </row>
    <row r="9264" spans="2:26" x14ac:dyDescent="0.25">
      <c r="B9264"/>
      <c r="Z9264"/>
    </row>
    <row r="9265" spans="2:26" x14ac:dyDescent="0.25">
      <c r="B9265"/>
      <c r="Z9265"/>
    </row>
    <row r="9266" spans="2:26" x14ac:dyDescent="0.25">
      <c r="B9266"/>
      <c r="Z9266"/>
    </row>
    <row r="9267" spans="2:26" x14ac:dyDescent="0.25">
      <c r="B9267"/>
      <c r="Z9267"/>
    </row>
    <row r="9268" spans="2:26" x14ac:dyDescent="0.25">
      <c r="B9268"/>
      <c r="Z9268"/>
    </row>
    <row r="9269" spans="2:26" x14ac:dyDescent="0.25">
      <c r="B9269"/>
      <c r="Z9269"/>
    </row>
    <row r="9270" spans="2:26" x14ac:dyDescent="0.25">
      <c r="B9270"/>
      <c r="Z9270"/>
    </row>
    <row r="9271" spans="2:26" x14ac:dyDescent="0.25">
      <c r="B9271"/>
      <c r="Z9271"/>
    </row>
    <row r="9272" spans="2:26" x14ac:dyDescent="0.25">
      <c r="B9272"/>
      <c r="Z9272"/>
    </row>
    <row r="9273" spans="2:26" x14ac:dyDescent="0.25">
      <c r="B9273"/>
      <c r="Z9273"/>
    </row>
    <row r="9274" spans="2:26" x14ac:dyDescent="0.25">
      <c r="B9274"/>
      <c r="Z9274"/>
    </row>
    <row r="9275" spans="2:26" x14ac:dyDescent="0.25">
      <c r="B9275"/>
      <c r="Z9275"/>
    </row>
    <row r="9276" spans="2:26" x14ac:dyDescent="0.25">
      <c r="B9276"/>
      <c r="Z9276"/>
    </row>
    <row r="9277" spans="2:26" x14ac:dyDescent="0.25">
      <c r="B9277"/>
      <c r="Z9277"/>
    </row>
    <row r="9278" spans="2:26" x14ac:dyDescent="0.25">
      <c r="B9278"/>
      <c r="Z9278"/>
    </row>
    <row r="9279" spans="2:26" x14ac:dyDescent="0.25">
      <c r="B9279"/>
      <c r="Z9279"/>
    </row>
    <row r="9280" spans="2:26" x14ac:dyDescent="0.25">
      <c r="B9280"/>
      <c r="Z9280"/>
    </row>
    <row r="9281" spans="2:26" x14ac:dyDescent="0.25">
      <c r="B9281"/>
      <c r="Z9281"/>
    </row>
    <row r="9282" spans="2:26" x14ac:dyDescent="0.25">
      <c r="B9282"/>
      <c r="Z9282"/>
    </row>
    <row r="9283" spans="2:26" x14ac:dyDescent="0.25">
      <c r="B9283"/>
      <c r="Z9283"/>
    </row>
    <row r="9284" spans="2:26" x14ac:dyDescent="0.25">
      <c r="B9284"/>
      <c r="Z9284"/>
    </row>
    <row r="9285" spans="2:26" x14ac:dyDescent="0.25">
      <c r="B9285"/>
      <c r="Z9285"/>
    </row>
    <row r="9286" spans="2:26" x14ac:dyDescent="0.25">
      <c r="B9286"/>
      <c r="Z9286"/>
    </row>
    <row r="9287" spans="2:26" x14ac:dyDescent="0.25">
      <c r="B9287"/>
      <c r="Z9287"/>
    </row>
    <row r="9288" spans="2:26" x14ac:dyDescent="0.25">
      <c r="B9288"/>
      <c r="Z9288"/>
    </row>
    <row r="9289" spans="2:26" x14ac:dyDescent="0.25">
      <c r="B9289"/>
      <c r="Z9289"/>
    </row>
    <row r="9290" spans="2:26" x14ac:dyDescent="0.25">
      <c r="B9290"/>
      <c r="Z9290"/>
    </row>
    <row r="9291" spans="2:26" x14ac:dyDescent="0.25">
      <c r="B9291"/>
      <c r="Z9291"/>
    </row>
    <row r="9292" spans="2:26" x14ac:dyDescent="0.25">
      <c r="B9292"/>
      <c r="Z9292"/>
    </row>
    <row r="9293" spans="2:26" x14ac:dyDescent="0.25">
      <c r="B9293"/>
      <c r="Z9293"/>
    </row>
    <row r="9294" spans="2:26" x14ac:dyDescent="0.25">
      <c r="B9294"/>
      <c r="Z9294"/>
    </row>
    <row r="9295" spans="2:26" x14ac:dyDescent="0.25">
      <c r="B9295"/>
      <c r="Z9295"/>
    </row>
    <row r="9296" spans="2:26" x14ac:dyDescent="0.25">
      <c r="B9296"/>
      <c r="Z9296"/>
    </row>
    <row r="9297" spans="2:26" x14ac:dyDescent="0.25">
      <c r="B9297"/>
      <c r="Z9297"/>
    </row>
    <row r="9298" spans="2:26" x14ac:dyDescent="0.25">
      <c r="B9298"/>
      <c r="Z9298"/>
    </row>
    <row r="9299" spans="2:26" x14ac:dyDescent="0.25">
      <c r="B9299"/>
      <c r="Z9299"/>
    </row>
    <row r="9300" spans="2:26" x14ac:dyDescent="0.25">
      <c r="B9300"/>
      <c r="Z9300"/>
    </row>
    <row r="9301" spans="2:26" x14ac:dyDescent="0.25">
      <c r="B9301"/>
      <c r="Z9301"/>
    </row>
    <row r="9302" spans="2:26" x14ac:dyDescent="0.25">
      <c r="B9302"/>
      <c r="Z9302"/>
    </row>
    <row r="9303" spans="2:26" x14ac:dyDescent="0.25">
      <c r="B9303"/>
      <c r="Z9303"/>
    </row>
    <row r="9304" spans="2:26" x14ac:dyDescent="0.25">
      <c r="B9304"/>
      <c r="Z9304"/>
    </row>
    <row r="9305" spans="2:26" x14ac:dyDescent="0.25">
      <c r="B9305"/>
      <c r="Z9305"/>
    </row>
    <row r="9306" spans="2:26" x14ac:dyDescent="0.25">
      <c r="B9306"/>
      <c r="Z9306"/>
    </row>
    <row r="9307" spans="2:26" x14ac:dyDescent="0.25">
      <c r="B9307"/>
      <c r="Z9307"/>
    </row>
    <row r="9308" spans="2:26" x14ac:dyDescent="0.25">
      <c r="B9308"/>
      <c r="Z9308"/>
    </row>
    <row r="9309" spans="2:26" x14ac:dyDescent="0.25">
      <c r="B9309"/>
      <c r="Z9309"/>
    </row>
    <row r="9310" spans="2:26" x14ac:dyDescent="0.25">
      <c r="B9310"/>
      <c r="Z9310"/>
    </row>
    <row r="9311" spans="2:26" x14ac:dyDescent="0.25">
      <c r="B9311"/>
      <c r="Z9311"/>
    </row>
    <row r="9312" spans="2:26" x14ac:dyDescent="0.25">
      <c r="B9312"/>
      <c r="Z9312"/>
    </row>
    <row r="9313" spans="1:33" x14ac:dyDescent="0.25">
      <c r="B9313"/>
      <c r="Z9313"/>
    </row>
    <row r="9314" spans="1:33" x14ac:dyDescent="0.25">
      <c r="B9314"/>
      <c r="Z9314"/>
    </row>
    <row r="9315" spans="1:33" x14ac:dyDescent="0.25">
      <c r="B9315"/>
      <c r="Z9315"/>
    </row>
    <row r="9316" spans="1:33" x14ac:dyDescent="0.25">
      <c r="B9316"/>
      <c r="Z9316"/>
    </row>
    <row r="9317" spans="1:33" x14ac:dyDescent="0.25">
      <c r="B9317"/>
      <c r="Z9317"/>
    </row>
    <row r="9318" spans="1:33" x14ac:dyDescent="0.25">
      <c r="B9318"/>
      <c r="Z9318"/>
    </row>
    <row r="9319" spans="1:33" x14ac:dyDescent="0.25">
      <c r="B9319"/>
      <c r="Z9319"/>
    </row>
    <row r="9320" spans="1:33" x14ac:dyDescent="0.25">
      <c r="B9320"/>
      <c r="Z9320"/>
    </row>
    <row r="9321" spans="1:33" x14ac:dyDescent="0.25">
      <c r="B9321"/>
      <c r="Z9321"/>
    </row>
    <row r="9322" spans="1:33" x14ac:dyDescent="0.25">
      <c r="B9322"/>
      <c r="K9322" s="6"/>
      <c r="Z9322"/>
    </row>
    <row r="9323" spans="1:33" x14ac:dyDescent="0.25">
      <c r="B9323"/>
      <c r="Z9323"/>
    </row>
    <row r="9324" spans="1:33" x14ac:dyDescent="0.25">
      <c r="A9324" s="6"/>
      <c r="B9324" s="6"/>
      <c r="C9324" s="6"/>
      <c r="D9324" s="6"/>
      <c r="E9324" s="6"/>
      <c r="F9324" s="6"/>
      <c r="G9324" s="6"/>
      <c r="H9324" s="6"/>
      <c r="I9324" s="6"/>
      <c r="J9324" s="6"/>
      <c r="K9324" s="6"/>
      <c r="L9324" s="6"/>
      <c r="M9324" s="6"/>
      <c r="N9324" s="6"/>
      <c r="O9324" s="6"/>
      <c r="P9324" s="6"/>
      <c r="Q9324" s="6"/>
      <c r="R9324" s="6"/>
      <c r="S9324" s="6"/>
      <c r="T9324" s="6"/>
      <c r="U9324" s="6"/>
      <c r="V9324" s="6"/>
      <c r="W9324" s="6"/>
      <c r="X9324" s="6"/>
      <c r="Y9324" s="6"/>
      <c r="Z9324" s="6"/>
      <c r="AA9324" s="6"/>
      <c r="AB9324" s="6"/>
      <c r="AC9324" s="6"/>
      <c r="AD9324" s="6"/>
      <c r="AE9324" s="6"/>
      <c r="AF9324" s="6"/>
      <c r="AG9324" s="6"/>
    </row>
    <row r="9325" spans="1:33" x14ac:dyDescent="0.25">
      <c r="B9325"/>
      <c r="Z9325"/>
    </row>
    <row r="9326" spans="1:33" x14ac:dyDescent="0.25">
      <c r="B9326"/>
      <c r="Z9326"/>
    </row>
    <row r="9327" spans="1:33" x14ac:dyDescent="0.25">
      <c r="B9327"/>
      <c r="Z9327"/>
    </row>
    <row r="9328" spans="1:33" x14ac:dyDescent="0.25">
      <c r="B9328"/>
      <c r="Z9328"/>
    </row>
    <row r="9329" spans="2:26" x14ac:dyDescent="0.25">
      <c r="B9329"/>
      <c r="Z9329"/>
    </row>
    <row r="9330" spans="2:26" x14ac:dyDescent="0.25">
      <c r="B9330"/>
      <c r="Z9330"/>
    </row>
    <row r="9331" spans="2:26" x14ac:dyDescent="0.25">
      <c r="B9331"/>
      <c r="Z9331"/>
    </row>
    <row r="9332" spans="2:26" x14ac:dyDescent="0.25">
      <c r="B9332"/>
      <c r="Z9332"/>
    </row>
    <row r="9333" spans="2:26" x14ac:dyDescent="0.25">
      <c r="B9333"/>
      <c r="Z9333"/>
    </row>
    <row r="9334" spans="2:26" x14ac:dyDescent="0.25">
      <c r="B9334"/>
      <c r="Z9334"/>
    </row>
    <row r="9335" spans="2:26" x14ac:dyDescent="0.25">
      <c r="B9335"/>
      <c r="Z9335"/>
    </row>
    <row r="9336" spans="2:26" x14ac:dyDescent="0.25">
      <c r="B9336"/>
      <c r="Z9336"/>
    </row>
    <row r="9337" spans="2:26" x14ac:dyDescent="0.25">
      <c r="B9337"/>
      <c r="Z9337"/>
    </row>
    <row r="9338" spans="2:26" x14ac:dyDescent="0.25">
      <c r="B9338"/>
      <c r="Z9338"/>
    </row>
    <row r="9339" spans="2:26" x14ac:dyDescent="0.25">
      <c r="B9339"/>
      <c r="Z9339"/>
    </row>
    <row r="9340" spans="2:26" x14ac:dyDescent="0.25">
      <c r="B9340"/>
      <c r="Z9340"/>
    </row>
    <row r="9341" spans="2:26" x14ac:dyDescent="0.25">
      <c r="B9341"/>
      <c r="Z9341"/>
    </row>
    <row r="9342" spans="2:26" x14ac:dyDescent="0.25">
      <c r="B9342"/>
      <c r="Z9342"/>
    </row>
    <row r="9343" spans="2:26" x14ac:dyDescent="0.25">
      <c r="B9343"/>
      <c r="Z9343"/>
    </row>
    <row r="9344" spans="2:26" x14ac:dyDescent="0.25">
      <c r="B9344"/>
      <c r="Z9344"/>
    </row>
    <row r="9345" spans="2:26" x14ac:dyDescent="0.25">
      <c r="B9345"/>
      <c r="Z9345"/>
    </row>
    <row r="9346" spans="2:26" x14ac:dyDescent="0.25">
      <c r="B9346"/>
      <c r="Z9346"/>
    </row>
    <row r="9347" spans="2:26" x14ac:dyDescent="0.25">
      <c r="B9347"/>
      <c r="Z9347"/>
    </row>
    <row r="9348" spans="2:26" x14ac:dyDescent="0.25">
      <c r="B9348"/>
      <c r="Z9348"/>
    </row>
    <row r="9349" spans="2:26" x14ac:dyDescent="0.25">
      <c r="B9349"/>
      <c r="Z9349"/>
    </row>
    <row r="9350" spans="2:26" x14ac:dyDescent="0.25">
      <c r="B9350"/>
      <c r="Z9350"/>
    </row>
    <row r="9351" spans="2:26" x14ac:dyDescent="0.25">
      <c r="B9351"/>
      <c r="Z9351"/>
    </row>
    <row r="9352" spans="2:26" x14ac:dyDescent="0.25">
      <c r="B9352"/>
      <c r="Z9352"/>
    </row>
    <row r="9353" spans="2:26" x14ac:dyDescent="0.25">
      <c r="B9353"/>
      <c r="Z9353"/>
    </row>
    <row r="9354" spans="2:26" x14ac:dyDescent="0.25">
      <c r="B9354"/>
      <c r="Z9354"/>
    </row>
    <row r="9355" spans="2:26" x14ac:dyDescent="0.25">
      <c r="B9355"/>
      <c r="Z9355"/>
    </row>
    <row r="9356" spans="2:26" x14ac:dyDescent="0.25">
      <c r="B9356"/>
      <c r="Z9356"/>
    </row>
    <row r="9357" spans="2:26" x14ac:dyDescent="0.25">
      <c r="B9357"/>
      <c r="Z9357"/>
    </row>
    <row r="9358" spans="2:26" x14ac:dyDescent="0.25">
      <c r="B9358"/>
      <c r="Z9358"/>
    </row>
    <row r="9359" spans="2:26" x14ac:dyDescent="0.25">
      <c r="B9359"/>
      <c r="Z9359"/>
    </row>
    <row r="9360" spans="2:26" x14ac:dyDescent="0.25">
      <c r="B9360"/>
      <c r="Z9360"/>
    </row>
    <row r="9361" spans="2:26" x14ac:dyDescent="0.25">
      <c r="B9361"/>
      <c r="Z9361"/>
    </row>
    <row r="9362" spans="2:26" x14ac:dyDescent="0.25">
      <c r="B9362"/>
      <c r="Z9362"/>
    </row>
    <row r="9363" spans="2:26" x14ac:dyDescent="0.25">
      <c r="B9363"/>
      <c r="Z9363"/>
    </row>
    <row r="9364" spans="2:26" x14ac:dyDescent="0.25">
      <c r="B9364"/>
      <c r="Z9364"/>
    </row>
    <row r="9365" spans="2:26" x14ac:dyDescent="0.25">
      <c r="B9365"/>
      <c r="Z9365"/>
    </row>
    <row r="9366" spans="2:26" x14ac:dyDescent="0.25">
      <c r="B9366"/>
      <c r="Z9366"/>
    </row>
    <row r="9367" spans="2:26" x14ac:dyDescent="0.25">
      <c r="B9367"/>
      <c r="Z9367"/>
    </row>
    <row r="9368" spans="2:26" x14ac:dyDescent="0.25">
      <c r="B9368"/>
      <c r="Z9368"/>
    </row>
    <row r="9369" spans="2:26" x14ac:dyDescent="0.25">
      <c r="B9369"/>
      <c r="Z9369"/>
    </row>
    <row r="9370" spans="2:26" x14ac:dyDescent="0.25">
      <c r="B9370"/>
      <c r="Z9370"/>
    </row>
    <row r="9371" spans="2:26" x14ac:dyDescent="0.25">
      <c r="B9371"/>
      <c r="Z9371"/>
    </row>
    <row r="9372" spans="2:26" x14ac:dyDescent="0.25">
      <c r="B9372"/>
      <c r="Z9372"/>
    </row>
    <row r="9373" spans="2:26" x14ac:dyDescent="0.25">
      <c r="B9373"/>
      <c r="Z9373"/>
    </row>
    <row r="9374" spans="2:26" x14ac:dyDescent="0.25">
      <c r="B9374"/>
      <c r="Z9374"/>
    </row>
    <row r="9375" spans="2:26" x14ac:dyDescent="0.25">
      <c r="B9375"/>
      <c r="Z9375"/>
    </row>
    <row r="9376" spans="2:26" x14ac:dyDescent="0.25">
      <c r="B9376"/>
      <c r="Z9376"/>
    </row>
    <row r="9377" spans="2:26" x14ac:dyDescent="0.25">
      <c r="B9377"/>
      <c r="Z9377"/>
    </row>
    <row r="9378" spans="2:26" x14ac:dyDescent="0.25">
      <c r="B9378"/>
      <c r="Z9378"/>
    </row>
    <row r="9379" spans="2:26" x14ac:dyDescent="0.25">
      <c r="B9379"/>
      <c r="Z9379"/>
    </row>
    <row r="9380" spans="2:26" x14ac:dyDescent="0.25">
      <c r="B9380"/>
      <c r="Z9380"/>
    </row>
    <row r="9381" spans="2:26" x14ac:dyDescent="0.25">
      <c r="B9381"/>
      <c r="Z9381"/>
    </row>
    <row r="9382" spans="2:26" x14ac:dyDescent="0.25">
      <c r="B9382"/>
      <c r="Z9382"/>
    </row>
    <row r="9383" spans="2:26" x14ac:dyDescent="0.25">
      <c r="B9383"/>
      <c r="Z9383"/>
    </row>
    <row r="9384" spans="2:26" x14ac:dyDescent="0.25">
      <c r="B9384"/>
      <c r="Z9384"/>
    </row>
    <row r="9385" spans="2:26" x14ac:dyDescent="0.25">
      <c r="B9385"/>
      <c r="Z9385"/>
    </row>
    <row r="9386" spans="2:26" x14ac:dyDescent="0.25">
      <c r="B9386"/>
      <c r="Z9386"/>
    </row>
    <row r="9387" spans="2:26" x14ac:dyDescent="0.25">
      <c r="B9387"/>
      <c r="Z9387"/>
    </row>
    <row r="9388" spans="2:26" x14ac:dyDescent="0.25">
      <c r="B9388"/>
      <c r="Z9388"/>
    </row>
    <row r="9389" spans="2:26" x14ac:dyDescent="0.25">
      <c r="B9389"/>
      <c r="Z9389"/>
    </row>
    <row r="9390" spans="2:26" x14ac:dyDescent="0.25">
      <c r="B9390"/>
      <c r="Z9390"/>
    </row>
    <row r="9391" spans="2:26" x14ac:dyDescent="0.25">
      <c r="B9391"/>
      <c r="Z9391"/>
    </row>
    <row r="9392" spans="2:26" x14ac:dyDescent="0.25">
      <c r="B9392"/>
      <c r="Z9392"/>
    </row>
    <row r="9393" spans="2:26" x14ac:dyDescent="0.25">
      <c r="B9393"/>
      <c r="Z9393"/>
    </row>
    <row r="9394" spans="2:26" x14ac:dyDescent="0.25">
      <c r="B9394"/>
      <c r="Z9394"/>
    </row>
    <row r="9395" spans="2:26" x14ac:dyDescent="0.25">
      <c r="B9395"/>
      <c r="Z9395"/>
    </row>
    <row r="9396" spans="2:26" x14ac:dyDescent="0.25">
      <c r="B9396"/>
      <c r="Z9396"/>
    </row>
    <row r="9397" spans="2:26" x14ac:dyDescent="0.25">
      <c r="B9397"/>
      <c r="Z9397"/>
    </row>
    <row r="9398" spans="2:26" x14ac:dyDescent="0.25">
      <c r="B9398"/>
      <c r="Z9398"/>
    </row>
    <row r="9399" spans="2:26" x14ac:dyDescent="0.25">
      <c r="B9399"/>
      <c r="Z9399"/>
    </row>
    <row r="9400" spans="2:26" x14ac:dyDescent="0.25">
      <c r="B9400"/>
      <c r="Z9400"/>
    </row>
    <row r="9401" spans="2:26" x14ac:dyDescent="0.25">
      <c r="B9401"/>
      <c r="Z9401"/>
    </row>
    <row r="9402" spans="2:26" x14ac:dyDescent="0.25">
      <c r="B9402"/>
      <c r="Z9402"/>
    </row>
    <row r="9403" spans="2:26" x14ac:dyDescent="0.25">
      <c r="B9403"/>
      <c r="Z9403"/>
    </row>
    <row r="9404" spans="2:26" x14ac:dyDescent="0.25">
      <c r="B9404"/>
      <c r="Z9404"/>
    </row>
    <row r="9405" spans="2:26" x14ac:dyDescent="0.25">
      <c r="B9405"/>
      <c r="Z9405"/>
    </row>
    <row r="9406" spans="2:26" x14ac:dyDescent="0.25">
      <c r="B9406"/>
      <c r="Z9406"/>
    </row>
    <row r="9407" spans="2:26" x14ac:dyDescent="0.25">
      <c r="B9407"/>
      <c r="Z9407"/>
    </row>
    <row r="9408" spans="2:26" x14ac:dyDescent="0.25">
      <c r="B9408"/>
      <c r="Z9408"/>
    </row>
    <row r="9409" spans="2:26" x14ac:dyDescent="0.25">
      <c r="B9409"/>
      <c r="Z9409"/>
    </row>
    <row r="9410" spans="2:26" x14ac:dyDescent="0.25">
      <c r="B9410"/>
      <c r="Z9410"/>
    </row>
    <row r="9411" spans="2:26" x14ac:dyDescent="0.25">
      <c r="B9411"/>
      <c r="Z9411"/>
    </row>
    <row r="9412" spans="2:26" x14ac:dyDescent="0.25">
      <c r="B9412"/>
      <c r="Z9412"/>
    </row>
    <row r="9413" spans="2:26" x14ac:dyDescent="0.25">
      <c r="B9413"/>
      <c r="Z9413"/>
    </row>
    <row r="9414" spans="2:26" x14ac:dyDescent="0.25">
      <c r="B9414"/>
      <c r="Z9414"/>
    </row>
    <row r="9415" spans="2:26" x14ac:dyDescent="0.25">
      <c r="B9415"/>
      <c r="Z9415"/>
    </row>
    <row r="9416" spans="2:26" x14ac:dyDescent="0.25">
      <c r="B9416"/>
      <c r="Z9416"/>
    </row>
    <row r="9417" spans="2:26" x14ac:dyDescent="0.25">
      <c r="B9417"/>
      <c r="Z9417"/>
    </row>
    <row r="9418" spans="2:26" x14ac:dyDescent="0.25">
      <c r="B9418"/>
      <c r="Z9418"/>
    </row>
    <row r="9419" spans="2:26" x14ac:dyDescent="0.25">
      <c r="B9419"/>
      <c r="Z9419"/>
    </row>
    <row r="9420" spans="2:26" x14ac:dyDescent="0.25">
      <c r="B9420"/>
      <c r="Z9420"/>
    </row>
    <row r="9421" spans="2:26" x14ac:dyDescent="0.25">
      <c r="B9421"/>
      <c r="Z9421"/>
    </row>
    <row r="9422" spans="2:26" x14ac:dyDescent="0.25">
      <c r="B9422"/>
      <c r="Z9422"/>
    </row>
    <row r="9423" spans="2:26" x14ac:dyDescent="0.25">
      <c r="B9423"/>
      <c r="Z9423"/>
    </row>
    <row r="9424" spans="2:26" x14ac:dyDescent="0.25">
      <c r="B9424"/>
      <c r="Z9424"/>
    </row>
    <row r="9425" spans="1:33" x14ac:dyDescent="0.25">
      <c r="B9425"/>
      <c r="Z9425"/>
    </row>
    <row r="9426" spans="1:33" x14ac:dyDescent="0.25">
      <c r="B9426"/>
      <c r="Z9426"/>
    </row>
    <row r="9427" spans="1:33" x14ac:dyDescent="0.25">
      <c r="B9427"/>
      <c r="K9427" s="6"/>
      <c r="Z9427"/>
    </row>
    <row r="9428" spans="1:33" x14ac:dyDescent="0.25">
      <c r="B9428"/>
      <c r="Z9428"/>
    </row>
    <row r="9429" spans="1:33" x14ac:dyDescent="0.25">
      <c r="A9429" s="6"/>
      <c r="B9429" s="6"/>
      <c r="C9429" s="6"/>
      <c r="D9429" s="6"/>
      <c r="E9429" s="6"/>
      <c r="F9429" s="6"/>
      <c r="G9429" s="6"/>
      <c r="H9429" s="6"/>
      <c r="I9429" s="6"/>
      <c r="J9429" s="6"/>
      <c r="K9429" s="6"/>
      <c r="L9429" s="6"/>
      <c r="M9429" s="6"/>
      <c r="N9429" s="6"/>
      <c r="O9429" s="6"/>
      <c r="P9429" s="6"/>
      <c r="Q9429" s="6"/>
      <c r="R9429" s="6"/>
      <c r="S9429" s="6"/>
      <c r="T9429" s="6"/>
      <c r="U9429" s="6"/>
      <c r="V9429" s="6"/>
      <c r="W9429" s="6"/>
      <c r="X9429" s="6"/>
      <c r="Y9429" s="6"/>
      <c r="Z9429" s="6"/>
      <c r="AA9429" s="6"/>
      <c r="AB9429" s="6"/>
      <c r="AC9429" s="6"/>
      <c r="AD9429" s="6"/>
      <c r="AE9429" s="6"/>
      <c r="AF9429" s="6"/>
      <c r="AG9429" s="6"/>
    </row>
    <row r="9430" spans="1:33" x14ac:dyDescent="0.25">
      <c r="B9430"/>
      <c r="Z9430"/>
    </row>
    <row r="9431" spans="1:33" x14ac:dyDescent="0.25">
      <c r="B9431"/>
      <c r="Z9431"/>
    </row>
    <row r="9432" spans="1:33" x14ac:dyDescent="0.25">
      <c r="B9432"/>
      <c r="Z9432"/>
    </row>
    <row r="9433" spans="1:33" x14ac:dyDescent="0.25">
      <c r="B9433"/>
      <c r="Z9433"/>
    </row>
    <row r="9434" spans="1:33" x14ac:dyDescent="0.25">
      <c r="B9434"/>
      <c r="Z9434"/>
    </row>
    <row r="9435" spans="1:33" x14ac:dyDescent="0.25">
      <c r="B9435"/>
      <c r="Z9435"/>
    </row>
    <row r="9436" spans="1:33" x14ac:dyDescent="0.25">
      <c r="B9436"/>
      <c r="Z9436"/>
    </row>
    <row r="9437" spans="1:33" x14ac:dyDescent="0.25">
      <c r="B9437"/>
      <c r="Z9437"/>
    </row>
    <row r="9438" spans="1:33" x14ac:dyDescent="0.25">
      <c r="B9438"/>
      <c r="Z9438"/>
    </row>
    <row r="9439" spans="1:33" x14ac:dyDescent="0.25">
      <c r="B9439"/>
      <c r="Z9439"/>
    </row>
    <row r="9440" spans="1:33" x14ac:dyDescent="0.25">
      <c r="B9440"/>
      <c r="Z9440"/>
    </row>
    <row r="9441" spans="2:26" x14ac:dyDescent="0.25">
      <c r="B9441"/>
      <c r="Z9441"/>
    </row>
    <row r="9442" spans="2:26" x14ac:dyDescent="0.25">
      <c r="B9442"/>
      <c r="Z9442"/>
    </row>
    <row r="9443" spans="2:26" x14ac:dyDescent="0.25">
      <c r="B9443"/>
      <c r="Z9443"/>
    </row>
    <row r="9444" spans="2:26" x14ac:dyDescent="0.25">
      <c r="B9444"/>
      <c r="Z9444"/>
    </row>
    <row r="9445" spans="2:26" x14ac:dyDescent="0.25">
      <c r="B9445"/>
      <c r="Z9445"/>
    </row>
    <row r="9446" spans="2:26" x14ac:dyDescent="0.25">
      <c r="B9446"/>
      <c r="Z9446"/>
    </row>
    <row r="9447" spans="2:26" x14ac:dyDescent="0.25">
      <c r="B9447"/>
      <c r="Z9447"/>
    </row>
    <row r="9448" spans="2:26" x14ac:dyDescent="0.25">
      <c r="B9448"/>
      <c r="Z9448"/>
    </row>
    <row r="9449" spans="2:26" x14ac:dyDescent="0.25">
      <c r="B9449"/>
      <c r="Z9449"/>
    </row>
    <row r="9450" spans="2:26" x14ac:dyDescent="0.25">
      <c r="B9450"/>
      <c r="Z9450"/>
    </row>
    <row r="9451" spans="2:26" x14ac:dyDescent="0.25">
      <c r="B9451"/>
      <c r="Z9451"/>
    </row>
    <row r="9452" spans="2:26" x14ac:dyDescent="0.25">
      <c r="B9452"/>
      <c r="Z9452"/>
    </row>
    <row r="9453" spans="2:26" x14ac:dyDescent="0.25">
      <c r="B9453"/>
      <c r="Z9453"/>
    </row>
    <row r="9454" spans="2:26" x14ac:dyDescent="0.25">
      <c r="B9454"/>
      <c r="Z9454"/>
    </row>
    <row r="9455" spans="2:26" x14ac:dyDescent="0.25">
      <c r="B9455"/>
      <c r="Z9455"/>
    </row>
    <row r="9456" spans="2:26" x14ac:dyDescent="0.25">
      <c r="B9456"/>
      <c r="Z9456"/>
    </row>
    <row r="9457" spans="2:26" x14ac:dyDescent="0.25">
      <c r="B9457"/>
      <c r="Z9457"/>
    </row>
    <row r="9458" spans="2:26" x14ac:dyDescent="0.25">
      <c r="B9458"/>
      <c r="Z9458"/>
    </row>
    <row r="9459" spans="2:26" x14ac:dyDescent="0.25">
      <c r="B9459"/>
      <c r="Z9459"/>
    </row>
    <row r="9460" spans="2:26" x14ac:dyDescent="0.25">
      <c r="B9460"/>
      <c r="Z9460"/>
    </row>
    <row r="9461" spans="2:26" x14ac:dyDescent="0.25">
      <c r="B9461"/>
      <c r="Z9461"/>
    </row>
    <row r="9462" spans="2:26" x14ac:dyDescent="0.25">
      <c r="B9462"/>
      <c r="Z9462"/>
    </row>
    <row r="9463" spans="2:26" x14ac:dyDescent="0.25">
      <c r="B9463"/>
      <c r="Z9463"/>
    </row>
    <row r="9464" spans="2:26" x14ac:dyDescent="0.25">
      <c r="B9464"/>
      <c r="Z9464"/>
    </row>
    <row r="9465" spans="2:26" x14ac:dyDescent="0.25">
      <c r="B9465"/>
      <c r="Z9465"/>
    </row>
    <row r="9466" spans="2:26" x14ac:dyDescent="0.25">
      <c r="B9466"/>
      <c r="Z9466"/>
    </row>
    <row r="9467" spans="2:26" x14ac:dyDescent="0.25">
      <c r="B9467"/>
      <c r="Z9467"/>
    </row>
    <row r="9468" spans="2:26" x14ac:dyDescent="0.25">
      <c r="B9468"/>
      <c r="Z9468"/>
    </row>
    <row r="9469" spans="2:26" x14ac:dyDescent="0.25">
      <c r="B9469"/>
      <c r="Z9469"/>
    </row>
    <row r="9470" spans="2:26" x14ac:dyDescent="0.25">
      <c r="B9470"/>
      <c r="Z9470"/>
    </row>
    <row r="9471" spans="2:26" x14ac:dyDescent="0.25">
      <c r="B9471"/>
      <c r="Z9471"/>
    </row>
    <row r="9472" spans="2:26" x14ac:dyDescent="0.25">
      <c r="B9472"/>
      <c r="Z9472"/>
    </row>
    <row r="9473" spans="2:26" x14ac:dyDescent="0.25">
      <c r="B9473"/>
      <c r="Z9473"/>
    </row>
    <row r="9474" spans="2:26" x14ac:dyDescent="0.25">
      <c r="B9474"/>
      <c r="Z9474"/>
    </row>
    <row r="9475" spans="2:26" x14ac:dyDescent="0.25">
      <c r="B9475"/>
      <c r="Z9475"/>
    </row>
    <row r="9476" spans="2:26" x14ac:dyDescent="0.25">
      <c r="B9476"/>
      <c r="Z9476"/>
    </row>
    <row r="9477" spans="2:26" x14ac:dyDescent="0.25">
      <c r="B9477"/>
      <c r="Z9477"/>
    </row>
    <row r="9478" spans="2:26" x14ac:dyDescent="0.25">
      <c r="B9478"/>
      <c r="Z9478"/>
    </row>
    <row r="9479" spans="2:26" x14ac:dyDescent="0.25">
      <c r="B9479"/>
      <c r="Z9479"/>
    </row>
    <row r="9480" spans="2:26" x14ac:dyDescent="0.25">
      <c r="B9480"/>
      <c r="Z9480"/>
    </row>
    <row r="9481" spans="2:26" x14ac:dyDescent="0.25">
      <c r="B9481"/>
      <c r="Z9481"/>
    </row>
    <row r="9482" spans="2:26" x14ac:dyDescent="0.25">
      <c r="B9482"/>
      <c r="Z9482"/>
    </row>
    <row r="9483" spans="2:26" x14ac:dyDescent="0.25">
      <c r="B9483"/>
      <c r="Z9483"/>
    </row>
    <row r="9484" spans="2:26" x14ac:dyDescent="0.25">
      <c r="B9484"/>
      <c r="Z9484"/>
    </row>
    <row r="9485" spans="2:26" x14ac:dyDescent="0.25">
      <c r="B9485"/>
      <c r="Z9485"/>
    </row>
    <row r="9486" spans="2:26" x14ac:dyDescent="0.25">
      <c r="B9486"/>
      <c r="Z9486"/>
    </row>
    <row r="9487" spans="2:26" x14ac:dyDescent="0.25">
      <c r="B9487"/>
      <c r="Z9487"/>
    </row>
    <row r="9488" spans="2:26" x14ac:dyDescent="0.25">
      <c r="B9488"/>
      <c r="Z9488"/>
    </row>
    <row r="9489" spans="2:26" x14ac:dyDescent="0.25">
      <c r="B9489"/>
      <c r="Z9489"/>
    </row>
    <row r="9490" spans="2:26" x14ac:dyDescent="0.25">
      <c r="B9490"/>
      <c r="Z9490"/>
    </row>
    <row r="9491" spans="2:26" x14ac:dyDescent="0.25">
      <c r="B9491"/>
      <c r="Z9491"/>
    </row>
    <row r="9492" spans="2:26" x14ac:dyDescent="0.25">
      <c r="B9492"/>
      <c r="Z9492"/>
    </row>
    <row r="9493" spans="2:26" x14ac:dyDescent="0.25">
      <c r="B9493"/>
      <c r="Z9493"/>
    </row>
    <row r="9494" spans="2:26" x14ac:dyDescent="0.25">
      <c r="B9494"/>
      <c r="Z9494"/>
    </row>
    <row r="9495" spans="2:26" x14ac:dyDescent="0.25">
      <c r="B9495"/>
      <c r="Z9495"/>
    </row>
    <row r="9496" spans="2:26" x14ac:dyDescent="0.25">
      <c r="B9496"/>
      <c r="Z9496"/>
    </row>
    <row r="9497" spans="2:26" x14ac:dyDescent="0.25">
      <c r="B9497"/>
      <c r="Z9497"/>
    </row>
    <row r="9498" spans="2:26" x14ac:dyDescent="0.25">
      <c r="B9498"/>
      <c r="Z9498"/>
    </row>
    <row r="9499" spans="2:26" x14ac:dyDescent="0.25">
      <c r="B9499"/>
      <c r="Z9499"/>
    </row>
    <row r="9500" spans="2:26" x14ac:dyDescent="0.25">
      <c r="B9500"/>
      <c r="Z9500"/>
    </row>
    <row r="9501" spans="2:26" x14ac:dyDescent="0.25">
      <c r="B9501"/>
      <c r="Z9501"/>
    </row>
    <row r="9502" spans="2:26" x14ac:dyDescent="0.25">
      <c r="B9502"/>
      <c r="Z9502"/>
    </row>
    <row r="9503" spans="2:26" x14ac:dyDescent="0.25">
      <c r="B9503"/>
      <c r="Z9503"/>
    </row>
    <row r="9504" spans="2:26" x14ac:dyDescent="0.25">
      <c r="B9504"/>
      <c r="Z9504"/>
    </row>
    <row r="9505" spans="2:26" x14ac:dyDescent="0.25">
      <c r="B9505"/>
      <c r="Z9505"/>
    </row>
    <row r="9506" spans="2:26" x14ac:dyDescent="0.25">
      <c r="B9506"/>
      <c r="Z9506"/>
    </row>
    <row r="9507" spans="2:26" x14ac:dyDescent="0.25">
      <c r="B9507"/>
      <c r="Z9507"/>
    </row>
    <row r="9508" spans="2:26" x14ac:dyDescent="0.25">
      <c r="B9508"/>
      <c r="Z9508"/>
    </row>
    <row r="9509" spans="2:26" x14ac:dyDescent="0.25">
      <c r="B9509"/>
      <c r="Z9509"/>
    </row>
    <row r="9510" spans="2:26" x14ac:dyDescent="0.25">
      <c r="B9510"/>
      <c r="Z9510"/>
    </row>
    <row r="9511" spans="2:26" x14ac:dyDescent="0.25">
      <c r="B9511"/>
      <c r="Z9511"/>
    </row>
    <row r="9512" spans="2:26" x14ac:dyDescent="0.25">
      <c r="B9512"/>
      <c r="Z9512"/>
    </row>
    <row r="9513" spans="2:26" x14ac:dyDescent="0.25">
      <c r="B9513"/>
      <c r="Z9513"/>
    </row>
    <row r="9514" spans="2:26" x14ac:dyDescent="0.25">
      <c r="B9514"/>
      <c r="Z9514"/>
    </row>
    <row r="9515" spans="2:26" x14ac:dyDescent="0.25">
      <c r="B9515"/>
      <c r="Z9515"/>
    </row>
    <row r="9516" spans="2:26" x14ac:dyDescent="0.25">
      <c r="B9516"/>
      <c r="Z9516"/>
    </row>
    <row r="9517" spans="2:26" x14ac:dyDescent="0.25">
      <c r="B9517"/>
      <c r="Z9517"/>
    </row>
    <row r="9518" spans="2:26" x14ac:dyDescent="0.25">
      <c r="B9518"/>
      <c r="Z9518"/>
    </row>
    <row r="9519" spans="2:26" x14ac:dyDescent="0.25">
      <c r="B9519"/>
      <c r="Z9519"/>
    </row>
    <row r="9520" spans="2:26" x14ac:dyDescent="0.25">
      <c r="B9520"/>
      <c r="Z9520"/>
    </row>
    <row r="9521" spans="1:33" x14ac:dyDescent="0.25">
      <c r="B9521"/>
      <c r="K9521" s="6"/>
      <c r="Z9521"/>
    </row>
    <row r="9522" spans="1:33" x14ac:dyDescent="0.25">
      <c r="B9522"/>
      <c r="Z9522"/>
    </row>
    <row r="9523" spans="1:33" x14ac:dyDescent="0.25">
      <c r="B9523"/>
      <c r="Z9523"/>
    </row>
    <row r="9524" spans="1:33" x14ac:dyDescent="0.25">
      <c r="B9524"/>
      <c r="Z9524"/>
    </row>
    <row r="9525" spans="1:33" x14ac:dyDescent="0.25">
      <c r="B9525"/>
      <c r="Z9525"/>
    </row>
    <row r="9526" spans="1:33" x14ac:dyDescent="0.25">
      <c r="B9526"/>
      <c r="Z9526"/>
    </row>
    <row r="9527" spans="1:33" x14ac:dyDescent="0.25">
      <c r="B9527"/>
      <c r="Z9527"/>
    </row>
    <row r="9528" spans="1:33" x14ac:dyDescent="0.25">
      <c r="B9528"/>
      <c r="Z9528"/>
    </row>
    <row r="9529" spans="1:33" x14ac:dyDescent="0.25">
      <c r="B9529"/>
      <c r="Z9529"/>
    </row>
    <row r="9530" spans="1:33" x14ac:dyDescent="0.25">
      <c r="B9530"/>
      <c r="Z9530"/>
    </row>
    <row r="9531" spans="1:33" x14ac:dyDescent="0.25">
      <c r="B9531"/>
      <c r="Z9531"/>
    </row>
    <row r="9532" spans="1:33" x14ac:dyDescent="0.25">
      <c r="B9532"/>
      <c r="Z9532"/>
    </row>
    <row r="9533" spans="1:33" x14ac:dyDescent="0.25">
      <c r="B9533"/>
      <c r="Z9533"/>
    </row>
    <row r="9534" spans="1:33" x14ac:dyDescent="0.25">
      <c r="B9534"/>
      <c r="Z9534"/>
    </row>
    <row r="9535" spans="1:33" x14ac:dyDescent="0.25">
      <c r="A9535" s="6"/>
      <c r="B9535" s="6"/>
      <c r="C9535" s="6"/>
      <c r="D9535" s="6"/>
      <c r="E9535" s="6"/>
      <c r="F9535" s="6"/>
      <c r="G9535" s="6"/>
      <c r="H9535" s="6"/>
      <c r="I9535" s="6"/>
      <c r="J9535" s="6"/>
      <c r="K9535" s="6"/>
      <c r="L9535" s="6"/>
      <c r="M9535" s="6"/>
      <c r="N9535" s="6"/>
      <c r="O9535" s="6"/>
      <c r="P9535" s="6"/>
      <c r="Q9535" s="6"/>
      <c r="R9535" s="6"/>
      <c r="S9535" s="6"/>
      <c r="T9535" s="6"/>
      <c r="U9535" s="6"/>
      <c r="V9535" s="6"/>
      <c r="W9535" s="6"/>
      <c r="X9535" s="6"/>
      <c r="Y9535" s="6"/>
      <c r="Z9535" s="6"/>
      <c r="AA9535" s="6"/>
      <c r="AB9535" s="6"/>
      <c r="AC9535" s="6"/>
      <c r="AD9535" s="6"/>
      <c r="AE9535" s="6"/>
      <c r="AF9535" s="6"/>
      <c r="AG9535" s="6"/>
    </row>
    <row r="9536" spans="1:33" x14ac:dyDescent="0.25">
      <c r="B9536"/>
      <c r="Z9536"/>
    </row>
    <row r="9537" spans="2:26" x14ac:dyDescent="0.25">
      <c r="B9537"/>
      <c r="Z9537"/>
    </row>
    <row r="9538" spans="2:26" x14ac:dyDescent="0.25">
      <c r="B9538"/>
      <c r="Z9538"/>
    </row>
    <row r="9539" spans="2:26" x14ac:dyDescent="0.25">
      <c r="B9539"/>
      <c r="Z9539"/>
    </row>
    <row r="9540" spans="2:26" x14ac:dyDescent="0.25">
      <c r="B9540"/>
      <c r="Z9540"/>
    </row>
    <row r="9541" spans="2:26" x14ac:dyDescent="0.25">
      <c r="B9541"/>
      <c r="Z9541"/>
    </row>
    <row r="9542" spans="2:26" x14ac:dyDescent="0.25">
      <c r="B9542"/>
      <c r="Z9542"/>
    </row>
    <row r="9543" spans="2:26" x14ac:dyDescent="0.25">
      <c r="B9543"/>
      <c r="Z9543"/>
    </row>
    <row r="9544" spans="2:26" x14ac:dyDescent="0.25">
      <c r="B9544"/>
      <c r="Z9544"/>
    </row>
    <row r="9545" spans="2:26" x14ac:dyDescent="0.25">
      <c r="B9545"/>
      <c r="Z9545"/>
    </row>
    <row r="9546" spans="2:26" x14ac:dyDescent="0.25">
      <c r="B9546"/>
      <c r="Z9546"/>
    </row>
    <row r="9547" spans="2:26" x14ac:dyDescent="0.25">
      <c r="B9547"/>
      <c r="Z9547"/>
    </row>
    <row r="9548" spans="2:26" x14ac:dyDescent="0.25">
      <c r="B9548"/>
      <c r="Z9548"/>
    </row>
    <row r="9549" spans="2:26" x14ac:dyDescent="0.25">
      <c r="B9549"/>
      <c r="Z9549"/>
    </row>
    <row r="9550" spans="2:26" x14ac:dyDescent="0.25">
      <c r="B9550"/>
      <c r="Z9550"/>
    </row>
    <row r="9551" spans="2:26" x14ac:dyDescent="0.25">
      <c r="B9551"/>
      <c r="Z9551"/>
    </row>
    <row r="9552" spans="2:26" x14ac:dyDescent="0.25">
      <c r="B9552"/>
      <c r="Z9552"/>
    </row>
    <row r="9553" spans="2:26" x14ac:dyDescent="0.25">
      <c r="B9553"/>
      <c r="Z9553"/>
    </row>
    <row r="9554" spans="2:26" x14ac:dyDescent="0.25">
      <c r="B9554"/>
      <c r="Z9554"/>
    </row>
    <row r="9555" spans="2:26" x14ac:dyDescent="0.25">
      <c r="B9555"/>
      <c r="Z9555"/>
    </row>
    <row r="9556" spans="2:26" x14ac:dyDescent="0.25">
      <c r="B9556"/>
      <c r="Z9556"/>
    </row>
    <row r="9557" spans="2:26" x14ac:dyDescent="0.25">
      <c r="B9557"/>
      <c r="Z9557"/>
    </row>
    <row r="9558" spans="2:26" x14ac:dyDescent="0.25">
      <c r="B9558"/>
      <c r="Z9558"/>
    </row>
    <row r="9559" spans="2:26" x14ac:dyDescent="0.25">
      <c r="B9559"/>
      <c r="Z9559"/>
    </row>
    <row r="9560" spans="2:26" x14ac:dyDescent="0.25">
      <c r="B9560"/>
      <c r="Z9560"/>
    </row>
    <row r="9561" spans="2:26" x14ac:dyDescent="0.25">
      <c r="B9561"/>
      <c r="Z9561"/>
    </row>
    <row r="9562" spans="2:26" x14ac:dyDescent="0.25">
      <c r="B9562"/>
      <c r="Z9562"/>
    </row>
    <row r="9563" spans="2:26" x14ac:dyDescent="0.25">
      <c r="B9563"/>
      <c r="Z9563"/>
    </row>
    <row r="9564" spans="2:26" x14ac:dyDescent="0.25">
      <c r="B9564"/>
      <c r="Z9564"/>
    </row>
    <row r="9565" spans="2:26" x14ac:dyDescent="0.25">
      <c r="B9565"/>
      <c r="Z9565"/>
    </row>
    <row r="9566" spans="2:26" x14ac:dyDescent="0.25">
      <c r="B9566"/>
      <c r="Z9566"/>
    </row>
    <row r="9567" spans="2:26" x14ac:dyDescent="0.25">
      <c r="B9567"/>
      <c r="Z9567"/>
    </row>
    <row r="9568" spans="2:26" x14ac:dyDescent="0.25">
      <c r="B9568"/>
      <c r="Z9568"/>
    </row>
    <row r="9569" spans="2:26" x14ac:dyDescent="0.25">
      <c r="B9569"/>
      <c r="Z9569"/>
    </row>
    <row r="9570" spans="2:26" x14ac:dyDescent="0.25">
      <c r="B9570"/>
      <c r="Z9570"/>
    </row>
    <row r="9571" spans="2:26" x14ac:dyDescent="0.25">
      <c r="B9571"/>
      <c r="Z9571"/>
    </row>
    <row r="9572" spans="2:26" x14ac:dyDescent="0.25">
      <c r="B9572"/>
      <c r="Z9572"/>
    </row>
    <row r="9573" spans="2:26" x14ac:dyDescent="0.25">
      <c r="B9573"/>
      <c r="Z9573"/>
    </row>
    <row r="9574" spans="2:26" x14ac:dyDescent="0.25">
      <c r="B9574"/>
      <c r="Z9574"/>
    </row>
    <row r="9575" spans="2:26" x14ac:dyDescent="0.25">
      <c r="B9575"/>
      <c r="Z9575"/>
    </row>
    <row r="9576" spans="2:26" x14ac:dyDescent="0.25">
      <c r="B9576"/>
      <c r="Z9576"/>
    </row>
    <row r="9577" spans="2:26" x14ac:dyDescent="0.25">
      <c r="B9577"/>
      <c r="Z9577"/>
    </row>
    <row r="9578" spans="2:26" x14ac:dyDescent="0.25">
      <c r="B9578"/>
      <c r="Z9578"/>
    </row>
    <row r="9579" spans="2:26" x14ac:dyDescent="0.25">
      <c r="B9579"/>
      <c r="Z9579"/>
    </row>
    <row r="9580" spans="2:26" x14ac:dyDescent="0.25">
      <c r="B9580"/>
      <c r="Z9580"/>
    </row>
    <row r="9581" spans="2:26" x14ac:dyDescent="0.25">
      <c r="B9581"/>
      <c r="Z9581"/>
    </row>
    <row r="9582" spans="2:26" x14ac:dyDescent="0.25">
      <c r="B9582"/>
      <c r="Z9582"/>
    </row>
    <row r="9583" spans="2:26" x14ac:dyDescent="0.25">
      <c r="B9583"/>
      <c r="Z9583"/>
    </row>
    <row r="9584" spans="2:26" x14ac:dyDescent="0.25">
      <c r="B9584"/>
      <c r="Z9584"/>
    </row>
    <row r="9585" spans="2:26" x14ac:dyDescent="0.25">
      <c r="B9585"/>
      <c r="Z9585"/>
    </row>
    <row r="9586" spans="2:26" x14ac:dyDescent="0.25">
      <c r="B9586"/>
      <c r="Z9586"/>
    </row>
    <row r="9587" spans="2:26" x14ac:dyDescent="0.25">
      <c r="B9587"/>
      <c r="Z9587"/>
    </row>
    <row r="9588" spans="2:26" x14ac:dyDescent="0.25">
      <c r="B9588"/>
      <c r="Z9588"/>
    </row>
    <row r="9589" spans="2:26" x14ac:dyDescent="0.25">
      <c r="B9589"/>
      <c r="Z9589"/>
    </row>
    <row r="9590" spans="2:26" x14ac:dyDescent="0.25">
      <c r="B9590"/>
      <c r="Z9590"/>
    </row>
    <row r="9591" spans="2:26" x14ac:dyDescent="0.25">
      <c r="B9591"/>
      <c r="Z9591"/>
    </row>
    <row r="9592" spans="2:26" x14ac:dyDescent="0.25">
      <c r="B9592"/>
      <c r="Z9592"/>
    </row>
    <row r="9593" spans="2:26" x14ac:dyDescent="0.25">
      <c r="B9593"/>
      <c r="Z9593"/>
    </row>
    <row r="9594" spans="2:26" x14ac:dyDescent="0.25">
      <c r="B9594"/>
      <c r="Z9594"/>
    </row>
    <row r="9595" spans="2:26" x14ac:dyDescent="0.25">
      <c r="B9595"/>
      <c r="Z9595"/>
    </row>
    <row r="9596" spans="2:26" x14ac:dyDescent="0.25">
      <c r="B9596"/>
      <c r="Z9596"/>
    </row>
    <row r="9597" spans="2:26" x14ac:dyDescent="0.25">
      <c r="B9597"/>
      <c r="Z9597"/>
    </row>
    <row r="9598" spans="2:26" x14ac:dyDescent="0.25">
      <c r="B9598"/>
      <c r="Z9598"/>
    </row>
    <row r="9599" spans="2:26" x14ac:dyDescent="0.25">
      <c r="B9599"/>
      <c r="Z9599"/>
    </row>
    <row r="9600" spans="2:26" x14ac:dyDescent="0.25">
      <c r="B9600"/>
      <c r="Z9600"/>
    </row>
    <row r="9601" spans="2:26" x14ac:dyDescent="0.25">
      <c r="B9601"/>
      <c r="Z9601"/>
    </row>
    <row r="9602" spans="2:26" x14ac:dyDescent="0.25">
      <c r="B9602"/>
      <c r="Z9602"/>
    </row>
    <row r="9603" spans="2:26" x14ac:dyDescent="0.25">
      <c r="B9603"/>
      <c r="Z9603"/>
    </row>
    <row r="9604" spans="2:26" x14ac:dyDescent="0.25">
      <c r="B9604"/>
      <c r="Z9604"/>
    </row>
    <row r="9605" spans="2:26" x14ac:dyDescent="0.25">
      <c r="B9605"/>
      <c r="Z9605"/>
    </row>
    <row r="9606" spans="2:26" x14ac:dyDescent="0.25">
      <c r="B9606"/>
      <c r="Z9606"/>
    </row>
    <row r="9607" spans="2:26" x14ac:dyDescent="0.25">
      <c r="B9607"/>
      <c r="Z9607"/>
    </row>
    <row r="9608" spans="2:26" x14ac:dyDescent="0.25">
      <c r="B9608"/>
      <c r="Z9608"/>
    </row>
    <row r="9609" spans="2:26" x14ac:dyDescent="0.25">
      <c r="B9609"/>
      <c r="Z9609"/>
    </row>
    <row r="9610" spans="2:26" x14ac:dyDescent="0.25">
      <c r="B9610"/>
      <c r="Z9610"/>
    </row>
    <row r="9611" spans="2:26" x14ac:dyDescent="0.25">
      <c r="B9611"/>
      <c r="Z9611"/>
    </row>
    <row r="9612" spans="2:26" x14ac:dyDescent="0.25">
      <c r="B9612"/>
      <c r="Z9612"/>
    </row>
    <row r="9613" spans="2:26" x14ac:dyDescent="0.25">
      <c r="B9613"/>
      <c r="Z9613"/>
    </row>
    <row r="9614" spans="2:26" x14ac:dyDescent="0.25">
      <c r="B9614"/>
      <c r="Z9614"/>
    </row>
    <row r="9615" spans="2:26" x14ac:dyDescent="0.25">
      <c r="B9615"/>
      <c r="Z9615"/>
    </row>
    <row r="9616" spans="2:26" x14ac:dyDescent="0.25">
      <c r="B9616"/>
      <c r="Z9616"/>
    </row>
    <row r="9617" spans="2:26" x14ac:dyDescent="0.25">
      <c r="B9617"/>
      <c r="Z9617"/>
    </row>
    <row r="9618" spans="2:26" x14ac:dyDescent="0.25">
      <c r="B9618"/>
      <c r="Z9618"/>
    </row>
    <row r="9619" spans="2:26" x14ac:dyDescent="0.25">
      <c r="B9619"/>
      <c r="Z9619"/>
    </row>
    <row r="9620" spans="2:26" x14ac:dyDescent="0.25">
      <c r="B9620"/>
      <c r="Z9620"/>
    </row>
    <row r="9621" spans="2:26" x14ac:dyDescent="0.25">
      <c r="B9621"/>
      <c r="Z9621"/>
    </row>
    <row r="9622" spans="2:26" x14ac:dyDescent="0.25">
      <c r="B9622"/>
      <c r="Z9622"/>
    </row>
    <row r="9623" spans="2:26" x14ac:dyDescent="0.25">
      <c r="B9623"/>
      <c r="Z9623"/>
    </row>
    <row r="9624" spans="2:26" x14ac:dyDescent="0.25">
      <c r="B9624"/>
      <c r="Z9624"/>
    </row>
    <row r="9625" spans="2:26" x14ac:dyDescent="0.25">
      <c r="B9625"/>
      <c r="Z9625"/>
    </row>
    <row r="9626" spans="2:26" x14ac:dyDescent="0.25">
      <c r="B9626"/>
      <c r="Z9626"/>
    </row>
    <row r="9627" spans="2:26" x14ac:dyDescent="0.25">
      <c r="B9627"/>
      <c r="Z9627"/>
    </row>
    <row r="9628" spans="2:26" x14ac:dyDescent="0.25">
      <c r="B9628"/>
      <c r="Z9628"/>
    </row>
    <row r="9629" spans="2:26" x14ac:dyDescent="0.25">
      <c r="B9629"/>
      <c r="Z9629"/>
    </row>
    <row r="9630" spans="2:26" x14ac:dyDescent="0.25">
      <c r="B9630"/>
      <c r="Z9630"/>
    </row>
    <row r="9631" spans="2:26" x14ac:dyDescent="0.25">
      <c r="B9631"/>
      <c r="Z9631"/>
    </row>
    <row r="9632" spans="2:26" x14ac:dyDescent="0.25">
      <c r="B9632"/>
      <c r="Z9632"/>
    </row>
    <row r="9633" spans="1:33" x14ac:dyDescent="0.25">
      <c r="B9633"/>
      <c r="Z9633"/>
    </row>
    <row r="9634" spans="1:33" x14ac:dyDescent="0.25">
      <c r="B9634"/>
      <c r="Z9634"/>
    </row>
    <row r="9635" spans="1:33" x14ac:dyDescent="0.25">
      <c r="B9635"/>
      <c r="K9635" s="6"/>
      <c r="Z9635"/>
    </row>
    <row r="9636" spans="1:33" x14ac:dyDescent="0.25">
      <c r="B9636"/>
      <c r="Z9636"/>
    </row>
    <row r="9637" spans="1:33" x14ac:dyDescent="0.25">
      <c r="B9637"/>
      <c r="Z9637"/>
    </row>
    <row r="9638" spans="1:33" x14ac:dyDescent="0.25">
      <c r="B9638"/>
      <c r="Z9638"/>
    </row>
    <row r="9639" spans="1:33" x14ac:dyDescent="0.25">
      <c r="A9639" s="6"/>
      <c r="B9639" s="6"/>
      <c r="C9639" s="6"/>
      <c r="D9639" s="6"/>
      <c r="E9639" s="6"/>
      <c r="F9639" s="6"/>
      <c r="G9639" s="6"/>
      <c r="H9639" s="6"/>
      <c r="I9639" s="6"/>
      <c r="J9639" s="6"/>
      <c r="K9639" s="6"/>
      <c r="L9639" s="6"/>
      <c r="M9639" s="6"/>
      <c r="N9639" s="6"/>
      <c r="O9639" s="6"/>
      <c r="P9639" s="6"/>
      <c r="Q9639" s="6"/>
      <c r="R9639" s="6"/>
      <c r="S9639" s="6"/>
      <c r="T9639" s="6"/>
      <c r="U9639" s="6"/>
      <c r="V9639" s="6"/>
      <c r="W9639" s="6"/>
      <c r="X9639" s="6"/>
      <c r="Y9639" s="6"/>
      <c r="Z9639" s="6"/>
      <c r="AA9639" s="6"/>
      <c r="AB9639" s="6"/>
      <c r="AC9639" s="6"/>
      <c r="AD9639" s="6"/>
      <c r="AE9639" s="6"/>
      <c r="AF9639" s="6"/>
      <c r="AG9639" s="6"/>
    </row>
    <row r="9640" spans="1:33" x14ac:dyDescent="0.25">
      <c r="B9640"/>
      <c r="Z9640"/>
    </row>
    <row r="9641" spans="1:33" x14ac:dyDescent="0.25">
      <c r="B9641"/>
      <c r="Z9641"/>
    </row>
    <row r="9642" spans="1:33" x14ac:dyDescent="0.25">
      <c r="B9642"/>
      <c r="Z9642"/>
    </row>
    <row r="9643" spans="1:33" x14ac:dyDescent="0.25">
      <c r="B9643"/>
      <c r="Z9643"/>
    </row>
    <row r="9644" spans="1:33" x14ac:dyDescent="0.25">
      <c r="B9644"/>
      <c r="Z9644"/>
    </row>
    <row r="9645" spans="1:33" x14ac:dyDescent="0.25">
      <c r="B9645"/>
      <c r="Z9645"/>
    </row>
    <row r="9646" spans="1:33" x14ac:dyDescent="0.25">
      <c r="B9646"/>
      <c r="Z9646"/>
    </row>
    <row r="9647" spans="1:33" x14ac:dyDescent="0.25">
      <c r="B9647"/>
      <c r="Z9647"/>
    </row>
    <row r="9648" spans="1:33" x14ac:dyDescent="0.25">
      <c r="B9648"/>
      <c r="Z9648"/>
    </row>
    <row r="9649" spans="2:26" x14ac:dyDescent="0.25">
      <c r="B9649"/>
      <c r="Z9649"/>
    </row>
    <row r="9650" spans="2:26" x14ac:dyDescent="0.25">
      <c r="B9650"/>
      <c r="Z9650"/>
    </row>
    <row r="9651" spans="2:26" x14ac:dyDescent="0.25">
      <c r="B9651"/>
      <c r="Z9651"/>
    </row>
    <row r="9652" spans="2:26" x14ac:dyDescent="0.25">
      <c r="B9652"/>
      <c r="Z9652"/>
    </row>
    <row r="9653" spans="2:26" x14ac:dyDescent="0.25">
      <c r="B9653"/>
      <c r="Z9653"/>
    </row>
    <row r="9654" spans="2:26" x14ac:dyDescent="0.25">
      <c r="B9654"/>
      <c r="Z9654"/>
    </row>
    <row r="9655" spans="2:26" x14ac:dyDescent="0.25">
      <c r="B9655"/>
      <c r="Z9655"/>
    </row>
    <row r="9656" spans="2:26" x14ac:dyDescent="0.25">
      <c r="B9656"/>
      <c r="Z9656"/>
    </row>
    <row r="9657" spans="2:26" x14ac:dyDescent="0.25">
      <c r="B9657"/>
      <c r="Z9657"/>
    </row>
    <row r="9658" spans="2:26" x14ac:dyDescent="0.25">
      <c r="B9658"/>
      <c r="Z9658"/>
    </row>
    <row r="9659" spans="2:26" x14ac:dyDescent="0.25">
      <c r="B9659"/>
      <c r="Z9659"/>
    </row>
    <row r="9660" spans="2:26" x14ac:dyDescent="0.25">
      <c r="B9660"/>
      <c r="Z9660"/>
    </row>
    <row r="9661" spans="2:26" x14ac:dyDescent="0.25">
      <c r="B9661"/>
      <c r="Z9661"/>
    </row>
    <row r="9662" spans="2:26" x14ac:dyDescent="0.25">
      <c r="B9662"/>
      <c r="Z9662"/>
    </row>
    <row r="9663" spans="2:26" x14ac:dyDescent="0.25">
      <c r="B9663"/>
      <c r="Z9663"/>
    </row>
    <row r="9664" spans="2:26" x14ac:dyDescent="0.25">
      <c r="B9664"/>
      <c r="Z9664"/>
    </row>
    <row r="9665" spans="2:26" x14ac:dyDescent="0.25">
      <c r="B9665"/>
      <c r="Z9665"/>
    </row>
    <row r="9666" spans="2:26" x14ac:dyDescent="0.25">
      <c r="B9666"/>
      <c r="Z9666"/>
    </row>
    <row r="9667" spans="2:26" x14ac:dyDescent="0.25">
      <c r="B9667"/>
      <c r="Z9667"/>
    </row>
    <row r="9668" spans="2:26" x14ac:dyDescent="0.25">
      <c r="B9668"/>
      <c r="Z9668"/>
    </row>
    <row r="9669" spans="2:26" x14ac:dyDescent="0.25">
      <c r="B9669"/>
      <c r="Z9669"/>
    </row>
    <row r="9670" spans="2:26" x14ac:dyDescent="0.25">
      <c r="B9670"/>
      <c r="Z9670"/>
    </row>
    <row r="9671" spans="2:26" x14ac:dyDescent="0.25">
      <c r="B9671"/>
      <c r="Z9671"/>
    </row>
    <row r="9672" spans="2:26" x14ac:dyDescent="0.25">
      <c r="B9672"/>
      <c r="Z9672"/>
    </row>
    <row r="9673" spans="2:26" x14ac:dyDescent="0.25">
      <c r="B9673"/>
      <c r="Z9673"/>
    </row>
    <row r="9674" spans="2:26" x14ac:dyDescent="0.25">
      <c r="B9674"/>
      <c r="Z9674"/>
    </row>
    <row r="9675" spans="2:26" x14ac:dyDescent="0.25">
      <c r="B9675"/>
      <c r="Z9675"/>
    </row>
    <row r="9676" spans="2:26" x14ac:dyDescent="0.25">
      <c r="B9676"/>
      <c r="Z9676"/>
    </row>
    <row r="9677" spans="2:26" x14ac:dyDescent="0.25">
      <c r="B9677"/>
      <c r="Z9677"/>
    </row>
    <row r="9678" spans="2:26" x14ac:dyDescent="0.25">
      <c r="B9678"/>
      <c r="Z9678"/>
    </row>
    <row r="9679" spans="2:26" x14ac:dyDescent="0.25">
      <c r="B9679"/>
      <c r="Z9679"/>
    </row>
    <row r="9680" spans="2:26" x14ac:dyDescent="0.25">
      <c r="B9680"/>
      <c r="Z9680"/>
    </row>
    <row r="9681" spans="2:26" x14ac:dyDescent="0.25">
      <c r="B9681"/>
      <c r="Z9681"/>
    </row>
    <row r="9682" spans="2:26" x14ac:dyDescent="0.25">
      <c r="B9682"/>
      <c r="Z9682"/>
    </row>
    <row r="9683" spans="2:26" x14ac:dyDescent="0.25">
      <c r="B9683"/>
      <c r="Z9683"/>
    </row>
    <row r="9684" spans="2:26" x14ac:dyDescent="0.25">
      <c r="B9684"/>
      <c r="Z9684"/>
    </row>
    <row r="9685" spans="2:26" x14ac:dyDescent="0.25">
      <c r="B9685"/>
      <c r="Z9685"/>
    </row>
    <row r="9686" spans="2:26" x14ac:dyDescent="0.25">
      <c r="B9686"/>
      <c r="Z9686"/>
    </row>
    <row r="9687" spans="2:26" x14ac:dyDescent="0.25">
      <c r="B9687"/>
      <c r="Z9687"/>
    </row>
    <row r="9688" spans="2:26" x14ac:dyDescent="0.25">
      <c r="B9688"/>
      <c r="Z9688"/>
    </row>
    <row r="9689" spans="2:26" x14ac:dyDescent="0.25">
      <c r="B9689"/>
      <c r="Z9689"/>
    </row>
    <row r="9690" spans="2:26" x14ac:dyDescent="0.25">
      <c r="B9690"/>
      <c r="Z9690"/>
    </row>
    <row r="9691" spans="2:26" x14ac:dyDescent="0.25">
      <c r="B9691"/>
      <c r="Z9691"/>
    </row>
    <row r="9692" spans="2:26" x14ac:dyDescent="0.25">
      <c r="B9692"/>
      <c r="Z9692"/>
    </row>
    <row r="9693" spans="2:26" x14ac:dyDescent="0.25">
      <c r="B9693"/>
      <c r="Z9693"/>
    </row>
    <row r="9694" spans="2:26" x14ac:dyDescent="0.25">
      <c r="B9694"/>
      <c r="Z9694"/>
    </row>
    <row r="9695" spans="2:26" x14ac:dyDescent="0.25">
      <c r="B9695"/>
      <c r="Z9695"/>
    </row>
    <row r="9696" spans="2:26" x14ac:dyDescent="0.25">
      <c r="B9696"/>
      <c r="Z9696"/>
    </row>
    <row r="9697" spans="2:26" x14ac:dyDescent="0.25">
      <c r="B9697"/>
      <c r="Z9697"/>
    </row>
    <row r="9698" spans="2:26" x14ac:dyDescent="0.25">
      <c r="B9698"/>
      <c r="Z9698"/>
    </row>
    <row r="9699" spans="2:26" x14ac:dyDescent="0.25">
      <c r="B9699"/>
      <c r="Z9699"/>
    </row>
    <row r="9700" spans="2:26" x14ac:dyDescent="0.25">
      <c r="B9700"/>
      <c r="Z9700"/>
    </row>
    <row r="9701" spans="2:26" x14ac:dyDescent="0.25">
      <c r="B9701"/>
      <c r="Z9701"/>
    </row>
    <row r="9702" spans="2:26" x14ac:dyDescent="0.25">
      <c r="B9702"/>
      <c r="Z9702"/>
    </row>
    <row r="9703" spans="2:26" x14ac:dyDescent="0.25">
      <c r="B9703"/>
      <c r="Z9703"/>
    </row>
    <row r="9704" spans="2:26" x14ac:dyDescent="0.25">
      <c r="B9704"/>
      <c r="Z9704"/>
    </row>
    <row r="9705" spans="2:26" x14ac:dyDescent="0.25">
      <c r="B9705"/>
      <c r="Z9705"/>
    </row>
    <row r="9706" spans="2:26" x14ac:dyDescent="0.25">
      <c r="B9706"/>
      <c r="Z9706"/>
    </row>
    <row r="9707" spans="2:26" x14ac:dyDescent="0.25">
      <c r="B9707"/>
      <c r="Z9707"/>
    </row>
    <row r="9708" spans="2:26" x14ac:dyDescent="0.25">
      <c r="B9708"/>
      <c r="Z9708"/>
    </row>
    <row r="9709" spans="2:26" x14ac:dyDescent="0.25">
      <c r="B9709"/>
      <c r="Z9709"/>
    </row>
    <row r="9710" spans="2:26" x14ac:dyDescent="0.25">
      <c r="B9710"/>
      <c r="Z9710"/>
    </row>
    <row r="9711" spans="2:26" x14ac:dyDescent="0.25">
      <c r="B9711"/>
      <c r="Z9711"/>
    </row>
    <row r="9712" spans="2:26" x14ac:dyDescent="0.25">
      <c r="B9712"/>
      <c r="Z9712"/>
    </row>
    <row r="9713" spans="2:26" x14ac:dyDescent="0.25">
      <c r="B9713"/>
      <c r="Z9713"/>
    </row>
    <row r="9714" spans="2:26" x14ac:dyDescent="0.25">
      <c r="B9714"/>
      <c r="Z9714"/>
    </row>
    <row r="9715" spans="2:26" x14ac:dyDescent="0.25">
      <c r="B9715"/>
      <c r="Z9715"/>
    </row>
    <row r="9716" spans="2:26" x14ac:dyDescent="0.25">
      <c r="B9716"/>
      <c r="Z9716"/>
    </row>
    <row r="9717" spans="2:26" x14ac:dyDescent="0.25">
      <c r="B9717"/>
      <c r="Z9717"/>
    </row>
    <row r="9718" spans="2:26" x14ac:dyDescent="0.25">
      <c r="B9718"/>
      <c r="Z9718"/>
    </row>
    <row r="9719" spans="2:26" x14ac:dyDescent="0.25">
      <c r="B9719"/>
      <c r="Z9719"/>
    </row>
    <row r="9720" spans="2:26" x14ac:dyDescent="0.25">
      <c r="B9720"/>
      <c r="Z9720"/>
    </row>
    <row r="9721" spans="2:26" x14ac:dyDescent="0.25">
      <c r="B9721"/>
      <c r="K9721" s="6"/>
      <c r="Z9721"/>
    </row>
    <row r="9722" spans="2:26" x14ac:dyDescent="0.25">
      <c r="B9722"/>
      <c r="Z9722"/>
    </row>
    <row r="9723" spans="2:26" x14ac:dyDescent="0.25">
      <c r="B9723"/>
      <c r="Z9723"/>
    </row>
    <row r="9724" spans="2:26" x14ac:dyDescent="0.25">
      <c r="B9724"/>
      <c r="Z9724"/>
    </row>
    <row r="9725" spans="2:26" x14ac:dyDescent="0.25">
      <c r="B9725"/>
      <c r="Z9725"/>
    </row>
    <row r="9726" spans="2:26" x14ac:dyDescent="0.25">
      <c r="B9726"/>
      <c r="Z9726"/>
    </row>
    <row r="9727" spans="2:26" x14ac:dyDescent="0.25">
      <c r="B9727"/>
      <c r="Z9727"/>
    </row>
    <row r="9728" spans="2:26" x14ac:dyDescent="0.25">
      <c r="B9728"/>
      <c r="Z9728"/>
    </row>
    <row r="9729" spans="1:33" x14ac:dyDescent="0.25">
      <c r="B9729"/>
      <c r="Z9729"/>
    </row>
    <row r="9730" spans="1:33" x14ac:dyDescent="0.25">
      <c r="B9730"/>
      <c r="Z9730"/>
    </row>
    <row r="9731" spans="1:33" x14ac:dyDescent="0.25">
      <c r="B9731"/>
      <c r="Z9731"/>
    </row>
    <row r="9732" spans="1:33" x14ac:dyDescent="0.25">
      <c r="B9732"/>
      <c r="Z9732"/>
    </row>
    <row r="9733" spans="1:33" x14ac:dyDescent="0.25">
      <c r="B9733"/>
      <c r="Z9733"/>
    </row>
    <row r="9734" spans="1:33" x14ac:dyDescent="0.25">
      <c r="B9734"/>
      <c r="Z9734"/>
    </row>
    <row r="9735" spans="1:33" x14ac:dyDescent="0.25">
      <c r="B9735"/>
      <c r="Z9735"/>
    </row>
    <row r="9736" spans="1:33" x14ac:dyDescent="0.25">
      <c r="B9736"/>
      <c r="Z9736"/>
    </row>
    <row r="9737" spans="1:33" x14ac:dyDescent="0.25">
      <c r="B9737"/>
      <c r="Z9737"/>
    </row>
    <row r="9738" spans="1:33" x14ac:dyDescent="0.25">
      <c r="B9738"/>
      <c r="Z9738"/>
    </row>
    <row r="9739" spans="1:33" x14ac:dyDescent="0.25">
      <c r="B9739"/>
      <c r="Z9739"/>
    </row>
    <row r="9740" spans="1:33" x14ac:dyDescent="0.25">
      <c r="B9740"/>
      <c r="Z9740"/>
    </row>
    <row r="9741" spans="1:33" x14ac:dyDescent="0.25">
      <c r="B9741"/>
      <c r="Z9741"/>
    </row>
    <row r="9742" spans="1:33" x14ac:dyDescent="0.25">
      <c r="B9742"/>
      <c r="Z9742"/>
    </row>
    <row r="9743" spans="1:33" x14ac:dyDescent="0.25">
      <c r="B9743"/>
      <c r="Z9743"/>
    </row>
    <row r="9744" spans="1:33" x14ac:dyDescent="0.25">
      <c r="A9744" s="6"/>
      <c r="B9744" s="6"/>
      <c r="C9744" s="6"/>
      <c r="D9744" s="6"/>
      <c r="E9744" s="6"/>
      <c r="F9744" s="6"/>
      <c r="G9744" s="6"/>
      <c r="H9744" s="6"/>
      <c r="I9744" s="6"/>
      <c r="J9744" s="6"/>
      <c r="K9744" s="6"/>
      <c r="L9744" s="6"/>
      <c r="M9744" s="6"/>
      <c r="N9744" s="6"/>
      <c r="O9744" s="6"/>
      <c r="P9744" s="6"/>
      <c r="Q9744" s="6"/>
      <c r="R9744" s="6"/>
      <c r="S9744" s="6"/>
      <c r="T9744" s="6"/>
      <c r="U9744" s="6"/>
      <c r="V9744" s="6"/>
      <c r="W9744" s="6"/>
      <c r="X9744" s="6"/>
      <c r="Y9744" s="6"/>
      <c r="Z9744" s="6"/>
      <c r="AA9744" s="6"/>
      <c r="AB9744" s="6"/>
      <c r="AC9744" s="6"/>
      <c r="AD9744" s="6"/>
      <c r="AE9744" s="6"/>
      <c r="AF9744" s="6"/>
      <c r="AG9744" s="6"/>
    </row>
    <row r="9745" spans="2:26" x14ac:dyDescent="0.25">
      <c r="B9745"/>
      <c r="Z9745"/>
    </row>
    <row r="9746" spans="2:26" x14ac:dyDescent="0.25">
      <c r="B9746"/>
      <c r="Z9746"/>
    </row>
    <row r="9747" spans="2:26" x14ac:dyDescent="0.25">
      <c r="B9747"/>
      <c r="Z9747"/>
    </row>
    <row r="9748" spans="2:26" x14ac:dyDescent="0.25">
      <c r="B9748"/>
      <c r="Z9748"/>
    </row>
    <row r="9749" spans="2:26" x14ac:dyDescent="0.25">
      <c r="B9749"/>
      <c r="Z9749"/>
    </row>
    <row r="9750" spans="2:26" x14ac:dyDescent="0.25">
      <c r="B9750"/>
      <c r="Z9750"/>
    </row>
    <row r="9751" spans="2:26" x14ac:dyDescent="0.25">
      <c r="B9751"/>
      <c r="Z9751"/>
    </row>
    <row r="9752" spans="2:26" x14ac:dyDescent="0.25">
      <c r="B9752"/>
      <c r="Z9752"/>
    </row>
    <row r="9753" spans="2:26" x14ac:dyDescent="0.25">
      <c r="B9753"/>
      <c r="Z9753"/>
    </row>
    <row r="9754" spans="2:26" x14ac:dyDescent="0.25">
      <c r="B9754"/>
      <c r="Z9754"/>
    </row>
    <row r="9755" spans="2:26" x14ac:dyDescent="0.25">
      <c r="B9755"/>
      <c r="Z9755"/>
    </row>
    <row r="9756" spans="2:26" x14ac:dyDescent="0.25">
      <c r="B9756"/>
      <c r="Z9756"/>
    </row>
    <row r="9757" spans="2:26" x14ac:dyDescent="0.25">
      <c r="B9757"/>
      <c r="Z9757"/>
    </row>
    <row r="9758" spans="2:26" x14ac:dyDescent="0.25">
      <c r="B9758"/>
      <c r="Z9758"/>
    </row>
    <row r="9759" spans="2:26" x14ac:dyDescent="0.25">
      <c r="B9759"/>
      <c r="Z9759"/>
    </row>
    <row r="9760" spans="2:26" x14ac:dyDescent="0.25">
      <c r="B9760"/>
      <c r="Z9760"/>
    </row>
    <row r="9761" spans="2:26" x14ac:dyDescent="0.25">
      <c r="B9761"/>
      <c r="Z9761"/>
    </row>
    <row r="9762" spans="2:26" x14ac:dyDescent="0.25">
      <c r="B9762"/>
      <c r="Z9762"/>
    </row>
    <row r="9763" spans="2:26" x14ac:dyDescent="0.25">
      <c r="B9763"/>
      <c r="Z9763"/>
    </row>
    <row r="9764" spans="2:26" x14ac:dyDescent="0.25">
      <c r="B9764"/>
      <c r="Z9764"/>
    </row>
    <row r="9765" spans="2:26" x14ac:dyDescent="0.25">
      <c r="B9765"/>
      <c r="Z9765"/>
    </row>
    <row r="9766" spans="2:26" x14ac:dyDescent="0.25">
      <c r="B9766"/>
      <c r="Z9766"/>
    </row>
    <row r="9767" spans="2:26" x14ac:dyDescent="0.25">
      <c r="B9767"/>
      <c r="Z9767"/>
    </row>
    <row r="9768" spans="2:26" x14ac:dyDescent="0.25">
      <c r="B9768"/>
      <c r="Z9768"/>
    </row>
    <row r="9769" spans="2:26" x14ac:dyDescent="0.25">
      <c r="B9769"/>
      <c r="Z9769"/>
    </row>
    <row r="9770" spans="2:26" x14ac:dyDescent="0.25">
      <c r="B9770"/>
      <c r="Z9770"/>
    </row>
    <row r="9771" spans="2:26" x14ac:dyDescent="0.25">
      <c r="B9771"/>
      <c r="Z9771"/>
    </row>
    <row r="9772" spans="2:26" x14ac:dyDescent="0.25">
      <c r="B9772"/>
      <c r="Z9772"/>
    </row>
    <row r="9773" spans="2:26" x14ac:dyDescent="0.25">
      <c r="B9773"/>
      <c r="Z9773"/>
    </row>
    <row r="9774" spans="2:26" x14ac:dyDescent="0.25">
      <c r="B9774"/>
      <c r="Z9774"/>
    </row>
    <row r="9775" spans="2:26" x14ac:dyDescent="0.25">
      <c r="B9775"/>
      <c r="Z9775"/>
    </row>
    <row r="9776" spans="2:26" x14ac:dyDescent="0.25">
      <c r="B9776"/>
      <c r="Z9776"/>
    </row>
    <row r="9777" spans="2:26" x14ac:dyDescent="0.25">
      <c r="B9777"/>
      <c r="Z9777"/>
    </row>
    <row r="9778" spans="2:26" x14ac:dyDescent="0.25">
      <c r="B9778"/>
      <c r="Z9778"/>
    </row>
    <row r="9779" spans="2:26" x14ac:dyDescent="0.25">
      <c r="B9779"/>
      <c r="Z9779"/>
    </row>
    <row r="9780" spans="2:26" x14ac:dyDescent="0.25">
      <c r="B9780"/>
      <c r="Z9780"/>
    </row>
    <row r="9781" spans="2:26" x14ac:dyDescent="0.25">
      <c r="B9781"/>
      <c r="Z9781"/>
    </row>
    <row r="9782" spans="2:26" x14ac:dyDescent="0.25">
      <c r="B9782"/>
      <c r="Z9782"/>
    </row>
    <row r="9783" spans="2:26" x14ac:dyDescent="0.25">
      <c r="B9783"/>
      <c r="Z9783"/>
    </row>
    <row r="9784" spans="2:26" x14ac:dyDescent="0.25">
      <c r="B9784"/>
      <c r="Z9784"/>
    </row>
    <row r="9785" spans="2:26" x14ac:dyDescent="0.25">
      <c r="B9785"/>
      <c r="Z9785"/>
    </row>
    <row r="9786" spans="2:26" x14ac:dyDescent="0.25">
      <c r="B9786"/>
      <c r="Z9786"/>
    </row>
    <row r="9787" spans="2:26" x14ac:dyDescent="0.25">
      <c r="B9787"/>
      <c r="Z9787"/>
    </row>
    <row r="9788" spans="2:26" x14ac:dyDescent="0.25">
      <c r="B9788"/>
      <c r="Z9788"/>
    </row>
    <row r="9789" spans="2:26" x14ac:dyDescent="0.25">
      <c r="B9789"/>
      <c r="Z9789"/>
    </row>
    <row r="9790" spans="2:26" x14ac:dyDescent="0.25">
      <c r="B9790"/>
      <c r="Z9790"/>
    </row>
    <row r="9791" spans="2:26" x14ac:dyDescent="0.25">
      <c r="B9791"/>
      <c r="Z9791"/>
    </row>
    <row r="9792" spans="2:26" x14ac:dyDescent="0.25">
      <c r="B9792"/>
      <c r="Z9792"/>
    </row>
    <row r="9793" spans="2:26" x14ac:dyDescent="0.25">
      <c r="B9793"/>
      <c r="Z9793"/>
    </row>
    <row r="9794" spans="2:26" x14ac:dyDescent="0.25">
      <c r="B9794"/>
      <c r="Z9794"/>
    </row>
    <row r="9795" spans="2:26" x14ac:dyDescent="0.25">
      <c r="B9795"/>
      <c r="Z9795"/>
    </row>
    <row r="9796" spans="2:26" x14ac:dyDescent="0.25">
      <c r="B9796"/>
      <c r="Z9796"/>
    </row>
    <row r="9797" spans="2:26" x14ac:dyDescent="0.25">
      <c r="B9797"/>
      <c r="Z9797"/>
    </row>
    <row r="9798" spans="2:26" x14ac:dyDescent="0.25">
      <c r="B9798"/>
      <c r="Z9798"/>
    </row>
    <row r="9799" spans="2:26" x14ac:dyDescent="0.25">
      <c r="B9799"/>
      <c r="Z9799"/>
    </row>
    <row r="9800" spans="2:26" x14ac:dyDescent="0.25">
      <c r="B9800"/>
      <c r="Z9800"/>
    </row>
    <row r="9801" spans="2:26" x14ac:dyDescent="0.25">
      <c r="B9801"/>
      <c r="Z9801"/>
    </row>
    <row r="9802" spans="2:26" x14ac:dyDescent="0.25">
      <c r="B9802"/>
      <c r="Z9802"/>
    </row>
    <row r="9803" spans="2:26" x14ac:dyDescent="0.25">
      <c r="B9803"/>
      <c r="Z9803"/>
    </row>
    <row r="9804" spans="2:26" x14ac:dyDescent="0.25">
      <c r="B9804"/>
      <c r="Z9804"/>
    </row>
    <row r="9805" spans="2:26" x14ac:dyDescent="0.25">
      <c r="B9805"/>
      <c r="Z9805"/>
    </row>
    <row r="9806" spans="2:26" x14ac:dyDescent="0.25">
      <c r="B9806"/>
      <c r="Z9806"/>
    </row>
    <row r="9807" spans="2:26" x14ac:dyDescent="0.25">
      <c r="B9807"/>
      <c r="Z9807"/>
    </row>
    <row r="9808" spans="2:26" x14ac:dyDescent="0.25">
      <c r="B9808"/>
      <c r="Z9808"/>
    </row>
    <row r="9809" spans="2:26" x14ac:dyDescent="0.25">
      <c r="B9809"/>
      <c r="Z9809"/>
    </row>
    <row r="9810" spans="2:26" x14ac:dyDescent="0.25">
      <c r="B9810"/>
      <c r="Z9810"/>
    </row>
    <row r="9811" spans="2:26" x14ac:dyDescent="0.25">
      <c r="B9811"/>
      <c r="Z9811"/>
    </row>
    <row r="9812" spans="2:26" x14ac:dyDescent="0.25">
      <c r="B9812"/>
      <c r="Z9812"/>
    </row>
    <row r="9813" spans="2:26" x14ac:dyDescent="0.25">
      <c r="B9813"/>
      <c r="Z9813"/>
    </row>
    <row r="9814" spans="2:26" x14ac:dyDescent="0.25">
      <c r="B9814"/>
      <c r="Z9814"/>
    </row>
    <row r="9815" spans="2:26" x14ac:dyDescent="0.25">
      <c r="B9815"/>
      <c r="Z9815"/>
    </row>
    <row r="9816" spans="2:26" x14ac:dyDescent="0.25">
      <c r="B9816"/>
      <c r="Z9816"/>
    </row>
    <row r="9817" spans="2:26" x14ac:dyDescent="0.25">
      <c r="B9817"/>
      <c r="Z9817"/>
    </row>
    <row r="9818" spans="2:26" x14ac:dyDescent="0.25">
      <c r="B9818"/>
      <c r="Z9818"/>
    </row>
    <row r="9819" spans="2:26" x14ac:dyDescent="0.25">
      <c r="B9819"/>
      <c r="Z9819"/>
    </row>
    <row r="9820" spans="2:26" x14ac:dyDescent="0.25">
      <c r="B9820"/>
      <c r="Z9820"/>
    </row>
    <row r="9821" spans="2:26" x14ac:dyDescent="0.25">
      <c r="B9821"/>
      <c r="Z9821"/>
    </row>
    <row r="9822" spans="2:26" x14ac:dyDescent="0.25">
      <c r="B9822"/>
      <c r="Z9822"/>
    </row>
    <row r="9823" spans="2:26" x14ac:dyDescent="0.25">
      <c r="B9823"/>
      <c r="Z9823"/>
    </row>
    <row r="9824" spans="2:26" x14ac:dyDescent="0.25">
      <c r="B9824"/>
      <c r="Z9824"/>
    </row>
    <row r="9825" spans="2:26" x14ac:dyDescent="0.25">
      <c r="B9825"/>
      <c r="Z9825"/>
    </row>
    <row r="9826" spans="2:26" x14ac:dyDescent="0.25">
      <c r="B9826"/>
      <c r="Z9826"/>
    </row>
    <row r="9827" spans="2:26" x14ac:dyDescent="0.25">
      <c r="B9827"/>
      <c r="Z9827"/>
    </row>
    <row r="9828" spans="2:26" x14ac:dyDescent="0.25">
      <c r="B9828"/>
      <c r="Z9828"/>
    </row>
    <row r="9829" spans="2:26" x14ac:dyDescent="0.25">
      <c r="B9829"/>
      <c r="Z9829"/>
    </row>
    <row r="9830" spans="2:26" x14ac:dyDescent="0.25">
      <c r="B9830"/>
      <c r="Z9830"/>
    </row>
    <row r="9831" spans="2:26" x14ac:dyDescent="0.25">
      <c r="B9831"/>
      <c r="Z9831"/>
    </row>
    <row r="9832" spans="2:26" x14ac:dyDescent="0.25">
      <c r="B9832"/>
      <c r="Z9832"/>
    </row>
    <row r="9833" spans="2:26" x14ac:dyDescent="0.25">
      <c r="B9833"/>
      <c r="Z9833"/>
    </row>
    <row r="9834" spans="2:26" x14ac:dyDescent="0.25">
      <c r="B9834"/>
      <c r="Z9834"/>
    </row>
    <row r="9835" spans="2:26" x14ac:dyDescent="0.25">
      <c r="B9835"/>
      <c r="Z9835"/>
    </row>
    <row r="9836" spans="2:26" x14ac:dyDescent="0.25">
      <c r="B9836"/>
      <c r="Z9836"/>
    </row>
    <row r="9837" spans="2:26" x14ac:dyDescent="0.25">
      <c r="B9837"/>
      <c r="Z9837"/>
    </row>
    <row r="9838" spans="2:26" x14ac:dyDescent="0.25">
      <c r="B9838"/>
      <c r="Z9838"/>
    </row>
    <row r="9839" spans="2:26" x14ac:dyDescent="0.25">
      <c r="B9839"/>
      <c r="Z9839"/>
    </row>
    <row r="9840" spans="2:26" x14ac:dyDescent="0.25">
      <c r="B9840"/>
      <c r="Z9840"/>
    </row>
    <row r="9841" spans="1:33" x14ac:dyDescent="0.25">
      <c r="B9841"/>
      <c r="Z9841"/>
    </row>
    <row r="9842" spans="1:33" x14ac:dyDescent="0.25">
      <c r="B9842"/>
      <c r="Z9842"/>
    </row>
    <row r="9843" spans="1:33" x14ac:dyDescent="0.25">
      <c r="B9843"/>
      <c r="Z9843"/>
    </row>
    <row r="9844" spans="1:33" x14ac:dyDescent="0.25">
      <c r="B9844"/>
      <c r="Z9844"/>
    </row>
    <row r="9845" spans="1:33" x14ac:dyDescent="0.25">
      <c r="B9845"/>
      <c r="K9845" s="6"/>
      <c r="Z9845"/>
    </row>
    <row r="9846" spans="1:33" x14ac:dyDescent="0.25">
      <c r="B9846"/>
      <c r="Z9846"/>
    </row>
    <row r="9847" spans="1:33" x14ac:dyDescent="0.25">
      <c r="A9847" s="6"/>
      <c r="B9847" s="6"/>
      <c r="C9847" s="6"/>
      <c r="D9847" s="6"/>
      <c r="E9847" s="6"/>
      <c r="F9847" s="6"/>
      <c r="G9847" s="6"/>
      <c r="H9847" s="6"/>
      <c r="I9847" s="6"/>
      <c r="J9847" s="6"/>
      <c r="K9847" s="6"/>
      <c r="L9847" s="6"/>
      <c r="M9847" s="6"/>
      <c r="N9847" s="6"/>
      <c r="O9847" s="6"/>
      <c r="P9847" s="6"/>
      <c r="Q9847" s="6"/>
      <c r="R9847" s="6"/>
      <c r="S9847" s="6"/>
      <c r="T9847" s="6"/>
      <c r="U9847" s="6"/>
      <c r="V9847" s="6"/>
      <c r="W9847" s="6"/>
      <c r="X9847" s="6"/>
      <c r="Y9847" s="6"/>
      <c r="Z9847" s="6"/>
      <c r="AA9847" s="6"/>
      <c r="AB9847" s="6"/>
      <c r="AC9847" s="6"/>
      <c r="AD9847" s="6"/>
      <c r="AE9847" s="6"/>
      <c r="AF9847" s="6"/>
      <c r="AG9847" s="6"/>
    </row>
    <row r="9848" spans="1:33" x14ac:dyDescent="0.25">
      <c r="B9848"/>
      <c r="Z9848"/>
    </row>
    <row r="9849" spans="1:33" x14ac:dyDescent="0.25">
      <c r="B9849"/>
      <c r="Z9849"/>
    </row>
    <row r="9850" spans="1:33" x14ac:dyDescent="0.25">
      <c r="B9850"/>
      <c r="Z9850"/>
    </row>
    <row r="9851" spans="1:33" x14ac:dyDescent="0.25">
      <c r="B9851"/>
      <c r="Z9851"/>
    </row>
    <row r="9852" spans="1:33" x14ac:dyDescent="0.25">
      <c r="B9852"/>
      <c r="Z9852"/>
    </row>
    <row r="9853" spans="1:33" x14ac:dyDescent="0.25">
      <c r="B9853"/>
      <c r="Z9853"/>
    </row>
    <row r="9854" spans="1:33" x14ac:dyDescent="0.25">
      <c r="B9854"/>
      <c r="Z9854"/>
    </row>
    <row r="9855" spans="1:33" x14ac:dyDescent="0.25">
      <c r="B9855"/>
      <c r="Z9855"/>
    </row>
    <row r="9856" spans="1:33" x14ac:dyDescent="0.25">
      <c r="B9856"/>
      <c r="Z9856"/>
    </row>
    <row r="9857" spans="2:26" x14ac:dyDescent="0.25">
      <c r="B9857"/>
      <c r="Z9857"/>
    </row>
    <row r="9858" spans="2:26" x14ac:dyDescent="0.25">
      <c r="B9858"/>
      <c r="Z9858"/>
    </row>
    <row r="9859" spans="2:26" x14ac:dyDescent="0.25">
      <c r="B9859"/>
      <c r="Z9859"/>
    </row>
    <row r="9860" spans="2:26" x14ac:dyDescent="0.25">
      <c r="B9860"/>
      <c r="Z9860"/>
    </row>
    <row r="9861" spans="2:26" x14ac:dyDescent="0.25">
      <c r="B9861"/>
      <c r="Z9861"/>
    </row>
    <row r="9862" spans="2:26" x14ac:dyDescent="0.25">
      <c r="B9862"/>
      <c r="Z9862"/>
    </row>
    <row r="9863" spans="2:26" x14ac:dyDescent="0.25">
      <c r="B9863"/>
      <c r="Z9863"/>
    </row>
    <row r="9864" spans="2:26" x14ac:dyDescent="0.25">
      <c r="B9864"/>
      <c r="Z9864"/>
    </row>
    <row r="9865" spans="2:26" x14ac:dyDescent="0.25">
      <c r="B9865"/>
      <c r="Z9865"/>
    </row>
    <row r="9866" spans="2:26" x14ac:dyDescent="0.25">
      <c r="B9866"/>
      <c r="Z9866"/>
    </row>
    <row r="9867" spans="2:26" x14ac:dyDescent="0.25">
      <c r="B9867"/>
      <c r="Z9867"/>
    </row>
    <row r="9868" spans="2:26" x14ac:dyDescent="0.25">
      <c r="B9868"/>
      <c r="Z9868"/>
    </row>
    <row r="9869" spans="2:26" x14ac:dyDescent="0.25">
      <c r="B9869"/>
      <c r="Z9869"/>
    </row>
    <row r="9870" spans="2:26" x14ac:dyDescent="0.25">
      <c r="B9870"/>
      <c r="Z9870"/>
    </row>
    <row r="9871" spans="2:26" x14ac:dyDescent="0.25">
      <c r="B9871"/>
      <c r="Z9871"/>
    </row>
    <row r="9872" spans="2:26" x14ac:dyDescent="0.25">
      <c r="B9872"/>
      <c r="Z9872"/>
    </row>
    <row r="9873" spans="2:26" x14ac:dyDescent="0.25">
      <c r="B9873"/>
      <c r="Z9873"/>
    </row>
    <row r="9874" spans="2:26" x14ac:dyDescent="0.25">
      <c r="B9874"/>
      <c r="Z9874"/>
    </row>
    <row r="9875" spans="2:26" x14ac:dyDescent="0.25">
      <c r="B9875"/>
      <c r="Z9875"/>
    </row>
    <row r="9876" spans="2:26" x14ac:dyDescent="0.25">
      <c r="B9876"/>
      <c r="Z9876"/>
    </row>
    <row r="9877" spans="2:26" x14ac:dyDescent="0.25">
      <c r="B9877"/>
      <c r="Z9877"/>
    </row>
    <row r="9878" spans="2:26" x14ac:dyDescent="0.25">
      <c r="B9878"/>
      <c r="Z9878"/>
    </row>
    <row r="9879" spans="2:26" x14ac:dyDescent="0.25">
      <c r="B9879"/>
      <c r="Z9879"/>
    </row>
    <row r="9880" spans="2:26" x14ac:dyDescent="0.25">
      <c r="B9880"/>
      <c r="Z9880"/>
    </row>
    <row r="9881" spans="2:26" x14ac:dyDescent="0.25">
      <c r="B9881"/>
      <c r="Z9881"/>
    </row>
    <row r="9882" spans="2:26" x14ac:dyDescent="0.25">
      <c r="B9882"/>
      <c r="Z9882"/>
    </row>
    <row r="9883" spans="2:26" x14ac:dyDescent="0.25">
      <c r="B9883"/>
      <c r="Z9883"/>
    </row>
    <row r="9884" spans="2:26" x14ac:dyDescent="0.25">
      <c r="B9884"/>
      <c r="Z9884"/>
    </row>
    <row r="9885" spans="2:26" x14ac:dyDescent="0.25">
      <c r="B9885"/>
      <c r="Z9885"/>
    </row>
    <row r="9886" spans="2:26" x14ac:dyDescent="0.25">
      <c r="B9886"/>
      <c r="Z9886"/>
    </row>
    <row r="9887" spans="2:26" x14ac:dyDescent="0.25">
      <c r="B9887"/>
      <c r="Z9887"/>
    </row>
    <row r="9888" spans="2:26" x14ac:dyDescent="0.25">
      <c r="B9888"/>
      <c r="Z9888"/>
    </row>
    <row r="9889" spans="2:26" x14ac:dyDescent="0.25">
      <c r="B9889"/>
      <c r="Z9889"/>
    </row>
    <row r="9890" spans="2:26" x14ac:dyDescent="0.25">
      <c r="B9890"/>
      <c r="Z9890"/>
    </row>
    <row r="9891" spans="2:26" x14ac:dyDescent="0.25">
      <c r="B9891"/>
      <c r="Z9891"/>
    </row>
    <row r="9892" spans="2:26" x14ac:dyDescent="0.25">
      <c r="B9892"/>
      <c r="Z9892"/>
    </row>
    <row r="9893" spans="2:26" x14ac:dyDescent="0.25">
      <c r="B9893"/>
      <c r="Z9893"/>
    </row>
    <row r="9894" spans="2:26" x14ac:dyDescent="0.25">
      <c r="B9894"/>
      <c r="Z9894"/>
    </row>
    <row r="9895" spans="2:26" x14ac:dyDescent="0.25">
      <c r="B9895"/>
      <c r="Z9895"/>
    </row>
    <row r="9896" spans="2:26" x14ac:dyDescent="0.25">
      <c r="B9896"/>
      <c r="Z9896"/>
    </row>
    <row r="9897" spans="2:26" x14ac:dyDescent="0.25">
      <c r="B9897"/>
      <c r="Z9897"/>
    </row>
    <row r="9898" spans="2:26" x14ac:dyDescent="0.25">
      <c r="B9898"/>
      <c r="Z9898"/>
    </row>
    <row r="9899" spans="2:26" x14ac:dyDescent="0.25">
      <c r="B9899"/>
      <c r="Z9899"/>
    </row>
    <row r="9900" spans="2:26" x14ac:dyDescent="0.25">
      <c r="B9900"/>
      <c r="Z9900"/>
    </row>
    <row r="9901" spans="2:26" x14ac:dyDescent="0.25">
      <c r="B9901"/>
      <c r="Z9901"/>
    </row>
    <row r="9902" spans="2:26" x14ac:dyDescent="0.25">
      <c r="B9902"/>
      <c r="Z9902"/>
    </row>
    <row r="9903" spans="2:26" x14ac:dyDescent="0.25">
      <c r="B9903"/>
      <c r="Z9903"/>
    </row>
    <row r="9904" spans="2:26" x14ac:dyDescent="0.25">
      <c r="B9904"/>
      <c r="Z9904"/>
    </row>
    <row r="9905" spans="2:26" x14ac:dyDescent="0.25">
      <c r="B9905"/>
      <c r="Z9905"/>
    </row>
    <row r="9906" spans="2:26" x14ac:dyDescent="0.25">
      <c r="B9906"/>
      <c r="Z9906"/>
    </row>
    <row r="9907" spans="2:26" x14ac:dyDescent="0.25">
      <c r="B9907"/>
      <c r="Z9907"/>
    </row>
    <row r="9908" spans="2:26" x14ac:dyDescent="0.25">
      <c r="B9908"/>
      <c r="Z9908"/>
    </row>
    <row r="9909" spans="2:26" x14ac:dyDescent="0.25">
      <c r="B9909"/>
      <c r="Z9909"/>
    </row>
    <row r="9910" spans="2:26" x14ac:dyDescent="0.25">
      <c r="B9910"/>
      <c r="Z9910"/>
    </row>
    <row r="9911" spans="2:26" x14ac:dyDescent="0.25">
      <c r="B9911"/>
      <c r="Z9911"/>
    </row>
    <row r="9912" spans="2:26" x14ac:dyDescent="0.25">
      <c r="B9912"/>
      <c r="Z9912"/>
    </row>
    <row r="9913" spans="2:26" x14ac:dyDescent="0.25">
      <c r="B9913"/>
      <c r="Z9913"/>
    </row>
    <row r="9914" spans="2:26" x14ac:dyDescent="0.25">
      <c r="B9914"/>
      <c r="Z9914"/>
    </row>
    <row r="9915" spans="2:26" x14ac:dyDescent="0.25">
      <c r="B9915"/>
      <c r="Z9915"/>
    </row>
    <row r="9916" spans="2:26" x14ac:dyDescent="0.25">
      <c r="B9916"/>
      <c r="Z9916"/>
    </row>
    <row r="9917" spans="2:26" x14ac:dyDescent="0.25">
      <c r="B9917"/>
      <c r="Z9917"/>
    </row>
    <row r="9918" spans="2:26" x14ac:dyDescent="0.25">
      <c r="B9918"/>
      <c r="Z9918"/>
    </row>
    <row r="9919" spans="2:26" x14ac:dyDescent="0.25">
      <c r="B9919"/>
      <c r="Z9919"/>
    </row>
    <row r="9920" spans="2:26" x14ac:dyDescent="0.25">
      <c r="B9920"/>
      <c r="Z9920"/>
    </row>
    <row r="9921" spans="2:26" x14ac:dyDescent="0.25">
      <c r="B9921"/>
      <c r="Z9921"/>
    </row>
    <row r="9922" spans="2:26" x14ac:dyDescent="0.25">
      <c r="B9922"/>
      <c r="Z9922"/>
    </row>
    <row r="9923" spans="2:26" x14ac:dyDescent="0.25">
      <c r="B9923"/>
      <c r="Z9923"/>
    </row>
    <row r="9924" spans="2:26" x14ac:dyDescent="0.25">
      <c r="B9924"/>
      <c r="Z9924"/>
    </row>
    <row r="9925" spans="2:26" x14ac:dyDescent="0.25">
      <c r="B9925"/>
      <c r="Z9925"/>
    </row>
    <row r="9926" spans="2:26" x14ac:dyDescent="0.25">
      <c r="B9926"/>
      <c r="Z9926"/>
    </row>
    <row r="9927" spans="2:26" x14ac:dyDescent="0.25">
      <c r="B9927"/>
      <c r="K9927" s="6"/>
      <c r="Z9927"/>
    </row>
    <row r="9928" spans="2:26" x14ac:dyDescent="0.25">
      <c r="B9928"/>
      <c r="Z9928"/>
    </row>
    <row r="9929" spans="2:26" x14ac:dyDescent="0.25">
      <c r="B9929"/>
      <c r="Z9929"/>
    </row>
    <row r="9930" spans="2:26" x14ac:dyDescent="0.25">
      <c r="B9930"/>
      <c r="Z9930"/>
    </row>
    <row r="9931" spans="2:26" x14ac:dyDescent="0.25">
      <c r="B9931"/>
      <c r="Z9931"/>
    </row>
    <row r="9932" spans="2:26" x14ac:dyDescent="0.25">
      <c r="B9932"/>
      <c r="Z9932"/>
    </row>
    <row r="9933" spans="2:26" x14ac:dyDescent="0.25">
      <c r="B9933"/>
      <c r="Z9933"/>
    </row>
    <row r="9934" spans="2:26" x14ac:dyDescent="0.25">
      <c r="B9934"/>
      <c r="Z9934"/>
    </row>
    <row r="9935" spans="2:26" x14ac:dyDescent="0.25">
      <c r="B9935"/>
      <c r="Z9935"/>
    </row>
    <row r="9936" spans="2:26" x14ac:dyDescent="0.25">
      <c r="B9936"/>
      <c r="Z9936"/>
    </row>
    <row r="9937" spans="1:33" x14ac:dyDescent="0.25">
      <c r="B9937"/>
      <c r="Z9937"/>
    </row>
    <row r="9938" spans="1:33" x14ac:dyDescent="0.25">
      <c r="B9938"/>
      <c r="Z9938"/>
    </row>
    <row r="9939" spans="1:33" x14ac:dyDescent="0.25">
      <c r="B9939"/>
      <c r="Z9939"/>
    </row>
    <row r="9940" spans="1:33" x14ac:dyDescent="0.25">
      <c r="B9940"/>
      <c r="Z9940"/>
    </row>
    <row r="9941" spans="1:33" x14ac:dyDescent="0.25">
      <c r="B9941"/>
      <c r="Z9941"/>
    </row>
    <row r="9942" spans="1:33" x14ac:dyDescent="0.25">
      <c r="B9942"/>
      <c r="Z9942"/>
    </row>
    <row r="9943" spans="1:33" x14ac:dyDescent="0.25">
      <c r="B9943"/>
      <c r="Z9943"/>
    </row>
    <row r="9944" spans="1:33" x14ac:dyDescent="0.25">
      <c r="B9944"/>
      <c r="Z9944"/>
    </row>
    <row r="9945" spans="1:33" x14ac:dyDescent="0.25">
      <c r="B9945"/>
      <c r="Z9945"/>
    </row>
    <row r="9946" spans="1:33" x14ac:dyDescent="0.25">
      <c r="B9946"/>
      <c r="Z9946"/>
    </row>
    <row r="9947" spans="1:33" x14ac:dyDescent="0.25">
      <c r="B9947"/>
      <c r="Z9947"/>
    </row>
    <row r="9948" spans="1:33" x14ac:dyDescent="0.25">
      <c r="B9948"/>
      <c r="Z9948"/>
    </row>
    <row r="9949" spans="1:33" x14ac:dyDescent="0.25">
      <c r="B9949"/>
      <c r="Z9949"/>
    </row>
    <row r="9950" spans="1:33" x14ac:dyDescent="0.25">
      <c r="A9950" s="6"/>
      <c r="B9950" s="6"/>
      <c r="C9950" s="6"/>
      <c r="D9950" s="6"/>
      <c r="E9950" s="6"/>
      <c r="F9950" s="6"/>
      <c r="G9950" s="6"/>
      <c r="H9950" s="6"/>
      <c r="I9950" s="6"/>
      <c r="J9950" s="6"/>
      <c r="K9950" s="6"/>
      <c r="L9950" s="6"/>
      <c r="M9950" s="6"/>
      <c r="N9950" s="6"/>
      <c r="O9950" s="6"/>
      <c r="P9950" s="6"/>
      <c r="Q9950" s="6"/>
      <c r="R9950" s="6"/>
      <c r="S9950" s="6"/>
      <c r="T9950" s="6"/>
      <c r="U9950" s="6"/>
      <c r="V9950" s="6"/>
      <c r="W9950" s="6"/>
      <c r="X9950" s="6"/>
      <c r="Y9950" s="6"/>
      <c r="Z9950" s="6"/>
      <c r="AA9950" s="6"/>
      <c r="AB9950" s="6"/>
      <c r="AC9950" s="6"/>
      <c r="AD9950" s="6"/>
      <c r="AE9950" s="6"/>
      <c r="AF9950" s="6"/>
      <c r="AG9950" s="6"/>
    </row>
    <row r="9951" spans="1:33" x14ac:dyDescent="0.25">
      <c r="B9951"/>
      <c r="Z9951"/>
    </row>
    <row r="9952" spans="1:33" x14ac:dyDescent="0.25">
      <c r="B9952"/>
      <c r="Z9952"/>
    </row>
    <row r="9953" spans="2:26" x14ac:dyDescent="0.25">
      <c r="B9953"/>
      <c r="Z9953"/>
    </row>
    <row r="9954" spans="2:26" x14ac:dyDescent="0.25">
      <c r="B9954"/>
      <c r="Z9954"/>
    </row>
    <row r="9955" spans="2:26" x14ac:dyDescent="0.25">
      <c r="B9955"/>
      <c r="Z9955"/>
    </row>
    <row r="9956" spans="2:26" x14ac:dyDescent="0.25">
      <c r="B9956"/>
      <c r="Z9956"/>
    </row>
    <row r="9957" spans="2:26" x14ac:dyDescent="0.25">
      <c r="B9957"/>
      <c r="Z9957"/>
    </row>
    <row r="9958" spans="2:26" x14ac:dyDescent="0.25">
      <c r="B9958"/>
      <c r="Z9958"/>
    </row>
    <row r="9959" spans="2:26" x14ac:dyDescent="0.25">
      <c r="B9959"/>
      <c r="Z9959"/>
    </row>
    <row r="9960" spans="2:26" x14ac:dyDescent="0.25">
      <c r="B9960"/>
      <c r="Z9960"/>
    </row>
    <row r="9961" spans="2:26" x14ac:dyDescent="0.25">
      <c r="B9961"/>
      <c r="Z9961"/>
    </row>
    <row r="9962" spans="2:26" x14ac:dyDescent="0.25">
      <c r="B9962"/>
      <c r="Z9962"/>
    </row>
    <row r="9963" spans="2:26" x14ac:dyDescent="0.25">
      <c r="B9963"/>
      <c r="Z9963"/>
    </row>
    <row r="9964" spans="2:26" x14ac:dyDescent="0.25">
      <c r="B9964"/>
      <c r="Z9964"/>
    </row>
    <row r="9965" spans="2:26" x14ac:dyDescent="0.25">
      <c r="B9965"/>
      <c r="Z9965"/>
    </row>
    <row r="9966" spans="2:26" x14ac:dyDescent="0.25">
      <c r="B9966"/>
      <c r="Z9966"/>
    </row>
    <row r="9967" spans="2:26" x14ac:dyDescent="0.25">
      <c r="B9967"/>
      <c r="Z9967"/>
    </row>
    <row r="9968" spans="2:26" x14ac:dyDescent="0.25">
      <c r="B9968"/>
      <c r="Z9968"/>
    </row>
    <row r="9969" spans="2:26" x14ac:dyDescent="0.25">
      <c r="B9969"/>
      <c r="Z9969"/>
    </row>
    <row r="9970" spans="2:26" x14ac:dyDescent="0.25">
      <c r="B9970"/>
      <c r="Z9970"/>
    </row>
    <row r="9971" spans="2:26" x14ac:dyDescent="0.25">
      <c r="B9971"/>
      <c r="Z9971"/>
    </row>
    <row r="9972" spans="2:26" x14ac:dyDescent="0.25">
      <c r="B9972"/>
      <c r="Z9972"/>
    </row>
    <row r="9973" spans="2:26" x14ac:dyDescent="0.25">
      <c r="B9973"/>
      <c r="Z9973"/>
    </row>
    <row r="9974" spans="2:26" x14ac:dyDescent="0.25">
      <c r="B9974"/>
      <c r="Z9974"/>
    </row>
    <row r="9975" spans="2:26" x14ac:dyDescent="0.25">
      <c r="B9975"/>
      <c r="Z9975"/>
    </row>
    <row r="9976" spans="2:26" x14ac:dyDescent="0.25">
      <c r="B9976"/>
      <c r="Z9976"/>
    </row>
    <row r="9977" spans="2:26" x14ac:dyDescent="0.25">
      <c r="B9977"/>
      <c r="Z9977"/>
    </row>
    <row r="9978" spans="2:26" x14ac:dyDescent="0.25">
      <c r="B9978"/>
      <c r="Z9978"/>
    </row>
    <row r="9979" spans="2:26" x14ac:dyDescent="0.25">
      <c r="B9979"/>
      <c r="Z9979"/>
    </row>
    <row r="9980" spans="2:26" x14ac:dyDescent="0.25">
      <c r="B9980"/>
      <c r="Z9980"/>
    </row>
    <row r="9981" spans="2:26" x14ac:dyDescent="0.25">
      <c r="B9981"/>
      <c r="Z9981"/>
    </row>
    <row r="9982" spans="2:26" x14ac:dyDescent="0.25">
      <c r="B9982"/>
      <c r="Z9982"/>
    </row>
    <row r="9983" spans="2:26" x14ac:dyDescent="0.25">
      <c r="B9983"/>
      <c r="Z9983"/>
    </row>
    <row r="9984" spans="2:26" x14ac:dyDescent="0.25">
      <c r="B9984"/>
      <c r="Z9984"/>
    </row>
    <row r="9985" spans="2:26" x14ac:dyDescent="0.25">
      <c r="B9985"/>
      <c r="Z9985"/>
    </row>
    <row r="9986" spans="2:26" x14ac:dyDescent="0.25">
      <c r="B9986"/>
      <c r="Z9986"/>
    </row>
    <row r="9987" spans="2:26" x14ac:dyDescent="0.25">
      <c r="B9987"/>
      <c r="Z9987"/>
    </row>
    <row r="9988" spans="2:26" x14ac:dyDescent="0.25">
      <c r="B9988"/>
      <c r="Z9988"/>
    </row>
    <row r="9989" spans="2:26" x14ac:dyDescent="0.25">
      <c r="B9989"/>
      <c r="Z9989"/>
    </row>
    <row r="9990" spans="2:26" x14ac:dyDescent="0.25">
      <c r="B9990"/>
      <c r="Z9990"/>
    </row>
    <row r="9991" spans="2:26" x14ac:dyDescent="0.25">
      <c r="B9991"/>
      <c r="Z9991"/>
    </row>
    <row r="9992" spans="2:26" x14ac:dyDescent="0.25">
      <c r="B9992"/>
      <c r="Z9992"/>
    </row>
    <row r="9993" spans="2:26" x14ac:dyDescent="0.25">
      <c r="B9993"/>
      <c r="Z9993"/>
    </row>
    <row r="9994" spans="2:26" x14ac:dyDescent="0.25">
      <c r="B9994"/>
      <c r="Z9994"/>
    </row>
    <row r="9995" spans="2:26" x14ac:dyDescent="0.25">
      <c r="B9995"/>
      <c r="Z9995"/>
    </row>
    <row r="9996" spans="2:26" x14ac:dyDescent="0.25">
      <c r="B9996"/>
      <c r="Z9996"/>
    </row>
    <row r="9997" spans="2:26" x14ac:dyDescent="0.25">
      <c r="B9997"/>
      <c r="Z9997"/>
    </row>
    <row r="9998" spans="2:26" x14ac:dyDescent="0.25">
      <c r="B9998"/>
      <c r="Z9998"/>
    </row>
    <row r="9999" spans="2:26" x14ac:dyDescent="0.25">
      <c r="B9999"/>
      <c r="Z9999"/>
    </row>
    <row r="10000" spans="2:26" x14ac:dyDescent="0.25">
      <c r="B10000"/>
      <c r="Z10000"/>
    </row>
    <row r="10001" spans="2:26" x14ac:dyDescent="0.25">
      <c r="B10001"/>
      <c r="Z10001"/>
    </row>
    <row r="10002" spans="2:26" x14ac:dyDescent="0.25">
      <c r="B10002"/>
      <c r="Z10002"/>
    </row>
    <row r="10003" spans="2:26" x14ac:dyDescent="0.25">
      <c r="B10003"/>
      <c r="Z10003"/>
    </row>
    <row r="10004" spans="2:26" x14ac:dyDescent="0.25">
      <c r="B10004"/>
      <c r="Z10004"/>
    </row>
    <row r="10005" spans="2:26" x14ac:dyDescent="0.25">
      <c r="B10005"/>
      <c r="Z10005"/>
    </row>
    <row r="10006" spans="2:26" x14ac:dyDescent="0.25">
      <c r="B10006"/>
      <c r="Z10006"/>
    </row>
    <row r="10007" spans="2:26" x14ac:dyDescent="0.25">
      <c r="B10007"/>
      <c r="Z10007"/>
    </row>
    <row r="10008" spans="2:26" x14ac:dyDescent="0.25">
      <c r="B10008"/>
      <c r="Z10008"/>
    </row>
    <row r="10009" spans="2:26" x14ac:dyDescent="0.25">
      <c r="B10009"/>
      <c r="Z10009"/>
    </row>
    <row r="10010" spans="2:26" x14ac:dyDescent="0.25">
      <c r="B10010"/>
      <c r="Z10010"/>
    </row>
    <row r="10011" spans="2:26" x14ac:dyDescent="0.25">
      <c r="B10011"/>
      <c r="Z10011"/>
    </row>
    <row r="10012" spans="2:26" x14ac:dyDescent="0.25">
      <c r="B10012"/>
      <c r="Z10012"/>
    </row>
    <row r="10013" spans="2:26" x14ac:dyDescent="0.25">
      <c r="B10013"/>
      <c r="Z10013"/>
    </row>
    <row r="10014" spans="2:26" x14ac:dyDescent="0.25">
      <c r="B10014"/>
      <c r="Z10014"/>
    </row>
    <row r="10015" spans="2:26" x14ac:dyDescent="0.25">
      <c r="B10015"/>
      <c r="Z10015"/>
    </row>
    <row r="10016" spans="2:26" x14ac:dyDescent="0.25">
      <c r="B10016"/>
      <c r="Z10016"/>
    </row>
    <row r="10017" spans="2:26" x14ac:dyDescent="0.25">
      <c r="B10017"/>
      <c r="Z10017"/>
    </row>
    <row r="10018" spans="2:26" x14ac:dyDescent="0.25">
      <c r="B10018"/>
      <c r="Z10018"/>
    </row>
    <row r="10019" spans="2:26" x14ac:dyDescent="0.25">
      <c r="B10019"/>
      <c r="Z10019"/>
    </row>
    <row r="10020" spans="2:26" x14ac:dyDescent="0.25">
      <c r="B10020"/>
      <c r="Z10020"/>
    </row>
    <row r="10021" spans="2:26" x14ac:dyDescent="0.25">
      <c r="B10021"/>
      <c r="Z10021"/>
    </row>
    <row r="10022" spans="2:26" x14ac:dyDescent="0.25">
      <c r="B10022"/>
      <c r="Z10022"/>
    </row>
    <row r="10023" spans="2:26" x14ac:dyDescent="0.25">
      <c r="B10023"/>
      <c r="Z10023"/>
    </row>
    <row r="10024" spans="2:26" x14ac:dyDescent="0.25">
      <c r="B10024"/>
      <c r="Z10024"/>
    </row>
    <row r="10025" spans="2:26" x14ac:dyDescent="0.25">
      <c r="B10025"/>
      <c r="Z10025"/>
    </row>
    <row r="10026" spans="2:26" x14ac:dyDescent="0.25">
      <c r="B10026"/>
      <c r="K10026" s="6"/>
      <c r="Z10026"/>
    </row>
    <row r="10027" spans="2:26" x14ac:dyDescent="0.25">
      <c r="B10027"/>
      <c r="Z10027"/>
    </row>
    <row r="10028" spans="2:26" x14ac:dyDescent="0.25">
      <c r="B10028"/>
      <c r="Z10028"/>
    </row>
    <row r="10029" spans="2:26" x14ac:dyDescent="0.25">
      <c r="B10029"/>
      <c r="Z10029"/>
    </row>
    <row r="10030" spans="2:26" x14ac:dyDescent="0.25">
      <c r="B10030"/>
      <c r="Z10030"/>
    </row>
    <row r="10031" spans="2:26" x14ac:dyDescent="0.25">
      <c r="B10031"/>
      <c r="Z10031"/>
    </row>
    <row r="10032" spans="2:26" x14ac:dyDescent="0.25">
      <c r="B10032"/>
      <c r="Z10032"/>
    </row>
    <row r="10033" spans="2:26" x14ac:dyDescent="0.25">
      <c r="B10033"/>
      <c r="Z10033"/>
    </row>
    <row r="10034" spans="2:26" x14ac:dyDescent="0.25">
      <c r="B10034"/>
      <c r="Z10034"/>
    </row>
    <row r="10035" spans="2:26" x14ac:dyDescent="0.25">
      <c r="B10035"/>
      <c r="Z10035"/>
    </row>
    <row r="10036" spans="2:26" x14ac:dyDescent="0.25">
      <c r="B10036"/>
      <c r="Z10036"/>
    </row>
    <row r="10037" spans="2:26" x14ac:dyDescent="0.25">
      <c r="B10037"/>
      <c r="Z10037"/>
    </row>
    <row r="10038" spans="2:26" x14ac:dyDescent="0.25">
      <c r="B10038"/>
      <c r="Z10038"/>
    </row>
    <row r="10039" spans="2:26" x14ac:dyDescent="0.25">
      <c r="B10039"/>
      <c r="Z10039"/>
    </row>
    <row r="10040" spans="2:26" x14ac:dyDescent="0.25">
      <c r="B10040"/>
      <c r="Z10040"/>
    </row>
    <row r="10041" spans="2:26" x14ac:dyDescent="0.25">
      <c r="B10041"/>
      <c r="Z10041"/>
    </row>
    <row r="10042" spans="2:26" x14ac:dyDescent="0.25">
      <c r="B10042"/>
      <c r="Z10042"/>
    </row>
    <row r="10043" spans="2:26" x14ac:dyDescent="0.25">
      <c r="B10043"/>
      <c r="Z10043"/>
    </row>
    <row r="10044" spans="2:26" x14ac:dyDescent="0.25">
      <c r="B10044"/>
      <c r="Z10044"/>
    </row>
    <row r="10045" spans="2:26" x14ac:dyDescent="0.25">
      <c r="B10045"/>
      <c r="Z10045"/>
    </row>
    <row r="10046" spans="2:26" x14ac:dyDescent="0.25">
      <c r="B10046"/>
      <c r="Z10046"/>
    </row>
    <row r="10047" spans="2:26" x14ac:dyDescent="0.25">
      <c r="B10047"/>
      <c r="Z10047"/>
    </row>
    <row r="10048" spans="2:26" x14ac:dyDescent="0.25">
      <c r="B10048"/>
      <c r="Z10048"/>
    </row>
    <row r="10049" spans="1:33" x14ac:dyDescent="0.25">
      <c r="B10049"/>
      <c r="Z10049"/>
    </row>
    <row r="10050" spans="1:33" x14ac:dyDescent="0.25">
      <c r="B10050"/>
      <c r="Z10050"/>
    </row>
    <row r="10051" spans="1:33" x14ac:dyDescent="0.25">
      <c r="B10051"/>
      <c r="Z10051"/>
    </row>
    <row r="10052" spans="1:33" x14ac:dyDescent="0.25">
      <c r="B10052"/>
      <c r="Z10052"/>
    </row>
    <row r="10053" spans="1:33" x14ac:dyDescent="0.25">
      <c r="A10053" s="6"/>
      <c r="B10053" s="6"/>
      <c r="C10053" s="6"/>
      <c r="D10053" s="6"/>
      <c r="E10053" s="6"/>
      <c r="F10053" s="6"/>
      <c r="G10053" s="6"/>
      <c r="H10053" s="6"/>
      <c r="I10053" s="6"/>
      <c r="J10053" s="6"/>
      <c r="K10053" s="6"/>
      <c r="L10053" s="6"/>
      <c r="M10053" s="6"/>
      <c r="N10053" s="6"/>
      <c r="O10053" s="6"/>
      <c r="P10053" s="6"/>
      <c r="Q10053" s="6"/>
      <c r="R10053" s="6"/>
      <c r="S10053" s="6"/>
      <c r="T10053" s="6"/>
      <c r="U10053" s="6"/>
      <c r="V10053" s="6"/>
      <c r="W10053" s="6"/>
      <c r="X10053" s="6"/>
      <c r="Y10053" s="6"/>
      <c r="Z10053" s="6"/>
      <c r="AA10053" s="6"/>
      <c r="AB10053" s="6"/>
      <c r="AC10053" s="6"/>
      <c r="AD10053" s="6"/>
      <c r="AE10053" s="6"/>
      <c r="AF10053" s="6"/>
      <c r="AG10053" s="6"/>
    </row>
    <row r="10054" spans="1:33" x14ac:dyDescent="0.25">
      <c r="B10054"/>
      <c r="Z10054"/>
    </row>
    <row r="10055" spans="1:33" x14ac:dyDescent="0.25">
      <c r="B10055"/>
      <c r="Z10055"/>
    </row>
    <row r="10056" spans="1:33" x14ac:dyDescent="0.25">
      <c r="B10056"/>
      <c r="Z10056"/>
    </row>
    <row r="10057" spans="1:33" x14ac:dyDescent="0.25">
      <c r="B10057"/>
      <c r="Z10057"/>
    </row>
    <row r="10058" spans="1:33" x14ac:dyDescent="0.25">
      <c r="B10058"/>
      <c r="Z10058"/>
    </row>
    <row r="10059" spans="1:33" x14ac:dyDescent="0.25">
      <c r="B10059"/>
      <c r="Z10059"/>
    </row>
    <row r="10060" spans="1:33" x14ac:dyDescent="0.25">
      <c r="B10060"/>
      <c r="Z10060"/>
    </row>
    <row r="10061" spans="1:33" x14ac:dyDescent="0.25">
      <c r="B10061"/>
      <c r="Z10061"/>
    </row>
    <row r="10062" spans="1:33" x14ac:dyDescent="0.25">
      <c r="B10062"/>
      <c r="Z10062"/>
    </row>
    <row r="10063" spans="1:33" x14ac:dyDescent="0.25">
      <c r="B10063"/>
      <c r="Z10063"/>
    </row>
    <row r="10064" spans="1:33" x14ac:dyDescent="0.25">
      <c r="B10064"/>
      <c r="Z10064"/>
    </row>
    <row r="10065" spans="2:26" x14ac:dyDescent="0.25">
      <c r="B10065"/>
      <c r="Z10065"/>
    </row>
    <row r="10066" spans="2:26" x14ac:dyDescent="0.25">
      <c r="B10066"/>
      <c r="Z10066"/>
    </row>
    <row r="10067" spans="2:26" x14ac:dyDescent="0.25">
      <c r="B10067"/>
      <c r="Z10067"/>
    </row>
    <row r="10068" spans="2:26" x14ac:dyDescent="0.25">
      <c r="B10068"/>
      <c r="Z10068"/>
    </row>
    <row r="10069" spans="2:26" x14ac:dyDescent="0.25">
      <c r="B10069"/>
      <c r="Z10069"/>
    </row>
    <row r="10070" spans="2:26" x14ac:dyDescent="0.25">
      <c r="B10070"/>
      <c r="Z10070"/>
    </row>
    <row r="10071" spans="2:26" x14ac:dyDescent="0.25">
      <c r="B10071"/>
      <c r="Z10071"/>
    </row>
    <row r="10072" spans="2:26" x14ac:dyDescent="0.25">
      <c r="B10072"/>
      <c r="Z10072"/>
    </row>
    <row r="10073" spans="2:26" x14ac:dyDescent="0.25">
      <c r="B10073"/>
      <c r="Z10073"/>
    </row>
    <row r="10074" spans="2:26" x14ac:dyDescent="0.25">
      <c r="B10074"/>
      <c r="Z10074"/>
    </row>
    <row r="10075" spans="2:26" x14ac:dyDescent="0.25">
      <c r="B10075"/>
      <c r="Z10075"/>
    </row>
    <row r="10076" spans="2:26" x14ac:dyDescent="0.25">
      <c r="B10076"/>
      <c r="Z10076"/>
    </row>
    <row r="10077" spans="2:26" x14ac:dyDescent="0.25">
      <c r="B10077"/>
      <c r="Z10077"/>
    </row>
    <row r="10078" spans="2:26" x14ac:dyDescent="0.25">
      <c r="B10078"/>
      <c r="Z10078"/>
    </row>
    <row r="10079" spans="2:26" x14ac:dyDescent="0.25">
      <c r="B10079"/>
      <c r="Z10079"/>
    </row>
    <row r="10080" spans="2:26" x14ac:dyDescent="0.25">
      <c r="B10080"/>
      <c r="Z10080"/>
    </row>
    <row r="10081" spans="2:26" x14ac:dyDescent="0.25">
      <c r="B10081"/>
      <c r="Z10081"/>
    </row>
    <row r="10082" spans="2:26" x14ac:dyDescent="0.25">
      <c r="B10082"/>
      <c r="Z10082"/>
    </row>
    <row r="10083" spans="2:26" x14ac:dyDescent="0.25">
      <c r="B10083"/>
      <c r="Z10083"/>
    </row>
    <row r="10084" spans="2:26" x14ac:dyDescent="0.25">
      <c r="B10084"/>
      <c r="Z10084"/>
    </row>
    <row r="10085" spans="2:26" x14ac:dyDescent="0.25">
      <c r="B10085"/>
      <c r="Z10085"/>
    </row>
    <row r="10086" spans="2:26" x14ac:dyDescent="0.25">
      <c r="B10086"/>
      <c r="Z10086"/>
    </row>
    <row r="10087" spans="2:26" x14ac:dyDescent="0.25">
      <c r="B10087"/>
      <c r="Z10087"/>
    </row>
    <row r="10088" spans="2:26" x14ac:dyDescent="0.25">
      <c r="B10088"/>
      <c r="Z10088"/>
    </row>
    <row r="10089" spans="2:26" x14ac:dyDescent="0.25">
      <c r="B10089"/>
      <c r="Z10089"/>
    </row>
    <row r="10090" spans="2:26" x14ac:dyDescent="0.25">
      <c r="B10090"/>
      <c r="Z10090"/>
    </row>
    <row r="10091" spans="2:26" x14ac:dyDescent="0.25">
      <c r="B10091"/>
      <c r="Z10091"/>
    </row>
    <row r="10092" spans="2:26" x14ac:dyDescent="0.25">
      <c r="B10092"/>
      <c r="Z10092"/>
    </row>
    <row r="10093" spans="2:26" x14ac:dyDescent="0.25">
      <c r="B10093"/>
      <c r="Z10093"/>
    </row>
    <row r="10094" spans="2:26" x14ac:dyDescent="0.25">
      <c r="B10094"/>
      <c r="Z10094"/>
    </row>
    <row r="10095" spans="2:26" x14ac:dyDescent="0.25">
      <c r="B10095"/>
      <c r="Z10095"/>
    </row>
    <row r="10096" spans="2:26" x14ac:dyDescent="0.25">
      <c r="B10096"/>
      <c r="Z10096"/>
    </row>
    <row r="10097" spans="2:26" x14ac:dyDescent="0.25">
      <c r="B10097"/>
      <c r="Z10097"/>
    </row>
    <row r="10098" spans="2:26" x14ac:dyDescent="0.25">
      <c r="B10098"/>
      <c r="Z10098"/>
    </row>
    <row r="10099" spans="2:26" x14ac:dyDescent="0.25">
      <c r="B10099"/>
      <c r="Z10099"/>
    </row>
    <row r="10100" spans="2:26" x14ac:dyDescent="0.25">
      <c r="B10100"/>
      <c r="Z10100"/>
    </row>
    <row r="10101" spans="2:26" x14ac:dyDescent="0.25">
      <c r="B10101"/>
      <c r="Z10101"/>
    </row>
    <row r="10102" spans="2:26" x14ac:dyDescent="0.25">
      <c r="B10102"/>
      <c r="Z10102"/>
    </row>
    <row r="10103" spans="2:26" x14ac:dyDescent="0.25">
      <c r="B10103"/>
      <c r="Z10103"/>
    </row>
    <row r="10104" spans="2:26" x14ac:dyDescent="0.25">
      <c r="B10104"/>
      <c r="Z10104"/>
    </row>
    <row r="10105" spans="2:26" x14ac:dyDescent="0.25">
      <c r="B10105"/>
      <c r="Z10105"/>
    </row>
    <row r="10106" spans="2:26" x14ac:dyDescent="0.25">
      <c r="B10106"/>
      <c r="Z10106"/>
    </row>
    <row r="10107" spans="2:26" x14ac:dyDescent="0.25">
      <c r="B10107"/>
      <c r="Z10107"/>
    </row>
    <row r="10108" spans="2:26" x14ac:dyDescent="0.25">
      <c r="B10108"/>
      <c r="Z10108"/>
    </row>
    <row r="10109" spans="2:26" x14ac:dyDescent="0.25">
      <c r="B10109"/>
      <c r="Z10109"/>
    </row>
    <row r="10110" spans="2:26" x14ac:dyDescent="0.25">
      <c r="B10110"/>
      <c r="Z10110"/>
    </row>
    <row r="10111" spans="2:26" x14ac:dyDescent="0.25">
      <c r="B10111"/>
      <c r="Z10111"/>
    </row>
    <row r="10112" spans="2:26" x14ac:dyDescent="0.25">
      <c r="B10112"/>
      <c r="Z10112"/>
    </row>
    <row r="10113" spans="2:26" x14ac:dyDescent="0.25">
      <c r="B10113"/>
      <c r="Z10113"/>
    </row>
    <row r="10114" spans="2:26" x14ac:dyDescent="0.25">
      <c r="B10114"/>
      <c r="Z10114"/>
    </row>
    <row r="10115" spans="2:26" x14ac:dyDescent="0.25">
      <c r="B10115"/>
      <c r="Z10115"/>
    </row>
    <row r="10116" spans="2:26" x14ac:dyDescent="0.25">
      <c r="B10116"/>
      <c r="Z10116"/>
    </row>
    <row r="10117" spans="2:26" x14ac:dyDescent="0.25">
      <c r="B10117"/>
      <c r="Z10117"/>
    </row>
    <row r="10118" spans="2:26" x14ac:dyDescent="0.25">
      <c r="B10118"/>
      <c r="Z10118"/>
    </row>
    <row r="10119" spans="2:26" x14ac:dyDescent="0.25">
      <c r="B10119"/>
      <c r="Z10119"/>
    </row>
    <row r="10120" spans="2:26" x14ac:dyDescent="0.25">
      <c r="B10120"/>
      <c r="Z10120"/>
    </row>
    <row r="10121" spans="2:26" x14ac:dyDescent="0.25">
      <c r="B10121"/>
      <c r="Z10121"/>
    </row>
    <row r="10122" spans="2:26" x14ac:dyDescent="0.25">
      <c r="B10122"/>
      <c r="Z10122"/>
    </row>
    <row r="10123" spans="2:26" x14ac:dyDescent="0.25">
      <c r="B10123"/>
      <c r="Z10123"/>
    </row>
    <row r="10124" spans="2:26" x14ac:dyDescent="0.25">
      <c r="B10124"/>
      <c r="Z10124"/>
    </row>
    <row r="10125" spans="2:26" x14ac:dyDescent="0.25">
      <c r="B10125"/>
      <c r="Z10125"/>
    </row>
    <row r="10126" spans="2:26" x14ac:dyDescent="0.25">
      <c r="B10126"/>
      <c r="Z10126"/>
    </row>
    <row r="10127" spans="2:26" x14ac:dyDescent="0.25">
      <c r="B10127"/>
      <c r="Z10127"/>
    </row>
    <row r="10128" spans="2:26" x14ac:dyDescent="0.25">
      <c r="B10128"/>
      <c r="Z10128"/>
    </row>
    <row r="10129" spans="2:26" x14ac:dyDescent="0.25">
      <c r="B10129"/>
      <c r="Z10129"/>
    </row>
    <row r="10130" spans="2:26" x14ac:dyDescent="0.25">
      <c r="B10130"/>
      <c r="Z10130"/>
    </row>
    <row r="10131" spans="2:26" x14ac:dyDescent="0.25">
      <c r="B10131"/>
      <c r="Z10131"/>
    </row>
    <row r="10132" spans="2:26" x14ac:dyDescent="0.25">
      <c r="B10132"/>
      <c r="Z10132"/>
    </row>
    <row r="10133" spans="2:26" x14ac:dyDescent="0.25">
      <c r="B10133"/>
      <c r="Z10133"/>
    </row>
    <row r="10134" spans="2:26" x14ac:dyDescent="0.25">
      <c r="B10134"/>
      <c r="Z10134"/>
    </row>
    <row r="10135" spans="2:26" x14ac:dyDescent="0.25">
      <c r="B10135"/>
      <c r="Z10135"/>
    </row>
    <row r="10136" spans="2:26" x14ac:dyDescent="0.25">
      <c r="B10136"/>
      <c r="Z10136"/>
    </row>
    <row r="10137" spans="2:26" x14ac:dyDescent="0.25">
      <c r="B10137"/>
      <c r="Z10137"/>
    </row>
    <row r="10138" spans="2:26" x14ac:dyDescent="0.25">
      <c r="B10138"/>
      <c r="Z10138"/>
    </row>
    <row r="10139" spans="2:26" x14ac:dyDescent="0.25">
      <c r="B10139"/>
      <c r="Z10139"/>
    </row>
    <row r="10140" spans="2:26" x14ac:dyDescent="0.25">
      <c r="B10140"/>
      <c r="Z10140"/>
    </row>
    <row r="10141" spans="2:26" x14ac:dyDescent="0.25">
      <c r="B10141"/>
      <c r="Z10141"/>
    </row>
    <row r="10142" spans="2:26" x14ac:dyDescent="0.25">
      <c r="B10142"/>
      <c r="Z10142"/>
    </row>
    <row r="10143" spans="2:26" x14ac:dyDescent="0.25">
      <c r="B10143"/>
      <c r="Z10143"/>
    </row>
    <row r="10144" spans="2:26" x14ac:dyDescent="0.25">
      <c r="B10144"/>
      <c r="Z10144"/>
    </row>
    <row r="10145" spans="1:33" x14ac:dyDescent="0.25">
      <c r="B10145"/>
      <c r="Z10145"/>
    </row>
    <row r="10146" spans="1:33" x14ac:dyDescent="0.25">
      <c r="B10146"/>
      <c r="Z10146"/>
    </row>
    <row r="10147" spans="1:33" x14ac:dyDescent="0.25">
      <c r="B10147"/>
      <c r="Z10147"/>
    </row>
    <row r="10148" spans="1:33" x14ac:dyDescent="0.25">
      <c r="B10148"/>
      <c r="Z10148"/>
    </row>
    <row r="10149" spans="1:33" x14ac:dyDescent="0.25">
      <c r="B10149"/>
      <c r="Z10149"/>
    </row>
    <row r="10150" spans="1:33" x14ac:dyDescent="0.25">
      <c r="B10150"/>
      <c r="Z10150"/>
    </row>
    <row r="10151" spans="1:33" x14ac:dyDescent="0.25">
      <c r="B10151"/>
      <c r="Z10151"/>
    </row>
    <row r="10152" spans="1:33" x14ac:dyDescent="0.25">
      <c r="B10152"/>
      <c r="K10152" s="6"/>
      <c r="Z10152"/>
    </row>
    <row r="10153" spans="1:33" x14ac:dyDescent="0.25">
      <c r="B10153"/>
      <c r="Z10153"/>
    </row>
    <row r="10154" spans="1:33" x14ac:dyDescent="0.25">
      <c r="B10154"/>
      <c r="Z10154"/>
    </row>
    <row r="10155" spans="1:33" x14ac:dyDescent="0.25">
      <c r="B10155"/>
      <c r="Z10155"/>
    </row>
    <row r="10156" spans="1:33" x14ac:dyDescent="0.25">
      <c r="A10156" s="6"/>
      <c r="B10156" s="6"/>
      <c r="C10156" s="6"/>
      <c r="D10156" s="6"/>
      <c r="E10156" s="6"/>
      <c r="F10156" s="6"/>
      <c r="G10156" s="6"/>
      <c r="H10156" s="6"/>
      <c r="I10156" s="6"/>
      <c r="J10156" s="6"/>
      <c r="K10156" s="6"/>
      <c r="L10156" s="6"/>
      <c r="M10156" s="6"/>
      <c r="N10156" s="6"/>
      <c r="O10156" s="6"/>
      <c r="P10156" s="6"/>
      <c r="Q10156" s="6"/>
      <c r="R10156" s="6"/>
      <c r="S10156" s="6"/>
      <c r="T10156" s="6"/>
      <c r="U10156" s="6"/>
      <c r="V10156" s="6"/>
      <c r="W10156" s="6"/>
      <c r="X10156" s="6"/>
      <c r="Y10156" s="6"/>
      <c r="Z10156" s="6"/>
      <c r="AA10156" s="6"/>
      <c r="AB10156" s="6"/>
      <c r="AC10156" s="6"/>
      <c r="AD10156" s="6"/>
      <c r="AE10156" s="6"/>
      <c r="AF10156" s="6"/>
      <c r="AG10156" s="6"/>
    </row>
    <row r="10157" spans="1:33" x14ac:dyDescent="0.25">
      <c r="B10157"/>
      <c r="Z10157"/>
    </row>
    <row r="10158" spans="1:33" x14ac:dyDescent="0.25">
      <c r="B10158"/>
      <c r="Z10158"/>
    </row>
    <row r="10159" spans="1:33" x14ac:dyDescent="0.25">
      <c r="B10159"/>
      <c r="Z10159"/>
    </row>
    <row r="10160" spans="1:33" x14ac:dyDescent="0.25">
      <c r="B10160"/>
      <c r="Z10160"/>
    </row>
    <row r="10161" spans="2:26" x14ac:dyDescent="0.25">
      <c r="B10161"/>
      <c r="Z10161"/>
    </row>
    <row r="10162" spans="2:26" x14ac:dyDescent="0.25">
      <c r="B10162"/>
      <c r="Z10162"/>
    </row>
    <row r="10163" spans="2:26" x14ac:dyDescent="0.25">
      <c r="B10163"/>
      <c r="Z10163"/>
    </row>
    <row r="10164" spans="2:26" x14ac:dyDescent="0.25">
      <c r="B10164"/>
      <c r="Z10164"/>
    </row>
    <row r="10165" spans="2:26" x14ac:dyDescent="0.25">
      <c r="B10165"/>
      <c r="Z10165"/>
    </row>
    <row r="10166" spans="2:26" x14ac:dyDescent="0.25">
      <c r="B10166"/>
      <c r="Z10166"/>
    </row>
    <row r="10167" spans="2:26" x14ac:dyDescent="0.25">
      <c r="B10167"/>
      <c r="Z10167"/>
    </row>
    <row r="10168" spans="2:26" x14ac:dyDescent="0.25">
      <c r="B10168"/>
      <c r="Z10168"/>
    </row>
    <row r="10169" spans="2:26" x14ac:dyDescent="0.25">
      <c r="B10169"/>
      <c r="Z10169"/>
    </row>
    <row r="10170" spans="2:26" x14ac:dyDescent="0.25">
      <c r="B10170"/>
      <c r="Z10170"/>
    </row>
    <row r="10171" spans="2:26" x14ac:dyDescent="0.25">
      <c r="B10171"/>
      <c r="Z10171"/>
    </row>
    <row r="10172" spans="2:26" x14ac:dyDescent="0.25">
      <c r="B10172"/>
      <c r="Z10172"/>
    </row>
    <row r="10173" spans="2:26" x14ac:dyDescent="0.25">
      <c r="B10173"/>
      <c r="Z10173"/>
    </row>
    <row r="10174" spans="2:26" x14ac:dyDescent="0.25">
      <c r="B10174"/>
      <c r="Z10174"/>
    </row>
    <row r="10175" spans="2:26" x14ac:dyDescent="0.25">
      <c r="B10175"/>
      <c r="Z10175"/>
    </row>
    <row r="10176" spans="2:26" x14ac:dyDescent="0.25">
      <c r="B10176"/>
      <c r="Z10176"/>
    </row>
    <row r="10177" spans="2:26" x14ac:dyDescent="0.25">
      <c r="B10177"/>
      <c r="Z10177"/>
    </row>
    <row r="10178" spans="2:26" x14ac:dyDescent="0.25">
      <c r="B10178"/>
      <c r="Z10178"/>
    </row>
    <row r="10179" spans="2:26" x14ac:dyDescent="0.25">
      <c r="B10179"/>
      <c r="Z10179"/>
    </row>
    <row r="10180" spans="2:26" x14ac:dyDescent="0.25">
      <c r="B10180"/>
      <c r="Z10180"/>
    </row>
    <row r="10181" spans="2:26" x14ac:dyDescent="0.25">
      <c r="B10181"/>
      <c r="Z10181"/>
    </row>
    <row r="10182" spans="2:26" x14ac:dyDescent="0.25">
      <c r="B10182"/>
      <c r="Z10182"/>
    </row>
    <row r="10183" spans="2:26" x14ac:dyDescent="0.25">
      <c r="B10183"/>
      <c r="Z10183"/>
    </row>
    <row r="10184" spans="2:26" x14ac:dyDescent="0.25">
      <c r="B10184"/>
      <c r="Z10184"/>
    </row>
    <row r="10185" spans="2:26" x14ac:dyDescent="0.25">
      <c r="B10185"/>
      <c r="Z10185"/>
    </row>
    <row r="10186" spans="2:26" x14ac:dyDescent="0.25">
      <c r="B10186"/>
      <c r="Z10186"/>
    </row>
    <row r="10187" spans="2:26" x14ac:dyDescent="0.25">
      <c r="B10187"/>
      <c r="Z10187"/>
    </row>
    <row r="10188" spans="2:26" x14ac:dyDescent="0.25">
      <c r="B10188"/>
      <c r="Z10188"/>
    </row>
    <row r="10189" spans="2:26" x14ac:dyDescent="0.25">
      <c r="B10189"/>
      <c r="Z10189"/>
    </row>
    <row r="10190" spans="2:26" x14ac:dyDescent="0.25">
      <c r="B10190"/>
      <c r="Z10190"/>
    </row>
    <row r="10191" spans="2:26" x14ac:dyDescent="0.25">
      <c r="B10191"/>
      <c r="Z10191"/>
    </row>
    <row r="10192" spans="2:26" x14ac:dyDescent="0.25">
      <c r="B10192"/>
      <c r="Z10192"/>
    </row>
    <row r="10193" spans="2:26" x14ac:dyDescent="0.25">
      <c r="B10193"/>
      <c r="Z10193"/>
    </row>
    <row r="10194" spans="2:26" x14ac:dyDescent="0.25">
      <c r="B10194"/>
      <c r="Z10194"/>
    </row>
    <row r="10195" spans="2:26" x14ac:dyDescent="0.25">
      <c r="B10195"/>
      <c r="Z10195"/>
    </row>
    <row r="10196" spans="2:26" x14ac:dyDescent="0.25">
      <c r="B10196"/>
      <c r="Z10196"/>
    </row>
    <row r="10197" spans="2:26" x14ac:dyDescent="0.25">
      <c r="B10197"/>
      <c r="Z10197"/>
    </row>
    <row r="10198" spans="2:26" x14ac:dyDescent="0.25">
      <c r="B10198"/>
      <c r="Z10198"/>
    </row>
    <row r="10199" spans="2:26" x14ac:dyDescent="0.25">
      <c r="B10199"/>
      <c r="Z10199"/>
    </row>
    <row r="10200" spans="2:26" x14ac:dyDescent="0.25">
      <c r="B10200"/>
      <c r="Z10200"/>
    </row>
    <row r="10201" spans="2:26" x14ac:dyDescent="0.25">
      <c r="B10201"/>
      <c r="Z10201"/>
    </row>
    <row r="10202" spans="2:26" x14ac:dyDescent="0.25">
      <c r="B10202"/>
      <c r="Z10202"/>
    </row>
    <row r="10203" spans="2:26" x14ac:dyDescent="0.25">
      <c r="B10203"/>
      <c r="Z10203"/>
    </row>
    <row r="10204" spans="2:26" x14ac:dyDescent="0.25">
      <c r="B10204"/>
      <c r="Z10204"/>
    </row>
    <row r="10205" spans="2:26" x14ac:dyDescent="0.25">
      <c r="B10205"/>
      <c r="Z10205"/>
    </row>
    <row r="10206" spans="2:26" x14ac:dyDescent="0.25">
      <c r="B10206"/>
      <c r="Z10206"/>
    </row>
    <row r="10207" spans="2:26" x14ac:dyDescent="0.25">
      <c r="B10207"/>
      <c r="Z10207"/>
    </row>
    <row r="10208" spans="2:26" x14ac:dyDescent="0.25">
      <c r="B10208"/>
      <c r="Z10208"/>
    </row>
    <row r="10209" spans="2:26" x14ac:dyDescent="0.25">
      <c r="B10209"/>
      <c r="Z10209"/>
    </row>
    <row r="10210" spans="2:26" x14ac:dyDescent="0.25">
      <c r="B10210"/>
      <c r="Z10210"/>
    </row>
    <row r="10211" spans="2:26" x14ac:dyDescent="0.25">
      <c r="B10211"/>
      <c r="Z10211"/>
    </row>
    <row r="10212" spans="2:26" x14ac:dyDescent="0.25">
      <c r="B10212"/>
      <c r="Z10212"/>
    </row>
    <row r="10213" spans="2:26" x14ac:dyDescent="0.25">
      <c r="B10213"/>
      <c r="Z10213"/>
    </row>
    <row r="10214" spans="2:26" x14ac:dyDescent="0.25">
      <c r="B10214"/>
      <c r="Z10214"/>
    </row>
    <row r="10215" spans="2:26" x14ac:dyDescent="0.25">
      <c r="B10215"/>
      <c r="Z10215"/>
    </row>
    <row r="10216" spans="2:26" x14ac:dyDescent="0.25">
      <c r="B10216"/>
      <c r="Z10216"/>
    </row>
    <row r="10217" spans="2:26" x14ac:dyDescent="0.25">
      <c r="B10217"/>
      <c r="Z10217"/>
    </row>
    <row r="10218" spans="2:26" x14ac:dyDescent="0.25">
      <c r="B10218"/>
      <c r="Z10218"/>
    </row>
    <row r="10219" spans="2:26" x14ac:dyDescent="0.25">
      <c r="B10219"/>
      <c r="Z10219"/>
    </row>
    <row r="10220" spans="2:26" x14ac:dyDescent="0.25">
      <c r="B10220"/>
      <c r="Z10220"/>
    </row>
    <row r="10221" spans="2:26" x14ac:dyDescent="0.25">
      <c r="B10221"/>
      <c r="Z10221"/>
    </row>
    <row r="10222" spans="2:26" x14ac:dyDescent="0.25">
      <c r="B10222"/>
      <c r="Z10222"/>
    </row>
    <row r="10223" spans="2:26" x14ac:dyDescent="0.25">
      <c r="B10223"/>
      <c r="Z10223"/>
    </row>
    <row r="10224" spans="2:26" x14ac:dyDescent="0.25">
      <c r="B10224"/>
      <c r="Z10224"/>
    </row>
    <row r="10225" spans="2:26" x14ac:dyDescent="0.25">
      <c r="B10225"/>
      <c r="Z10225"/>
    </row>
    <row r="10226" spans="2:26" x14ac:dyDescent="0.25">
      <c r="B10226"/>
      <c r="Z10226"/>
    </row>
    <row r="10227" spans="2:26" x14ac:dyDescent="0.25">
      <c r="B10227"/>
      <c r="Z10227"/>
    </row>
    <row r="10228" spans="2:26" x14ac:dyDescent="0.25">
      <c r="B10228"/>
      <c r="Z10228"/>
    </row>
    <row r="10229" spans="2:26" x14ac:dyDescent="0.25">
      <c r="B10229"/>
      <c r="Z10229"/>
    </row>
    <row r="10230" spans="2:26" x14ac:dyDescent="0.25">
      <c r="B10230"/>
      <c r="Z10230"/>
    </row>
    <row r="10231" spans="2:26" x14ac:dyDescent="0.25">
      <c r="B10231"/>
      <c r="Z10231"/>
    </row>
    <row r="10232" spans="2:26" x14ac:dyDescent="0.25">
      <c r="B10232"/>
      <c r="Z10232"/>
    </row>
    <row r="10233" spans="2:26" x14ac:dyDescent="0.25">
      <c r="B10233"/>
      <c r="Z10233"/>
    </row>
    <row r="10234" spans="2:26" x14ac:dyDescent="0.25">
      <c r="B10234"/>
      <c r="Z10234"/>
    </row>
    <row r="10235" spans="2:26" x14ac:dyDescent="0.25">
      <c r="B10235"/>
      <c r="Z10235"/>
    </row>
    <row r="10236" spans="2:26" x14ac:dyDescent="0.25">
      <c r="B10236"/>
      <c r="Z10236"/>
    </row>
    <row r="10237" spans="2:26" x14ac:dyDescent="0.25">
      <c r="B10237"/>
      <c r="Z10237"/>
    </row>
    <row r="10238" spans="2:26" x14ac:dyDescent="0.25">
      <c r="B10238"/>
      <c r="Z10238"/>
    </row>
    <row r="10239" spans="2:26" x14ac:dyDescent="0.25">
      <c r="B10239"/>
      <c r="Z10239"/>
    </row>
    <row r="10240" spans="2:26" x14ac:dyDescent="0.25">
      <c r="B10240"/>
      <c r="Z10240"/>
    </row>
    <row r="10241" spans="2:26" x14ac:dyDescent="0.25">
      <c r="B10241"/>
      <c r="Z10241"/>
    </row>
    <row r="10242" spans="2:26" x14ac:dyDescent="0.25">
      <c r="B10242"/>
      <c r="Z10242"/>
    </row>
    <row r="10243" spans="2:26" x14ac:dyDescent="0.25">
      <c r="B10243"/>
      <c r="Z10243"/>
    </row>
    <row r="10244" spans="2:26" x14ac:dyDescent="0.25">
      <c r="B10244"/>
      <c r="Z10244"/>
    </row>
    <row r="10245" spans="2:26" x14ac:dyDescent="0.25">
      <c r="B10245"/>
      <c r="Z10245"/>
    </row>
    <row r="10246" spans="2:26" x14ac:dyDescent="0.25">
      <c r="B10246"/>
      <c r="Z10246"/>
    </row>
    <row r="10247" spans="2:26" x14ac:dyDescent="0.25">
      <c r="B10247"/>
      <c r="Z10247"/>
    </row>
    <row r="10248" spans="2:26" x14ac:dyDescent="0.25">
      <c r="B10248"/>
      <c r="Z10248"/>
    </row>
    <row r="10249" spans="2:26" x14ac:dyDescent="0.25">
      <c r="B10249"/>
      <c r="Z10249"/>
    </row>
    <row r="10250" spans="2:26" x14ac:dyDescent="0.25">
      <c r="B10250"/>
      <c r="Z10250"/>
    </row>
    <row r="10251" spans="2:26" x14ac:dyDescent="0.25">
      <c r="B10251"/>
      <c r="Z10251"/>
    </row>
    <row r="10252" spans="2:26" x14ac:dyDescent="0.25">
      <c r="B10252"/>
      <c r="Z10252"/>
    </row>
    <row r="10253" spans="2:26" x14ac:dyDescent="0.25">
      <c r="B10253"/>
      <c r="Z10253"/>
    </row>
    <row r="10254" spans="2:26" x14ac:dyDescent="0.25">
      <c r="B10254"/>
      <c r="K10254" s="6"/>
      <c r="Z10254"/>
    </row>
    <row r="10255" spans="2:26" x14ac:dyDescent="0.25">
      <c r="B10255"/>
      <c r="Z10255"/>
    </row>
    <row r="10256" spans="2:26" x14ac:dyDescent="0.25">
      <c r="B10256"/>
      <c r="Z10256"/>
    </row>
    <row r="10257" spans="1:33" x14ac:dyDescent="0.25">
      <c r="B10257"/>
      <c r="Z10257"/>
    </row>
    <row r="10258" spans="1:33" x14ac:dyDescent="0.25">
      <c r="B10258"/>
      <c r="Z10258"/>
    </row>
    <row r="10259" spans="1:33" x14ac:dyDescent="0.25">
      <c r="A10259" s="6"/>
      <c r="B10259" s="6"/>
      <c r="C10259" s="6"/>
      <c r="D10259" s="6"/>
      <c r="E10259" s="6"/>
      <c r="F10259" s="6"/>
      <c r="G10259" s="6"/>
      <c r="H10259" s="6"/>
      <c r="I10259" s="6"/>
      <c r="J10259" s="6"/>
      <c r="K10259" s="6"/>
      <c r="L10259" s="6"/>
      <c r="M10259" s="6"/>
      <c r="N10259" s="6"/>
      <c r="O10259" s="6"/>
      <c r="P10259" s="6"/>
      <c r="Q10259" s="6"/>
      <c r="R10259" s="6"/>
      <c r="S10259" s="6"/>
      <c r="T10259" s="6"/>
      <c r="U10259" s="6"/>
      <c r="V10259" s="6"/>
      <c r="W10259" s="6"/>
      <c r="X10259" s="6"/>
      <c r="Y10259" s="6"/>
      <c r="Z10259" s="6"/>
      <c r="AA10259" s="6"/>
      <c r="AB10259" s="6"/>
      <c r="AC10259" s="6"/>
      <c r="AD10259" s="6"/>
      <c r="AE10259" s="6"/>
      <c r="AF10259" s="6"/>
      <c r="AG10259" s="6"/>
    </row>
    <row r="10260" spans="1:33" x14ac:dyDescent="0.25">
      <c r="B10260"/>
      <c r="Z10260"/>
    </row>
    <row r="10261" spans="1:33" x14ac:dyDescent="0.25">
      <c r="B10261"/>
      <c r="Z10261"/>
    </row>
    <row r="10262" spans="1:33" x14ac:dyDescent="0.25">
      <c r="B10262"/>
      <c r="Z10262"/>
    </row>
    <row r="10263" spans="1:33" x14ac:dyDescent="0.25">
      <c r="B10263"/>
      <c r="Z10263"/>
    </row>
    <row r="10264" spans="1:33" x14ac:dyDescent="0.25">
      <c r="B10264"/>
      <c r="Z10264"/>
    </row>
    <row r="10265" spans="1:33" x14ac:dyDescent="0.25">
      <c r="B10265"/>
      <c r="Z10265"/>
    </row>
    <row r="10266" spans="1:33" x14ac:dyDescent="0.25">
      <c r="B10266"/>
      <c r="Z10266"/>
    </row>
    <row r="10267" spans="1:33" x14ac:dyDescent="0.25">
      <c r="B10267"/>
      <c r="Z10267"/>
    </row>
    <row r="10268" spans="1:33" x14ac:dyDescent="0.25">
      <c r="B10268"/>
      <c r="Z10268"/>
    </row>
    <row r="10269" spans="1:33" x14ac:dyDescent="0.25">
      <c r="B10269"/>
      <c r="Z10269"/>
    </row>
    <row r="10270" spans="1:33" x14ac:dyDescent="0.25">
      <c r="B10270"/>
      <c r="Z10270"/>
    </row>
    <row r="10271" spans="1:33" x14ac:dyDescent="0.25">
      <c r="B10271"/>
      <c r="Z10271"/>
    </row>
    <row r="10272" spans="1:33" x14ac:dyDescent="0.25">
      <c r="B10272"/>
      <c r="Z10272"/>
    </row>
    <row r="10273" spans="2:26" x14ac:dyDescent="0.25">
      <c r="B10273"/>
      <c r="Z10273"/>
    </row>
    <row r="10274" spans="2:26" x14ac:dyDescent="0.25">
      <c r="B10274"/>
      <c r="Z10274"/>
    </row>
    <row r="10275" spans="2:26" x14ac:dyDescent="0.25">
      <c r="B10275"/>
      <c r="Z10275"/>
    </row>
    <row r="10276" spans="2:26" x14ac:dyDescent="0.25">
      <c r="B10276"/>
      <c r="Z10276"/>
    </row>
    <row r="10277" spans="2:26" x14ac:dyDescent="0.25">
      <c r="B10277"/>
      <c r="Z10277"/>
    </row>
    <row r="10278" spans="2:26" x14ac:dyDescent="0.25">
      <c r="B10278"/>
      <c r="Z10278"/>
    </row>
    <row r="10279" spans="2:26" x14ac:dyDescent="0.25">
      <c r="B10279"/>
      <c r="Z10279"/>
    </row>
    <row r="10280" spans="2:26" x14ac:dyDescent="0.25">
      <c r="B10280"/>
      <c r="Z10280"/>
    </row>
    <row r="10281" spans="2:26" x14ac:dyDescent="0.25">
      <c r="B10281"/>
      <c r="Z10281"/>
    </row>
    <row r="10282" spans="2:26" x14ac:dyDescent="0.25">
      <c r="B10282"/>
      <c r="Z10282"/>
    </row>
    <row r="10283" spans="2:26" x14ac:dyDescent="0.25">
      <c r="B10283"/>
      <c r="Z10283"/>
    </row>
    <row r="10284" spans="2:26" x14ac:dyDescent="0.25">
      <c r="B10284"/>
      <c r="Z10284"/>
    </row>
    <row r="10285" spans="2:26" x14ac:dyDescent="0.25">
      <c r="B10285"/>
      <c r="Z10285"/>
    </row>
    <row r="10286" spans="2:26" x14ac:dyDescent="0.25">
      <c r="B10286"/>
      <c r="Z10286"/>
    </row>
    <row r="10287" spans="2:26" x14ac:dyDescent="0.25">
      <c r="B10287"/>
      <c r="Z10287"/>
    </row>
    <row r="10288" spans="2:26" x14ac:dyDescent="0.25">
      <c r="B10288"/>
      <c r="Z10288"/>
    </row>
    <row r="10289" spans="2:26" x14ac:dyDescent="0.25">
      <c r="B10289"/>
      <c r="Z10289"/>
    </row>
    <row r="10290" spans="2:26" x14ac:dyDescent="0.25">
      <c r="B10290"/>
      <c r="Z10290"/>
    </row>
    <row r="10291" spans="2:26" x14ac:dyDescent="0.25">
      <c r="B10291"/>
      <c r="Z10291"/>
    </row>
    <row r="10292" spans="2:26" x14ac:dyDescent="0.25">
      <c r="B10292"/>
      <c r="Z10292"/>
    </row>
    <row r="10293" spans="2:26" x14ac:dyDescent="0.25">
      <c r="B10293"/>
      <c r="Z10293"/>
    </row>
    <row r="10294" spans="2:26" x14ac:dyDescent="0.25">
      <c r="B10294"/>
      <c r="Z10294"/>
    </row>
    <row r="10295" spans="2:26" x14ac:dyDescent="0.25">
      <c r="B10295"/>
      <c r="Z10295"/>
    </row>
    <row r="10296" spans="2:26" x14ac:dyDescent="0.25">
      <c r="B10296"/>
      <c r="Z10296"/>
    </row>
    <row r="10297" spans="2:26" x14ac:dyDescent="0.25">
      <c r="B10297"/>
      <c r="Z10297"/>
    </row>
    <row r="10298" spans="2:26" x14ac:dyDescent="0.25">
      <c r="B10298"/>
      <c r="Z10298"/>
    </row>
    <row r="10299" spans="2:26" x14ac:dyDescent="0.25">
      <c r="B10299"/>
      <c r="Z10299"/>
    </row>
    <row r="10300" spans="2:26" x14ac:dyDescent="0.25">
      <c r="B10300"/>
      <c r="Z10300"/>
    </row>
    <row r="10301" spans="2:26" x14ac:dyDescent="0.25">
      <c r="B10301"/>
      <c r="Z10301"/>
    </row>
    <row r="10302" spans="2:26" x14ac:dyDescent="0.25">
      <c r="B10302"/>
      <c r="Z10302"/>
    </row>
    <row r="10303" spans="2:26" x14ac:dyDescent="0.25">
      <c r="B10303"/>
      <c r="Z10303"/>
    </row>
    <row r="10304" spans="2:26" x14ac:dyDescent="0.25">
      <c r="B10304"/>
      <c r="Z10304"/>
    </row>
    <row r="10305" spans="2:26" x14ac:dyDescent="0.25">
      <c r="B10305"/>
      <c r="Z10305"/>
    </row>
    <row r="10306" spans="2:26" x14ac:dyDescent="0.25">
      <c r="B10306"/>
      <c r="Z10306"/>
    </row>
    <row r="10307" spans="2:26" x14ac:dyDescent="0.25">
      <c r="B10307"/>
      <c r="Z10307"/>
    </row>
    <row r="10308" spans="2:26" x14ac:dyDescent="0.25">
      <c r="B10308"/>
      <c r="Z10308"/>
    </row>
    <row r="10309" spans="2:26" x14ac:dyDescent="0.25">
      <c r="B10309"/>
      <c r="Z10309"/>
    </row>
    <row r="10310" spans="2:26" x14ac:dyDescent="0.25">
      <c r="B10310"/>
      <c r="Z10310"/>
    </row>
    <row r="10311" spans="2:26" x14ac:dyDescent="0.25">
      <c r="B10311"/>
      <c r="Z10311"/>
    </row>
    <row r="10312" spans="2:26" x14ac:dyDescent="0.25">
      <c r="B10312"/>
      <c r="Z10312"/>
    </row>
    <row r="10313" spans="2:26" x14ac:dyDescent="0.25">
      <c r="B10313"/>
      <c r="Z10313"/>
    </row>
    <row r="10314" spans="2:26" x14ac:dyDescent="0.25">
      <c r="B10314"/>
      <c r="Z10314"/>
    </row>
    <row r="10315" spans="2:26" x14ac:dyDescent="0.25">
      <c r="B10315"/>
      <c r="Z10315"/>
    </row>
    <row r="10316" spans="2:26" x14ac:dyDescent="0.25">
      <c r="B10316"/>
      <c r="Z10316"/>
    </row>
    <row r="10317" spans="2:26" x14ac:dyDescent="0.25">
      <c r="B10317"/>
      <c r="Z10317"/>
    </row>
    <row r="10318" spans="2:26" x14ac:dyDescent="0.25">
      <c r="B10318"/>
      <c r="Z10318"/>
    </row>
    <row r="10319" spans="2:26" x14ac:dyDescent="0.25">
      <c r="B10319"/>
      <c r="Z10319"/>
    </row>
    <row r="10320" spans="2:26" x14ac:dyDescent="0.25">
      <c r="B10320"/>
      <c r="Z10320"/>
    </row>
    <row r="10321" spans="2:26" x14ac:dyDescent="0.25">
      <c r="B10321"/>
      <c r="Z10321"/>
    </row>
    <row r="10322" spans="2:26" x14ac:dyDescent="0.25">
      <c r="B10322"/>
      <c r="Z10322"/>
    </row>
    <row r="10323" spans="2:26" x14ac:dyDescent="0.25">
      <c r="B10323"/>
      <c r="Z10323"/>
    </row>
    <row r="10324" spans="2:26" x14ac:dyDescent="0.25">
      <c r="B10324"/>
      <c r="Z10324"/>
    </row>
    <row r="10325" spans="2:26" x14ac:dyDescent="0.25">
      <c r="B10325"/>
      <c r="Z10325"/>
    </row>
    <row r="10326" spans="2:26" x14ac:dyDescent="0.25">
      <c r="B10326"/>
      <c r="Z10326"/>
    </row>
    <row r="10327" spans="2:26" x14ac:dyDescent="0.25">
      <c r="B10327"/>
      <c r="Z10327"/>
    </row>
    <row r="10328" spans="2:26" x14ac:dyDescent="0.25">
      <c r="B10328"/>
      <c r="Z10328"/>
    </row>
    <row r="10329" spans="2:26" x14ac:dyDescent="0.25">
      <c r="B10329"/>
      <c r="Z10329"/>
    </row>
    <row r="10330" spans="2:26" x14ac:dyDescent="0.25">
      <c r="B10330"/>
      <c r="Z10330"/>
    </row>
    <row r="10331" spans="2:26" x14ac:dyDescent="0.25">
      <c r="B10331"/>
      <c r="Z10331"/>
    </row>
    <row r="10332" spans="2:26" x14ac:dyDescent="0.25">
      <c r="B10332"/>
      <c r="Z10332"/>
    </row>
    <row r="10333" spans="2:26" x14ac:dyDescent="0.25">
      <c r="B10333"/>
      <c r="Z10333"/>
    </row>
    <row r="10334" spans="2:26" x14ac:dyDescent="0.25">
      <c r="B10334"/>
      <c r="Z10334"/>
    </row>
    <row r="10335" spans="2:26" x14ac:dyDescent="0.25">
      <c r="B10335"/>
      <c r="Z10335"/>
    </row>
    <row r="10336" spans="2:26" x14ac:dyDescent="0.25">
      <c r="B10336"/>
      <c r="Z10336"/>
    </row>
    <row r="10337" spans="2:26" x14ac:dyDescent="0.25">
      <c r="B10337"/>
      <c r="Z10337"/>
    </row>
    <row r="10338" spans="2:26" x14ac:dyDescent="0.25">
      <c r="B10338"/>
      <c r="Z10338"/>
    </row>
    <row r="10339" spans="2:26" x14ac:dyDescent="0.25">
      <c r="B10339"/>
      <c r="Z10339"/>
    </row>
    <row r="10340" spans="2:26" x14ac:dyDescent="0.25">
      <c r="B10340"/>
      <c r="Z10340"/>
    </row>
    <row r="10341" spans="2:26" x14ac:dyDescent="0.25">
      <c r="B10341"/>
      <c r="Z10341"/>
    </row>
    <row r="10342" spans="2:26" x14ac:dyDescent="0.25">
      <c r="B10342"/>
      <c r="Z10342"/>
    </row>
    <row r="10343" spans="2:26" x14ac:dyDescent="0.25">
      <c r="B10343"/>
      <c r="Z10343"/>
    </row>
    <row r="10344" spans="2:26" x14ac:dyDescent="0.25">
      <c r="B10344"/>
      <c r="Z10344"/>
    </row>
    <row r="10345" spans="2:26" x14ac:dyDescent="0.25">
      <c r="B10345"/>
      <c r="Z10345"/>
    </row>
    <row r="10346" spans="2:26" x14ac:dyDescent="0.25">
      <c r="B10346"/>
      <c r="Z10346"/>
    </row>
    <row r="10347" spans="2:26" x14ac:dyDescent="0.25">
      <c r="B10347"/>
      <c r="Z10347"/>
    </row>
    <row r="10348" spans="2:26" x14ac:dyDescent="0.25">
      <c r="B10348"/>
      <c r="Z10348"/>
    </row>
    <row r="10349" spans="2:26" x14ac:dyDescent="0.25">
      <c r="B10349"/>
      <c r="Z10349"/>
    </row>
    <row r="10350" spans="2:26" x14ac:dyDescent="0.25">
      <c r="B10350"/>
      <c r="Z10350"/>
    </row>
    <row r="10351" spans="2:26" x14ac:dyDescent="0.25">
      <c r="B10351"/>
      <c r="Z10351"/>
    </row>
    <row r="10352" spans="2:26" x14ac:dyDescent="0.25">
      <c r="B10352"/>
      <c r="Z10352"/>
    </row>
    <row r="10353" spans="1:33" x14ac:dyDescent="0.25">
      <c r="B10353"/>
      <c r="Z10353"/>
    </row>
    <row r="10354" spans="1:33" x14ac:dyDescent="0.25">
      <c r="B10354"/>
      <c r="Z10354"/>
    </row>
    <row r="10355" spans="1:33" x14ac:dyDescent="0.25">
      <c r="B10355"/>
      <c r="Z10355"/>
    </row>
    <row r="10356" spans="1:33" x14ac:dyDescent="0.25">
      <c r="B10356"/>
      <c r="Z10356"/>
    </row>
    <row r="10357" spans="1:33" x14ac:dyDescent="0.25">
      <c r="B10357"/>
      <c r="K10357" s="6"/>
      <c r="Z10357"/>
    </row>
    <row r="10358" spans="1:33" x14ac:dyDescent="0.25">
      <c r="B10358"/>
      <c r="Z10358"/>
    </row>
    <row r="10359" spans="1:33" x14ac:dyDescent="0.25">
      <c r="B10359"/>
      <c r="Z10359"/>
    </row>
    <row r="10360" spans="1:33" x14ac:dyDescent="0.25">
      <c r="B10360"/>
      <c r="Z10360"/>
    </row>
    <row r="10361" spans="1:33" x14ac:dyDescent="0.25">
      <c r="A10361" s="6"/>
      <c r="B10361" s="6"/>
      <c r="C10361" s="6"/>
      <c r="D10361" s="6"/>
      <c r="E10361" s="6"/>
      <c r="F10361" s="6"/>
      <c r="G10361" s="6"/>
      <c r="H10361" s="6"/>
      <c r="I10361" s="6"/>
      <c r="J10361" s="6"/>
      <c r="K10361" s="6"/>
      <c r="L10361" s="6"/>
      <c r="M10361" s="6"/>
      <c r="N10361" s="6"/>
      <c r="O10361" s="6"/>
      <c r="P10361" s="6"/>
      <c r="Q10361" s="6"/>
      <c r="R10361" s="6"/>
      <c r="S10361" s="6"/>
      <c r="T10361" s="6"/>
      <c r="U10361" s="6"/>
      <c r="V10361" s="6"/>
      <c r="W10361" s="6"/>
      <c r="X10361" s="6"/>
      <c r="Y10361" s="6"/>
      <c r="Z10361" s="6"/>
      <c r="AA10361" s="6"/>
      <c r="AB10361" s="6"/>
      <c r="AC10361" s="6"/>
      <c r="AD10361" s="6"/>
      <c r="AE10361" s="6"/>
      <c r="AF10361" s="6"/>
      <c r="AG10361" s="6"/>
    </row>
    <row r="10362" spans="1:33" x14ac:dyDescent="0.25">
      <c r="B10362"/>
      <c r="Z10362"/>
    </row>
    <row r="10363" spans="1:33" x14ac:dyDescent="0.25">
      <c r="B10363"/>
      <c r="Z10363"/>
    </row>
    <row r="10364" spans="1:33" x14ac:dyDescent="0.25">
      <c r="B10364"/>
      <c r="Z10364"/>
    </row>
    <row r="10365" spans="1:33" x14ac:dyDescent="0.25">
      <c r="B10365"/>
      <c r="Z10365"/>
    </row>
    <row r="10366" spans="1:33" x14ac:dyDescent="0.25">
      <c r="B10366"/>
      <c r="Z10366"/>
    </row>
    <row r="10367" spans="1:33" x14ac:dyDescent="0.25">
      <c r="B10367"/>
      <c r="Z10367"/>
    </row>
    <row r="10368" spans="1:33" x14ac:dyDescent="0.25">
      <c r="B10368"/>
      <c r="Z10368"/>
    </row>
    <row r="10369" spans="2:26" x14ac:dyDescent="0.25">
      <c r="B10369"/>
      <c r="Z10369"/>
    </row>
    <row r="10370" spans="2:26" x14ac:dyDescent="0.25">
      <c r="B10370"/>
      <c r="Z10370"/>
    </row>
    <row r="10371" spans="2:26" x14ac:dyDescent="0.25">
      <c r="B10371"/>
      <c r="Z10371"/>
    </row>
    <row r="10372" spans="2:26" x14ac:dyDescent="0.25">
      <c r="B10372"/>
      <c r="Z10372"/>
    </row>
    <row r="10373" spans="2:26" x14ac:dyDescent="0.25">
      <c r="B10373"/>
      <c r="Z10373"/>
    </row>
    <row r="10374" spans="2:26" x14ac:dyDescent="0.25">
      <c r="B10374"/>
      <c r="Z10374"/>
    </row>
    <row r="10375" spans="2:26" x14ac:dyDescent="0.25">
      <c r="B10375"/>
      <c r="Z10375"/>
    </row>
    <row r="10376" spans="2:26" x14ac:dyDescent="0.25">
      <c r="B10376"/>
      <c r="Z10376"/>
    </row>
    <row r="10377" spans="2:26" x14ac:dyDescent="0.25">
      <c r="B10377"/>
      <c r="Z10377"/>
    </row>
    <row r="10378" spans="2:26" x14ac:dyDescent="0.25">
      <c r="B10378"/>
      <c r="Z10378"/>
    </row>
    <row r="10379" spans="2:26" x14ac:dyDescent="0.25">
      <c r="B10379"/>
      <c r="Z10379"/>
    </row>
    <row r="10380" spans="2:26" x14ac:dyDescent="0.25">
      <c r="B10380"/>
      <c r="Z10380"/>
    </row>
    <row r="10381" spans="2:26" x14ac:dyDescent="0.25">
      <c r="B10381"/>
      <c r="Z10381"/>
    </row>
    <row r="10382" spans="2:26" x14ac:dyDescent="0.25">
      <c r="B10382"/>
      <c r="Z10382"/>
    </row>
    <row r="10383" spans="2:26" x14ac:dyDescent="0.25">
      <c r="B10383"/>
      <c r="Z10383"/>
    </row>
    <row r="10384" spans="2:26" x14ac:dyDescent="0.25">
      <c r="B10384"/>
      <c r="Z10384"/>
    </row>
    <row r="10385" spans="2:26" x14ac:dyDescent="0.25">
      <c r="B10385"/>
      <c r="Z10385"/>
    </row>
    <row r="10386" spans="2:26" x14ac:dyDescent="0.25">
      <c r="B10386"/>
      <c r="Z10386"/>
    </row>
    <row r="10387" spans="2:26" x14ac:dyDescent="0.25">
      <c r="B10387"/>
      <c r="Z10387"/>
    </row>
    <row r="10388" spans="2:26" x14ac:dyDescent="0.25">
      <c r="B10388"/>
      <c r="Z10388"/>
    </row>
    <row r="10389" spans="2:26" x14ac:dyDescent="0.25">
      <c r="B10389"/>
      <c r="Z10389"/>
    </row>
    <row r="10390" spans="2:26" x14ac:dyDescent="0.25">
      <c r="B10390"/>
      <c r="Z10390"/>
    </row>
    <row r="10391" spans="2:26" x14ac:dyDescent="0.25">
      <c r="B10391"/>
      <c r="Z10391"/>
    </row>
    <row r="10392" spans="2:26" x14ac:dyDescent="0.25">
      <c r="B10392"/>
      <c r="Z10392"/>
    </row>
    <row r="10393" spans="2:26" x14ac:dyDescent="0.25">
      <c r="B10393"/>
      <c r="Z10393"/>
    </row>
    <row r="10394" spans="2:26" x14ac:dyDescent="0.25">
      <c r="B10394"/>
      <c r="Z10394"/>
    </row>
    <row r="10395" spans="2:26" x14ac:dyDescent="0.25">
      <c r="B10395"/>
      <c r="Z10395"/>
    </row>
    <row r="10396" spans="2:26" x14ac:dyDescent="0.25">
      <c r="B10396"/>
      <c r="Z10396"/>
    </row>
    <row r="10397" spans="2:26" x14ac:dyDescent="0.25">
      <c r="B10397"/>
      <c r="Z10397"/>
    </row>
    <row r="10398" spans="2:26" x14ac:dyDescent="0.25">
      <c r="B10398"/>
      <c r="Z10398"/>
    </row>
    <row r="10399" spans="2:26" x14ac:dyDescent="0.25">
      <c r="B10399"/>
      <c r="Z10399"/>
    </row>
    <row r="10400" spans="2:26" x14ac:dyDescent="0.25">
      <c r="B10400"/>
      <c r="Z10400"/>
    </row>
    <row r="10401" spans="2:26" x14ac:dyDescent="0.25">
      <c r="B10401"/>
      <c r="Z10401"/>
    </row>
    <row r="10402" spans="2:26" x14ac:dyDescent="0.25">
      <c r="B10402"/>
      <c r="Z10402"/>
    </row>
    <row r="10403" spans="2:26" x14ac:dyDescent="0.25">
      <c r="B10403"/>
      <c r="Z10403"/>
    </row>
    <row r="10404" spans="2:26" x14ac:dyDescent="0.25">
      <c r="B10404"/>
      <c r="Z10404"/>
    </row>
    <row r="10405" spans="2:26" x14ac:dyDescent="0.25">
      <c r="B10405"/>
      <c r="Z10405"/>
    </row>
    <row r="10406" spans="2:26" x14ac:dyDescent="0.25">
      <c r="B10406"/>
      <c r="Z10406"/>
    </row>
    <row r="10407" spans="2:26" x14ac:dyDescent="0.25">
      <c r="B10407"/>
      <c r="Z10407"/>
    </row>
    <row r="10408" spans="2:26" x14ac:dyDescent="0.25">
      <c r="B10408"/>
      <c r="Z10408"/>
    </row>
    <row r="10409" spans="2:26" x14ac:dyDescent="0.25">
      <c r="B10409"/>
      <c r="Z10409"/>
    </row>
    <row r="10410" spans="2:26" x14ac:dyDescent="0.25">
      <c r="B10410"/>
      <c r="Z10410"/>
    </row>
    <row r="10411" spans="2:26" x14ac:dyDescent="0.25">
      <c r="B10411"/>
      <c r="Z10411"/>
    </row>
    <row r="10412" spans="2:26" x14ac:dyDescent="0.25">
      <c r="B10412"/>
      <c r="Z10412"/>
    </row>
    <row r="10413" spans="2:26" x14ac:dyDescent="0.25">
      <c r="B10413"/>
      <c r="Z10413"/>
    </row>
    <row r="10414" spans="2:26" x14ac:dyDescent="0.25">
      <c r="B10414"/>
      <c r="Z10414"/>
    </row>
    <row r="10415" spans="2:26" x14ac:dyDescent="0.25">
      <c r="B10415"/>
      <c r="Z10415"/>
    </row>
    <row r="10416" spans="2:26" x14ac:dyDescent="0.25">
      <c r="B10416"/>
      <c r="Z10416"/>
    </row>
    <row r="10417" spans="2:26" x14ac:dyDescent="0.25">
      <c r="B10417"/>
      <c r="Z10417"/>
    </row>
    <row r="10418" spans="2:26" x14ac:dyDescent="0.25">
      <c r="B10418"/>
      <c r="Z10418"/>
    </row>
    <row r="10419" spans="2:26" x14ac:dyDescent="0.25">
      <c r="B10419"/>
      <c r="Z10419"/>
    </row>
    <row r="10420" spans="2:26" x14ac:dyDescent="0.25">
      <c r="B10420"/>
      <c r="Z10420"/>
    </row>
    <row r="10421" spans="2:26" x14ac:dyDescent="0.25">
      <c r="B10421"/>
      <c r="Z10421"/>
    </row>
    <row r="10422" spans="2:26" x14ac:dyDescent="0.25">
      <c r="B10422"/>
      <c r="Z10422"/>
    </row>
    <row r="10423" spans="2:26" x14ac:dyDescent="0.25">
      <c r="B10423"/>
      <c r="Z10423"/>
    </row>
    <row r="10424" spans="2:26" x14ac:dyDescent="0.25">
      <c r="B10424"/>
      <c r="Z10424"/>
    </row>
    <row r="10425" spans="2:26" x14ac:dyDescent="0.25">
      <c r="B10425"/>
      <c r="Z10425"/>
    </row>
    <row r="10426" spans="2:26" x14ac:dyDescent="0.25">
      <c r="B10426"/>
      <c r="Z10426"/>
    </row>
    <row r="10427" spans="2:26" x14ac:dyDescent="0.25">
      <c r="B10427"/>
      <c r="Z10427"/>
    </row>
    <row r="10428" spans="2:26" x14ac:dyDescent="0.25">
      <c r="B10428"/>
      <c r="Z10428"/>
    </row>
    <row r="10429" spans="2:26" x14ac:dyDescent="0.25">
      <c r="B10429"/>
      <c r="Z10429"/>
    </row>
    <row r="10430" spans="2:26" x14ac:dyDescent="0.25">
      <c r="B10430"/>
      <c r="Z10430"/>
    </row>
    <row r="10431" spans="2:26" x14ac:dyDescent="0.25">
      <c r="B10431"/>
      <c r="Z10431"/>
    </row>
    <row r="10432" spans="2:26" x14ac:dyDescent="0.25">
      <c r="B10432"/>
      <c r="Z10432"/>
    </row>
    <row r="10433" spans="2:26" x14ac:dyDescent="0.25">
      <c r="B10433"/>
      <c r="Z10433"/>
    </row>
    <row r="10434" spans="2:26" x14ac:dyDescent="0.25">
      <c r="B10434"/>
      <c r="Z10434"/>
    </row>
    <row r="10435" spans="2:26" x14ac:dyDescent="0.25">
      <c r="B10435"/>
      <c r="Z10435"/>
    </row>
    <row r="10436" spans="2:26" x14ac:dyDescent="0.25">
      <c r="B10436"/>
      <c r="Z10436"/>
    </row>
    <row r="10437" spans="2:26" x14ac:dyDescent="0.25">
      <c r="B10437"/>
      <c r="Z10437"/>
    </row>
    <row r="10438" spans="2:26" x14ac:dyDescent="0.25">
      <c r="B10438"/>
      <c r="Z10438"/>
    </row>
    <row r="10439" spans="2:26" x14ac:dyDescent="0.25">
      <c r="B10439"/>
      <c r="Z10439"/>
    </row>
    <row r="10440" spans="2:26" x14ac:dyDescent="0.25">
      <c r="B10440"/>
      <c r="Z10440"/>
    </row>
    <row r="10441" spans="2:26" x14ac:dyDescent="0.25">
      <c r="B10441"/>
      <c r="Z10441"/>
    </row>
    <row r="10442" spans="2:26" x14ac:dyDescent="0.25">
      <c r="B10442"/>
      <c r="Z10442"/>
    </row>
    <row r="10443" spans="2:26" x14ac:dyDescent="0.25">
      <c r="B10443"/>
      <c r="Z10443"/>
    </row>
    <row r="10444" spans="2:26" x14ac:dyDescent="0.25">
      <c r="B10444"/>
      <c r="Z10444"/>
    </row>
    <row r="10445" spans="2:26" x14ac:dyDescent="0.25">
      <c r="B10445"/>
      <c r="Z10445"/>
    </row>
    <row r="10446" spans="2:26" x14ac:dyDescent="0.25">
      <c r="B10446"/>
      <c r="Z10446"/>
    </row>
    <row r="10447" spans="2:26" x14ac:dyDescent="0.25">
      <c r="B10447"/>
      <c r="Z10447"/>
    </row>
    <row r="10448" spans="2:26" x14ac:dyDescent="0.25">
      <c r="B10448"/>
      <c r="Z10448"/>
    </row>
    <row r="10449" spans="1:33" x14ac:dyDescent="0.25">
      <c r="B10449"/>
      <c r="Z10449"/>
    </row>
    <row r="10450" spans="1:33" x14ac:dyDescent="0.25">
      <c r="B10450"/>
      <c r="Z10450"/>
    </row>
    <row r="10451" spans="1:33" x14ac:dyDescent="0.25">
      <c r="B10451"/>
      <c r="Z10451"/>
    </row>
    <row r="10452" spans="1:33" x14ac:dyDescent="0.25">
      <c r="B10452"/>
      <c r="Z10452"/>
    </row>
    <row r="10453" spans="1:33" x14ac:dyDescent="0.25">
      <c r="B10453"/>
      <c r="Z10453"/>
    </row>
    <row r="10454" spans="1:33" x14ac:dyDescent="0.25">
      <c r="B10454"/>
      <c r="Z10454"/>
    </row>
    <row r="10455" spans="1:33" x14ac:dyDescent="0.25">
      <c r="B10455"/>
      <c r="Z10455"/>
    </row>
    <row r="10456" spans="1:33" x14ac:dyDescent="0.25">
      <c r="B10456"/>
      <c r="Z10456"/>
    </row>
    <row r="10457" spans="1:33" x14ac:dyDescent="0.25">
      <c r="B10457"/>
      <c r="Z10457"/>
    </row>
    <row r="10458" spans="1:33" x14ac:dyDescent="0.25">
      <c r="B10458"/>
      <c r="Z10458"/>
    </row>
    <row r="10459" spans="1:33" x14ac:dyDescent="0.25">
      <c r="B10459"/>
      <c r="Z10459"/>
    </row>
    <row r="10460" spans="1:33" x14ac:dyDescent="0.25">
      <c r="B10460"/>
      <c r="Z10460"/>
    </row>
    <row r="10461" spans="1:33" x14ac:dyDescent="0.25">
      <c r="B10461"/>
      <c r="Z10461"/>
    </row>
    <row r="10462" spans="1:33" x14ac:dyDescent="0.25">
      <c r="B10462"/>
      <c r="Z10462"/>
    </row>
    <row r="10463" spans="1:33" x14ac:dyDescent="0.25">
      <c r="A10463" s="6"/>
      <c r="B10463" s="6"/>
      <c r="C10463" s="6"/>
      <c r="D10463" s="6"/>
      <c r="E10463" s="6"/>
      <c r="F10463" s="6"/>
      <c r="G10463" s="6"/>
      <c r="H10463" s="6"/>
      <c r="I10463" s="6"/>
      <c r="J10463" s="6"/>
      <c r="K10463" s="6"/>
      <c r="L10463" s="6"/>
      <c r="M10463" s="6"/>
      <c r="N10463" s="6"/>
      <c r="O10463" s="6"/>
      <c r="P10463" s="6"/>
      <c r="Q10463" s="6"/>
      <c r="R10463" s="6"/>
      <c r="S10463" s="6"/>
      <c r="T10463" s="6"/>
      <c r="U10463" s="6"/>
      <c r="V10463" s="6"/>
      <c r="W10463" s="6"/>
      <c r="X10463" s="6"/>
      <c r="Y10463" s="6"/>
      <c r="Z10463" s="6"/>
      <c r="AA10463" s="6"/>
      <c r="AB10463" s="6"/>
      <c r="AC10463" s="6"/>
      <c r="AD10463" s="6"/>
      <c r="AE10463" s="6"/>
      <c r="AF10463" s="6"/>
      <c r="AG10463" s="6"/>
    </row>
    <row r="10464" spans="1:33" x14ac:dyDescent="0.25">
      <c r="B10464"/>
      <c r="Z10464"/>
    </row>
    <row r="10465" spans="2:26" x14ac:dyDescent="0.25">
      <c r="B10465"/>
      <c r="Z10465"/>
    </row>
    <row r="10466" spans="2:26" x14ac:dyDescent="0.25">
      <c r="B10466"/>
      <c r="Z10466"/>
    </row>
    <row r="10467" spans="2:26" x14ac:dyDescent="0.25">
      <c r="B10467"/>
      <c r="Z10467"/>
    </row>
    <row r="10468" spans="2:26" x14ac:dyDescent="0.25">
      <c r="B10468"/>
      <c r="Z10468"/>
    </row>
    <row r="10469" spans="2:26" x14ac:dyDescent="0.25">
      <c r="B10469"/>
      <c r="Z10469"/>
    </row>
    <row r="10470" spans="2:26" x14ac:dyDescent="0.25">
      <c r="B10470"/>
      <c r="Z10470"/>
    </row>
    <row r="10471" spans="2:26" x14ac:dyDescent="0.25">
      <c r="B10471"/>
      <c r="Z10471"/>
    </row>
    <row r="10472" spans="2:26" x14ac:dyDescent="0.25">
      <c r="B10472"/>
      <c r="Z10472"/>
    </row>
    <row r="10473" spans="2:26" x14ac:dyDescent="0.25">
      <c r="B10473"/>
      <c r="Z10473"/>
    </row>
    <row r="10474" spans="2:26" x14ac:dyDescent="0.25">
      <c r="B10474"/>
      <c r="Z10474"/>
    </row>
    <row r="10475" spans="2:26" x14ac:dyDescent="0.25">
      <c r="B10475"/>
      <c r="Z10475"/>
    </row>
    <row r="10476" spans="2:26" x14ac:dyDescent="0.25">
      <c r="B10476"/>
      <c r="Z10476"/>
    </row>
    <row r="10477" spans="2:26" x14ac:dyDescent="0.25">
      <c r="B10477"/>
      <c r="Z10477"/>
    </row>
    <row r="10478" spans="2:26" x14ac:dyDescent="0.25">
      <c r="B10478"/>
      <c r="Z10478"/>
    </row>
    <row r="10479" spans="2:26" x14ac:dyDescent="0.25">
      <c r="B10479"/>
      <c r="Z10479"/>
    </row>
    <row r="10480" spans="2:26" x14ac:dyDescent="0.25">
      <c r="B10480"/>
      <c r="Z10480"/>
    </row>
    <row r="10481" spans="2:26" x14ac:dyDescent="0.25">
      <c r="B10481"/>
      <c r="Z10481"/>
    </row>
    <row r="10482" spans="2:26" x14ac:dyDescent="0.25">
      <c r="B10482"/>
      <c r="Z10482"/>
    </row>
    <row r="10483" spans="2:26" x14ac:dyDescent="0.25">
      <c r="B10483"/>
      <c r="Z10483"/>
    </row>
    <row r="10484" spans="2:26" x14ac:dyDescent="0.25">
      <c r="B10484"/>
      <c r="Z10484"/>
    </row>
    <row r="10485" spans="2:26" x14ac:dyDescent="0.25">
      <c r="B10485"/>
      <c r="Z10485"/>
    </row>
    <row r="10486" spans="2:26" x14ac:dyDescent="0.25">
      <c r="B10486"/>
      <c r="Z10486"/>
    </row>
    <row r="10487" spans="2:26" x14ac:dyDescent="0.25">
      <c r="B10487"/>
      <c r="Z10487"/>
    </row>
    <row r="10488" spans="2:26" x14ac:dyDescent="0.25">
      <c r="B10488"/>
      <c r="Z10488"/>
    </row>
    <row r="10489" spans="2:26" x14ac:dyDescent="0.25">
      <c r="B10489"/>
      <c r="Z10489"/>
    </row>
    <row r="10490" spans="2:26" x14ac:dyDescent="0.25">
      <c r="B10490"/>
      <c r="Z10490"/>
    </row>
    <row r="10491" spans="2:26" x14ac:dyDescent="0.25">
      <c r="B10491"/>
      <c r="Z10491"/>
    </row>
    <row r="10492" spans="2:26" x14ac:dyDescent="0.25">
      <c r="B10492"/>
      <c r="Z10492"/>
    </row>
    <row r="10493" spans="2:26" x14ac:dyDescent="0.25">
      <c r="B10493"/>
      <c r="Z10493"/>
    </row>
    <row r="10494" spans="2:26" x14ac:dyDescent="0.25">
      <c r="B10494"/>
      <c r="Z10494"/>
    </row>
    <row r="10495" spans="2:26" x14ac:dyDescent="0.25">
      <c r="B10495"/>
      <c r="Z10495"/>
    </row>
    <row r="10496" spans="2:26" x14ac:dyDescent="0.25">
      <c r="B10496"/>
      <c r="Z10496"/>
    </row>
    <row r="10497" spans="2:26" x14ac:dyDescent="0.25">
      <c r="B10497"/>
      <c r="Z10497"/>
    </row>
    <row r="10498" spans="2:26" x14ac:dyDescent="0.25">
      <c r="B10498"/>
      <c r="Z10498"/>
    </row>
    <row r="10499" spans="2:26" x14ac:dyDescent="0.25">
      <c r="B10499"/>
      <c r="Z10499"/>
    </row>
    <row r="10500" spans="2:26" x14ac:dyDescent="0.25">
      <c r="B10500"/>
      <c r="Z10500"/>
    </row>
    <row r="10501" spans="2:26" x14ac:dyDescent="0.25">
      <c r="B10501"/>
      <c r="Z10501"/>
    </row>
    <row r="10502" spans="2:26" x14ac:dyDescent="0.25">
      <c r="B10502"/>
      <c r="Z10502"/>
    </row>
    <row r="10503" spans="2:26" x14ac:dyDescent="0.25">
      <c r="B10503"/>
      <c r="Z10503"/>
    </row>
    <row r="10504" spans="2:26" x14ac:dyDescent="0.25">
      <c r="B10504"/>
      <c r="Z10504"/>
    </row>
    <row r="10505" spans="2:26" x14ac:dyDescent="0.25">
      <c r="B10505"/>
      <c r="Z10505"/>
    </row>
    <row r="10506" spans="2:26" x14ac:dyDescent="0.25">
      <c r="B10506"/>
      <c r="Z10506"/>
    </row>
    <row r="10507" spans="2:26" x14ac:dyDescent="0.25">
      <c r="B10507"/>
      <c r="Z10507"/>
    </row>
    <row r="10508" spans="2:26" x14ac:dyDescent="0.25">
      <c r="B10508"/>
      <c r="Z10508"/>
    </row>
    <row r="10509" spans="2:26" x14ac:dyDescent="0.25">
      <c r="B10509"/>
      <c r="Z10509"/>
    </row>
    <row r="10510" spans="2:26" x14ac:dyDescent="0.25">
      <c r="B10510"/>
      <c r="Z10510"/>
    </row>
    <row r="10511" spans="2:26" x14ac:dyDescent="0.25">
      <c r="B10511"/>
      <c r="Z10511"/>
    </row>
    <row r="10512" spans="2:26" x14ac:dyDescent="0.25">
      <c r="B10512"/>
      <c r="Z10512"/>
    </row>
    <row r="10513" spans="2:26" x14ac:dyDescent="0.25">
      <c r="B10513"/>
      <c r="Z10513"/>
    </row>
    <row r="10514" spans="2:26" x14ac:dyDescent="0.25">
      <c r="B10514"/>
      <c r="Z10514"/>
    </row>
    <row r="10515" spans="2:26" x14ac:dyDescent="0.25">
      <c r="B10515"/>
      <c r="Z10515"/>
    </row>
    <row r="10516" spans="2:26" x14ac:dyDescent="0.25">
      <c r="B10516"/>
      <c r="Z10516"/>
    </row>
    <row r="10517" spans="2:26" x14ac:dyDescent="0.25">
      <c r="B10517"/>
      <c r="Z10517"/>
    </row>
    <row r="10518" spans="2:26" x14ac:dyDescent="0.25">
      <c r="B10518"/>
      <c r="Z10518"/>
    </row>
    <row r="10519" spans="2:26" x14ac:dyDescent="0.25">
      <c r="B10519"/>
      <c r="Z10519"/>
    </row>
    <row r="10520" spans="2:26" x14ac:dyDescent="0.25">
      <c r="B10520"/>
      <c r="Z10520"/>
    </row>
    <row r="10521" spans="2:26" x14ac:dyDescent="0.25">
      <c r="B10521"/>
      <c r="Z10521"/>
    </row>
    <row r="10522" spans="2:26" x14ac:dyDescent="0.25">
      <c r="B10522"/>
      <c r="Z10522"/>
    </row>
    <row r="10523" spans="2:26" x14ac:dyDescent="0.25">
      <c r="B10523"/>
      <c r="Z10523"/>
    </row>
    <row r="10524" spans="2:26" x14ac:dyDescent="0.25">
      <c r="B10524"/>
      <c r="Z10524"/>
    </row>
    <row r="10525" spans="2:26" x14ac:dyDescent="0.25">
      <c r="B10525"/>
      <c r="Z10525"/>
    </row>
    <row r="10526" spans="2:26" x14ac:dyDescent="0.25">
      <c r="B10526"/>
      <c r="Z10526"/>
    </row>
    <row r="10527" spans="2:26" x14ac:dyDescent="0.25">
      <c r="B10527"/>
      <c r="Z10527"/>
    </row>
    <row r="10528" spans="2:26" x14ac:dyDescent="0.25">
      <c r="B10528"/>
      <c r="Z10528"/>
    </row>
    <row r="10529" spans="2:26" x14ac:dyDescent="0.25">
      <c r="B10529"/>
      <c r="Z10529"/>
    </row>
    <row r="10530" spans="2:26" x14ac:dyDescent="0.25">
      <c r="B10530"/>
      <c r="Z10530"/>
    </row>
    <row r="10531" spans="2:26" x14ac:dyDescent="0.25">
      <c r="B10531"/>
      <c r="Z10531"/>
    </row>
    <row r="10532" spans="2:26" x14ac:dyDescent="0.25">
      <c r="B10532"/>
      <c r="Z10532"/>
    </row>
    <row r="10533" spans="2:26" x14ac:dyDescent="0.25">
      <c r="B10533"/>
      <c r="Z10533"/>
    </row>
    <row r="10534" spans="2:26" x14ac:dyDescent="0.25">
      <c r="B10534"/>
      <c r="Z10534"/>
    </row>
    <row r="10535" spans="2:26" x14ac:dyDescent="0.25">
      <c r="B10535"/>
      <c r="Z10535"/>
    </row>
    <row r="10536" spans="2:26" x14ac:dyDescent="0.25">
      <c r="B10536"/>
      <c r="Z10536"/>
    </row>
    <row r="10537" spans="2:26" x14ac:dyDescent="0.25">
      <c r="B10537"/>
      <c r="Z10537"/>
    </row>
    <row r="10538" spans="2:26" x14ac:dyDescent="0.25">
      <c r="B10538"/>
      <c r="Z10538"/>
    </row>
    <row r="10539" spans="2:26" x14ac:dyDescent="0.25">
      <c r="B10539"/>
      <c r="Z10539"/>
    </row>
    <row r="10540" spans="2:26" x14ac:dyDescent="0.25">
      <c r="B10540"/>
      <c r="Z10540"/>
    </row>
    <row r="10541" spans="2:26" x14ac:dyDescent="0.25">
      <c r="B10541"/>
      <c r="Z10541"/>
    </row>
    <row r="10542" spans="2:26" x14ac:dyDescent="0.25">
      <c r="B10542"/>
      <c r="Z10542"/>
    </row>
    <row r="10543" spans="2:26" x14ac:dyDescent="0.25">
      <c r="B10543"/>
      <c r="Z10543"/>
    </row>
    <row r="10544" spans="2:26" x14ac:dyDescent="0.25">
      <c r="B10544"/>
      <c r="Z10544"/>
    </row>
    <row r="10545" spans="2:26" x14ac:dyDescent="0.25">
      <c r="B10545"/>
      <c r="Z10545"/>
    </row>
    <row r="10546" spans="2:26" x14ac:dyDescent="0.25">
      <c r="B10546"/>
      <c r="Z10546"/>
    </row>
    <row r="10547" spans="2:26" x14ac:dyDescent="0.25">
      <c r="B10547"/>
      <c r="Z10547"/>
    </row>
    <row r="10548" spans="2:26" x14ac:dyDescent="0.25">
      <c r="B10548"/>
      <c r="Z10548"/>
    </row>
    <row r="10549" spans="2:26" x14ac:dyDescent="0.25">
      <c r="B10549"/>
      <c r="Z10549"/>
    </row>
    <row r="10550" spans="2:26" x14ac:dyDescent="0.25">
      <c r="B10550"/>
      <c r="Z10550"/>
    </row>
    <row r="10551" spans="2:26" x14ac:dyDescent="0.25">
      <c r="B10551"/>
      <c r="Z10551"/>
    </row>
    <row r="10552" spans="2:26" x14ac:dyDescent="0.25">
      <c r="B10552"/>
      <c r="Z10552"/>
    </row>
    <row r="10553" spans="2:26" x14ac:dyDescent="0.25">
      <c r="B10553"/>
      <c r="Z10553"/>
    </row>
    <row r="10554" spans="2:26" x14ac:dyDescent="0.25">
      <c r="B10554"/>
      <c r="Z10554"/>
    </row>
    <row r="10555" spans="2:26" x14ac:dyDescent="0.25">
      <c r="B10555"/>
      <c r="Z10555"/>
    </row>
    <row r="10556" spans="2:26" x14ac:dyDescent="0.25">
      <c r="B10556"/>
      <c r="Z10556"/>
    </row>
    <row r="10557" spans="2:26" x14ac:dyDescent="0.25">
      <c r="B10557"/>
      <c r="Z10557"/>
    </row>
    <row r="10558" spans="2:26" x14ac:dyDescent="0.25">
      <c r="B10558"/>
      <c r="Z10558"/>
    </row>
    <row r="10559" spans="2:26" x14ac:dyDescent="0.25">
      <c r="B10559"/>
      <c r="Z10559"/>
    </row>
    <row r="10560" spans="2:26" x14ac:dyDescent="0.25">
      <c r="B10560"/>
      <c r="Z10560"/>
    </row>
    <row r="10561" spans="1:33" x14ac:dyDescent="0.25">
      <c r="B10561"/>
      <c r="Z10561"/>
    </row>
    <row r="10562" spans="1:33" x14ac:dyDescent="0.25">
      <c r="B10562"/>
      <c r="Z10562"/>
    </row>
    <row r="10563" spans="1:33" x14ac:dyDescent="0.25">
      <c r="B10563"/>
      <c r="Z10563"/>
    </row>
    <row r="10564" spans="1:33" x14ac:dyDescent="0.25">
      <c r="B10564"/>
      <c r="Z10564"/>
    </row>
    <row r="10565" spans="1:33" x14ac:dyDescent="0.25">
      <c r="A10565" s="6"/>
      <c r="B10565" s="6"/>
      <c r="C10565" s="6"/>
      <c r="D10565" s="6"/>
      <c r="E10565" s="6"/>
      <c r="F10565" s="6"/>
      <c r="G10565" s="6"/>
      <c r="H10565" s="6"/>
      <c r="I10565" s="6"/>
      <c r="J10565" s="6"/>
      <c r="K10565" s="6"/>
      <c r="L10565" s="6"/>
      <c r="M10565" s="6"/>
      <c r="N10565" s="6"/>
      <c r="O10565" s="6"/>
      <c r="P10565" s="6"/>
      <c r="Q10565" s="6"/>
      <c r="R10565" s="6"/>
      <c r="S10565" s="6"/>
      <c r="T10565" s="6"/>
      <c r="U10565" s="6"/>
      <c r="V10565" s="6"/>
      <c r="W10565" s="6"/>
      <c r="X10565" s="6"/>
      <c r="Y10565" s="6"/>
      <c r="Z10565" s="6"/>
      <c r="AA10565" s="6"/>
      <c r="AB10565" s="6"/>
      <c r="AC10565" s="6"/>
      <c r="AD10565" s="6"/>
      <c r="AE10565" s="6"/>
      <c r="AF10565" s="6"/>
      <c r="AG10565" s="6"/>
    </row>
    <row r="10566" spans="1:33" x14ac:dyDescent="0.25">
      <c r="B10566"/>
      <c r="Z10566"/>
    </row>
    <row r="10567" spans="1:33" x14ac:dyDescent="0.25">
      <c r="B10567"/>
      <c r="Z10567"/>
    </row>
    <row r="10568" spans="1:33" x14ac:dyDescent="0.25">
      <c r="B10568"/>
      <c r="Z10568"/>
    </row>
    <row r="10569" spans="1:33" x14ac:dyDescent="0.25">
      <c r="B10569"/>
      <c r="Z10569"/>
    </row>
    <row r="10570" spans="1:33" x14ac:dyDescent="0.25">
      <c r="B10570"/>
      <c r="Z10570"/>
    </row>
    <row r="10571" spans="1:33" x14ac:dyDescent="0.25">
      <c r="B10571"/>
      <c r="Z10571"/>
    </row>
    <row r="10572" spans="1:33" x14ac:dyDescent="0.25">
      <c r="B10572"/>
      <c r="Z10572"/>
    </row>
    <row r="10573" spans="1:33" x14ac:dyDescent="0.25">
      <c r="B10573"/>
      <c r="Z10573"/>
    </row>
    <row r="10574" spans="1:33" x14ac:dyDescent="0.25">
      <c r="B10574"/>
      <c r="Z10574"/>
    </row>
    <row r="10575" spans="1:33" x14ac:dyDescent="0.25">
      <c r="B10575"/>
      <c r="Z10575"/>
    </row>
    <row r="10576" spans="1:33" x14ac:dyDescent="0.25">
      <c r="B10576"/>
      <c r="Z10576"/>
    </row>
    <row r="10577" spans="2:26" x14ac:dyDescent="0.25">
      <c r="B10577"/>
      <c r="Z10577"/>
    </row>
    <row r="10578" spans="2:26" x14ac:dyDescent="0.25">
      <c r="B10578"/>
      <c r="Z10578"/>
    </row>
    <row r="10579" spans="2:26" x14ac:dyDescent="0.25">
      <c r="B10579"/>
      <c r="Z10579"/>
    </row>
    <row r="10580" spans="2:26" x14ac:dyDescent="0.25">
      <c r="B10580"/>
      <c r="Z10580"/>
    </row>
    <row r="10581" spans="2:26" x14ac:dyDescent="0.25">
      <c r="B10581"/>
      <c r="Z10581"/>
    </row>
    <row r="10582" spans="2:26" x14ac:dyDescent="0.25">
      <c r="B10582"/>
      <c r="Z10582"/>
    </row>
    <row r="10583" spans="2:26" x14ac:dyDescent="0.25">
      <c r="B10583"/>
      <c r="Z10583"/>
    </row>
    <row r="10584" spans="2:26" x14ac:dyDescent="0.25">
      <c r="B10584"/>
      <c r="Z10584"/>
    </row>
    <row r="10585" spans="2:26" x14ac:dyDescent="0.25">
      <c r="B10585"/>
      <c r="Z10585"/>
    </row>
    <row r="10586" spans="2:26" x14ac:dyDescent="0.25">
      <c r="B10586"/>
      <c r="Z10586"/>
    </row>
    <row r="10587" spans="2:26" x14ac:dyDescent="0.25">
      <c r="B10587"/>
      <c r="Z10587"/>
    </row>
    <row r="10588" spans="2:26" x14ac:dyDescent="0.25">
      <c r="B10588"/>
      <c r="Z10588"/>
    </row>
    <row r="10589" spans="2:26" x14ac:dyDescent="0.25">
      <c r="B10589"/>
      <c r="Z10589"/>
    </row>
    <row r="10590" spans="2:26" x14ac:dyDescent="0.25">
      <c r="B10590"/>
      <c r="Z10590"/>
    </row>
    <row r="10591" spans="2:26" x14ac:dyDescent="0.25">
      <c r="B10591"/>
      <c r="Z10591"/>
    </row>
    <row r="10592" spans="2:26" x14ac:dyDescent="0.25">
      <c r="B10592"/>
      <c r="Z10592"/>
    </row>
    <row r="10593" spans="2:26" x14ac:dyDescent="0.25">
      <c r="B10593"/>
      <c r="Z10593"/>
    </row>
    <row r="10594" spans="2:26" x14ac:dyDescent="0.25">
      <c r="B10594"/>
      <c r="Z10594"/>
    </row>
    <row r="10595" spans="2:26" x14ac:dyDescent="0.25">
      <c r="B10595"/>
      <c r="Z10595"/>
    </row>
    <row r="10596" spans="2:26" x14ac:dyDescent="0.25">
      <c r="B10596"/>
      <c r="Z10596"/>
    </row>
    <row r="10597" spans="2:26" x14ac:dyDescent="0.25">
      <c r="B10597"/>
      <c r="Z10597"/>
    </row>
    <row r="10598" spans="2:26" x14ac:dyDescent="0.25">
      <c r="B10598"/>
      <c r="Z10598"/>
    </row>
    <row r="10599" spans="2:26" x14ac:dyDescent="0.25">
      <c r="B10599"/>
      <c r="Z10599"/>
    </row>
    <row r="10600" spans="2:26" x14ac:dyDescent="0.25">
      <c r="B10600"/>
      <c r="Z10600"/>
    </row>
    <row r="10601" spans="2:26" x14ac:dyDescent="0.25">
      <c r="B10601"/>
      <c r="Z10601"/>
    </row>
    <row r="10602" spans="2:26" x14ac:dyDescent="0.25">
      <c r="B10602"/>
      <c r="Z10602"/>
    </row>
    <row r="10603" spans="2:26" x14ac:dyDescent="0.25">
      <c r="B10603"/>
      <c r="Z10603"/>
    </row>
    <row r="10604" spans="2:26" x14ac:dyDescent="0.25">
      <c r="B10604"/>
      <c r="Z10604"/>
    </row>
    <row r="10605" spans="2:26" x14ac:dyDescent="0.25">
      <c r="B10605"/>
      <c r="Z10605"/>
    </row>
    <row r="10606" spans="2:26" x14ac:dyDescent="0.25">
      <c r="B10606"/>
      <c r="Z10606"/>
    </row>
    <row r="10607" spans="2:26" x14ac:dyDescent="0.25">
      <c r="B10607"/>
      <c r="Z10607"/>
    </row>
    <row r="10608" spans="2:26" x14ac:dyDescent="0.25">
      <c r="B10608"/>
      <c r="Z10608"/>
    </row>
    <row r="10609" spans="2:26" x14ac:dyDescent="0.25">
      <c r="B10609"/>
      <c r="Z10609"/>
    </row>
    <row r="10610" spans="2:26" x14ac:dyDescent="0.25">
      <c r="B10610"/>
      <c r="Z10610"/>
    </row>
    <row r="10611" spans="2:26" x14ac:dyDescent="0.25">
      <c r="B10611"/>
      <c r="Z10611"/>
    </row>
    <row r="10612" spans="2:26" x14ac:dyDescent="0.25">
      <c r="B10612"/>
      <c r="Z10612"/>
    </row>
    <row r="10613" spans="2:26" x14ac:dyDescent="0.25">
      <c r="B10613"/>
      <c r="Z10613"/>
    </row>
    <row r="10614" spans="2:26" x14ac:dyDescent="0.25">
      <c r="B10614"/>
      <c r="Z10614"/>
    </row>
    <row r="10615" spans="2:26" x14ac:dyDescent="0.25">
      <c r="B10615"/>
      <c r="Z10615"/>
    </row>
    <row r="10616" spans="2:26" x14ac:dyDescent="0.25">
      <c r="B10616"/>
      <c r="Z10616"/>
    </row>
    <row r="10617" spans="2:26" x14ac:dyDescent="0.25">
      <c r="B10617"/>
      <c r="Z10617"/>
    </row>
    <row r="10618" spans="2:26" x14ac:dyDescent="0.25">
      <c r="B10618"/>
      <c r="Z10618"/>
    </row>
    <row r="10619" spans="2:26" x14ac:dyDescent="0.25">
      <c r="B10619"/>
      <c r="Z10619"/>
    </row>
    <row r="10620" spans="2:26" x14ac:dyDescent="0.25">
      <c r="B10620"/>
      <c r="Z10620"/>
    </row>
    <row r="10621" spans="2:26" x14ac:dyDescent="0.25">
      <c r="B10621"/>
      <c r="Z10621"/>
    </row>
    <row r="10622" spans="2:26" x14ac:dyDescent="0.25">
      <c r="B10622"/>
      <c r="Z10622"/>
    </row>
    <row r="10623" spans="2:26" x14ac:dyDescent="0.25">
      <c r="B10623"/>
      <c r="Z10623"/>
    </row>
    <row r="10624" spans="2:26" x14ac:dyDescent="0.25">
      <c r="B10624"/>
      <c r="Z10624"/>
    </row>
    <row r="10625" spans="2:26" x14ac:dyDescent="0.25">
      <c r="B10625"/>
      <c r="Z10625"/>
    </row>
    <row r="10626" spans="2:26" x14ac:dyDescent="0.25">
      <c r="B10626"/>
      <c r="Z10626"/>
    </row>
    <row r="10627" spans="2:26" x14ac:dyDescent="0.25">
      <c r="B10627"/>
      <c r="Z10627"/>
    </row>
    <row r="10628" spans="2:26" x14ac:dyDescent="0.25">
      <c r="B10628"/>
      <c r="Z10628"/>
    </row>
    <row r="10629" spans="2:26" x14ac:dyDescent="0.25">
      <c r="B10629"/>
      <c r="Z10629"/>
    </row>
    <row r="10630" spans="2:26" x14ac:dyDescent="0.25">
      <c r="B10630"/>
      <c r="Z10630"/>
    </row>
    <row r="10631" spans="2:26" x14ac:dyDescent="0.25">
      <c r="B10631"/>
      <c r="Z10631"/>
    </row>
    <row r="10632" spans="2:26" x14ac:dyDescent="0.25">
      <c r="B10632"/>
      <c r="Z10632"/>
    </row>
    <row r="10633" spans="2:26" x14ac:dyDescent="0.25">
      <c r="B10633"/>
      <c r="Z10633"/>
    </row>
    <row r="10634" spans="2:26" x14ac:dyDescent="0.25">
      <c r="B10634"/>
      <c r="Z10634"/>
    </row>
    <row r="10635" spans="2:26" x14ac:dyDescent="0.25">
      <c r="B10635"/>
      <c r="Z10635"/>
    </row>
    <row r="10636" spans="2:26" x14ac:dyDescent="0.25">
      <c r="B10636"/>
      <c r="Z10636"/>
    </row>
    <row r="10637" spans="2:26" x14ac:dyDescent="0.25">
      <c r="B10637"/>
      <c r="Z10637"/>
    </row>
    <row r="10638" spans="2:26" x14ac:dyDescent="0.25">
      <c r="B10638"/>
      <c r="Z10638"/>
    </row>
    <row r="10639" spans="2:26" x14ac:dyDescent="0.25">
      <c r="B10639"/>
      <c r="Z10639"/>
    </row>
    <row r="10640" spans="2:26" x14ac:dyDescent="0.25">
      <c r="B10640"/>
      <c r="Z10640"/>
    </row>
    <row r="10641" spans="2:26" x14ac:dyDescent="0.25">
      <c r="B10641"/>
      <c r="Z10641"/>
    </row>
    <row r="10642" spans="2:26" x14ac:dyDescent="0.25">
      <c r="B10642"/>
      <c r="Z10642"/>
    </row>
    <row r="10643" spans="2:26" x14ac:dyDescent="0.25">
      <c r="B10643"/>
      <c r="Z10643"/>
    </row>
    <row r="10644" spans="2:26" x14ac:dyDescent="0.25">
      <c r="B10644"/>
      <c r="Z10644"/>
    </row>
    <row r="10645" spans="2:26" x14ac:dyDescent="0.25">
      <c r="B10645"/>
      <c r="Z10645"/>
    </row>
    <row r="10646" spans="2:26" x14ac:dyDescent="0.25">
      <c r="B10646"/>
      <c r="Z10646"/>
    </row>
    <row r="10647" spans="2:26" x14ac:dyDescent="0.25">
      <c r="B10647"/>
      <c r="Z10647"/>
    </row>
    <row r="10648" spans="2:26" x14ac:dyDescent="0.25">
      <c r="B10648"/>
      <c r="Z10648"/>
    </row>
    <row r="10649" spans="2:26" x14ac:dyDescent="0.25">
      <c r="B10649"/>
      <c r="Z10649"/>
    </row>
    <row r="10650" spans="2:26" x14ac:dyDescent="0.25">
      <c r="B10650"/>
      <c r="Z10650"/>
    </row>
    <row r="10651" spans="2:26" x14ac:dyDescent="0.25">
      <c r="B10651"/>
      <c r="Z10651"/>
    </row>
    <row r="10652" spans="2:26" x14ac:dyDescent="0.25">
      <c r="B10652"/>
      <c r="Z10652"/>
    </row>
    <row r="10653" spans="2:26" x14ac:dyDescent="0.25">
      <c r="B10653"/>
      <c r="Z10653"/>
    </row>
    <row r="10654" spans="2:26" x14ac:dyDescent="0.25">
      <c r="B10654"/>
      <c r="Z10654"/>
    </row>
    <row r="10655" spans="2:26" x14ac:dyDescent="0.25">
      <c r="B10655"/>
      <c r="Z10655"/>
    </row>
    <row r="10656" spans="2:26" x14ac:dyDescent="0.25">
      <c r="B10656"/>
      <c r="Z10656"/>
    </row>
    <row r="10657" spans="1:33" x14ac:dyDescent="0.25">
      <c r="B10657"/>
      <c r="Z10657"/>
    </row>
    <row r="10658" spans="1:33" x14ac:dyDescent="0.25">
      <c r="B10658"/>
      <c r="Z10658"/>
    </row>
    <row r="10659" spans="1:33" x14ac:dyDescent="0.25">
      <c r="B10659"/>
      <c r="Z10659"/>
    </row>
    <row r="10660" spans="1:33" x14ac:dyDescent="0.25">
      <c r="B10660"/>
      <c r="Z10660"/>
    </row>
    <row r="10661" spans="1:33" x14ac:dyDescent="0.25">
      <c r="B10661"/>
      <c r="Z10661"/>
    </row>
    <row r="10662" spans="1:33" x14ac:dyDescent="0.25">
      <c r="B10662"/>
      <c r="Z10662"/>
    </row>
    <row r="10663" spans="1:33" x14ac:dyDescent="0.25">
      <c r="B10663"/>
      <c r="Z10663"/>
    </row>
    <row r="10664" spans="1:33" x14ac:dyDescent="0.25">
      <c r="B10664"/>
      <c r="Z10664"/>
    </row>
    <row r="10665" spans="1:33" x14ac:dyDescent="0.25">
      <c r="B10665"/>
      <c r="Z10665"/>
    </row>
    <row r="10666" spans="1:33" x14ac:dyDescent="0.25">
      <c r="B10666"/>
      <c r="Z10666"/>
    </row>
    <row r="10667" spans="1:33" x14ac:dyDescent="0.25">
      <c r="A10667" s="6"/>
      <c r="B10667" s="6"/>
      <c r="C10667" s="6"/>
      <c r="D10667" s="6"/>
      <c r="E10667" s="6"/>
      <c r="F10667" s="6"/>
      <c r="G10667" s="6"/>
      <c r="H10667" s="6"/>
      <c r="I10667" s="6"/>
      <c r="J10667" s="6"/>
      <c r="K10667" s="6"/>
      <c r="L10667" s="6"/>
      <c r="M10667" s="6"/>
      <c r="N10667" s="6"/>
      <c r="O10667" s="6"/>
      <c r="P10667" s="6"/>
      <c r="Q10667" s="6"/>
      <c r="R10667" s="6"/>
      <c r="S10667" s="6"/>
      <c r="T10667" s="6"/>
      <c r="U10667" s="6"/>
      <c r="V10667" s="6"/>
      <c r="W10667" s="6"/>
      <c r="X10667" s="6"/>
      <c r="Y10667" s="6"/>
      <c r="Z10667" s="6"/>
      <c r="AA10667" s="6"/>
      <c r="AB10667" s="6"/>
      <c r="AC10667" s="6"/>
      <c r="AD10667" s="6"/>
      <c r="AE10667" s="6"/>
      <c r="AF10667" s="6"/>
      <c r="AG10667" s="6"/>
    </row>
    <row r="10668" spans="1:33" x14ac:dyDescent="0.25">
      <c r="B10668"/>
      <c r="Z10668"/>
    </row>
    <row r="10669" spans="1:33" x14ac:dyDescent="0.25">
      <c r="B10669"/>
      <c r="Z10669"/>
    </row>
    <row r="10670" spans="1:33" x14ac:dyDescent="0.25">
      <c r="B10670"/>
      <c r="Z10670"/>
    </row>
    <row r="10671" spans="1:33" x14ac:dyDescent="0.25">
      <c r="B10671"/>
      <c r="Z10671"/>
    </row>
    <row r="10672" spans="1:33" x14ac:dyDescent="0.25">
      <c r="B10672"/>
      <c r="Z10672"/>
    </row>
    <row r="10673" spans="2:26" x14ac:dyDescent="0.25">
      <c r="B10673"/>
      <c r="Z10673"/>
    </row>
    <row r="10674" spans="2:26" x14ac:dyDescent="0.25">
      <c r="B10674"/>
      <c r="Z10674"/>
    </row>
    <row r="10675" spans="2:26" x14ac:dyDescent="0.25">
      <c r="B10675"/>
      <c r="Z10675"/>
    </row>
    <row r="10676" spans="2:26" x14ac:dyDescent="0.25">
      <c r="B10676"/>
      <c r="Z10676"/>
    </row>
    <row r="10677" spans="2:26" x14ac:dyDescent="0.25">
      <c r="B10677"/>
      <c r="Z10677"/>
    </row>
    <row r="10678" spans="2:26" x14ac:dyDescent="0.25">
      <c r="B10678"/>
      <c r="Z10678"/>
    </row>
    <row r="10679" spans="2:26" x14ac:dyDescent="0.25">
      <c r="B10679"/>
      <c r="Z10679"/>
    </row>
    <row r="10680" spans="2:26" x14ac:dyDescent="0.25">
      <c r="B10680"/>
      <c r="Z10680"/>
    </row>
    <row r="10681" spans="2:26" x14ac:dyDescent="0.25">
      <c r="B10681"/>
      <c r="Z10681"/>
    </row>
    <row r="10682" spans="2:26" x14ac:dyDescent="0.25">
      <c r="B10682"/>
      <c r="Z10682"/>
    </row>
    <row r="10683" spans="2:26" x14ac:dyDescent="0.25">
      <c r="B10683"/>
      <c r="Z10683"/>
    </row>
    <row r="10684" spans="2:26" x14ac:dyDescent="0.25">
      <c r="B10684"/>
      <c r="Z10684"/>
    </row>
    <row r="10685" spans="2:26" x14ac:dyDescent="0.25">
      <c r="B10685"/>
      <c r="Z10685"/>
    </row>
    <row r="10686" spans="2:26" x14ac:dyDescent="0.25">
      <c r="B10686"/>
      <c r="Z10686"/>
    </row>
    <row r="10687" spans="2:26" x14ac:dyDescent="0.25">
      <c r="B10687"/>
      <c r="Z10687"/>
    </row>
    <row r="10688" spans="2:26" x14ac:dyDescent="0.25">
      <c r="B10688"/>
      <c r="Z10688"/>
    </row>
    <row r="10689" spans="2:26" x14ac:dyDescent="0.25">
      <c r="B10689"/>
      <c r="Z10689"/>
    </row>
    <row r="10690" spans="2:26" x14ac:dyDescent="0.25">
      <c r="B10690"/>
      <c r="Z10690"/>
    </row>
    <row r="10691" spans="2:26" x14ac:dyDescent="0.25">
      <c r="B10691"/>
      <c r="Z10691"/>
    </row>
    <row r="10692" spans="2:26" x14ac:dyDescent="0.25">
      <c r="B10692"/>
      <c r="Z10692"/>
    </row>
    <row r="10693" spans="2:26" x14ac:dyDescent="0.25">
      <c r="B10693"/>
      <c r="Z10693"/>
    </row>
    <row r="10694" spans="2:26" x14ac:dyDescent="0.25">
      <c r="B10694"/>
      <c r="Z10694"/>
    </row>
    <row r="10695" spans="2:26" x14ac:dyDescent="0.25">
      <c r="B10695"/>
      <c r="Z10695"/>
    </row>
    <row r="10696" spans="2:26" x14ac:dyDescent="0.25">
      <c r="B10696"/>
      <c r="Z10696"/>
    </row>
    <row r="10697" spans="2:26" x14ac:dyDescent="0.25">
      <c r="B10697"/>
      <c r="Z10697"/>
    </row>
    <row r="10698" spans="2:26" x14ac:dyDescent="0.25">
      <c r="B10698"/>
      <c r="Z10698"/>
    </row>
    <row r="10699" spans="2:26" x14ac:dyDescent="0.25">
      <c r="B10699"/>
      <c r="Z10699"/>
    </row>
    <row r="10700" spans="2:26" x14ac:dyDescent="0.25">
      <c r="B10700"/>
      <c r="Z10700"/>
    </row>
    <row r="10701" spans="2:26" x14ac:dyDescent="0.25">
      <c r="B10701"/>
      <c r="Z10701"/>
    </row>
    <row r="10702" spans="2:26" x14ac:dyDescent="0.25">
      <c r="B10702"/>
      <c r="Z10702"/>
    </row>
    <row r="10703" spans="2:26" x14ac:dyDescent="0.25">
      <c r="B10703"/>
      <c r="Z10703"/>
    </row>
    <row r="10704" spans="2:26" x14ac:dyDescent="0.25">
      <c r="B10704"/>
      <c r="Z10704"/>
    </row>
    <row r="10705" spans="2:26" x14ac:dyDescent="0.25">
      <c r="B10705"/>
      <c r="Z10705"/>
    </row>
    <row r="10706" spans="2:26" x14ac:dyDescent="0.25">
      <c r="B10706"/>
      <c r="Z10706"/>
    </row>
    <row r="10707" spans="2:26" x14ac:dyDescent="0.25">
      <c r="B10707"/>
      <c r="Z10707"/>
    </row>
    <row r="10708" spans="2:26" x14ac:dyDescent="0.25">
      <c r="B10708"/>
      <c r="Z10708"/>
    </row>
    <row r="10709" spans="2:26" x14ac:dyDescent="0.25">
      <c r="B10709"/>
      <c r="Z10709"/>
    </row>
    <row r="10710" spans="2:26" x14ac:dyDescent="0.25">
      <c r="B10710"/>
      <c r="Z10710"/>
    </row>
    <row r="10711" spans="2:26" x14ac:dyDescent="0.25">
      <c r="B10711"/>
      <c r="Z10711"/>
    </row>
    <row r="10712" spans="2:26" x14ac:dyDescent="0.25">
      <c r="B10712"/>
      <c r="Z10712"/>
    </row>
    <row r="10713" spans="2:26" x14ac:dyDescent="0.25">
      <c r="B10713"/>
      <c r="Z10713"/>
    </row>
    <row r="10714" spans="2:26" x14ac:dyDescent="0.25">
      <c r="B10714"/>
      <c r="Z10714"/>
    </row>
    <row r="10715" spans="2:26" x14ac:dyDescent="0.25">
      <c r="B10715"/>
      <c r="Z10715"/>
    </row>
    <row r="10716" spans="2:26" x14ac:dyDescent="0.25">
      <c r="B10716"/>
      <c r="Z10716"/>
    </row>
    <row r="10717" spans="2:26" x14ac:dyDescent="0.25">
      <c r="B10717"/>
      <c r="Z10717"/>
    </row>
    <row r="10718" spans="2:26" x14ac:dyDescent="0.25">
      <c r="B10718"/>
      <c r="Z10718"/>
    </row>
    <row r="10719" spans="2:26" x14ac:dyDescent="0.25">
      <c r="B10719"/>
      <c r="Z10719"/>
    </row>
    <row r="10720" spans="2:26" x14ac:dyDescent="0.25">
      <c r="B10720"/>
      <c r="Z10720"/>
    </row>
    <row r="10721" spans="2:26" x14ac:dyDescent="0.25">
      <c r="B10721"/>
      <c r="Z10721"/>
    </row>
    <row r="10722" spans="2:26" x14ac:dyDescent="0.25">
      <c r="B10722"/>
      <c r="Z10722"/>
    </row>
    <row r="10723" spans="2:26" x14ac:dyDescent="0.25">
      <c r="B10723"/>
      <c r="Z10723"/>
    </row>
    <row r="10724" spans="2:26" x14ac:dyDescent="0.25">
      <c r="B10724"/>
      <c r="Z10724"/>
    </row>
    <row r="10725" spans="2:26" x14ac:dyDescent="0.25">
      <c r="B10725"/>
      <c r="Z10725"/>
    </row>
    <row r="10726" spans="2:26" x14ac:dyDescent="0.25">
      <c r="B10726"/>
      <c r="Z10726"/>
    </row>
    <row r="10727" spans="2:26" x14ac:dyDescent="0.25">
      <c r="B10727"/>
      <c r="Z10727"/>
    </row>
    <row r="10728" spans="2:26" x14ac:dyDescent="0.25">
      <c r="B10728"/>
      <c r="Z10728"/>
    </row>
    <row r="10729" spans="2:26" x14ac:dyDescent="0.25">
      <c r="B10729"/>
      <c r="Z10729"/>
    </row>
    <row r="10730" spans="2:26" x14ac:dyDescent="0.25">
      <c r="B10730"/>
      <c r="Z10730"/>
    </row>
    <row r="10731" spans="2:26" x14ac:dyDescent="0.25">
      <c r="B10731"/>
      <c r="Z10731"/>
    </row>
    <row r="10732" spans="2:26" x14ac:dyDescent="0.25">
      <c r="B10732"/>
      <c r="Z10732"/>
    </row>
    <row r="10733" spans="2:26" x14ac:dyDescent="0.25">
      <c r="B10733"/>
      <c r="Z10733"/>
    </row>
    <row r="10734" spans="2:26" x14ac:dyDescent="0.25">
      <c r="B10734"/>
      <c r="Z10734"/>
    </row>
    <row r="10735" spans="2:26" x14ac:dyDescent="0.25">
      <c r="B10735"/>
      <c r="Z10735"/>
    </row>
    <row r="10736" spans="2:26" x14ac:dyDescent="0.25">
      <c r="B10736"/>
      <c r="Z10736"/>
    </row>
    <row r="10737" spans="2:26" x14ac:dyDescent="0.25">
      <c r="B10737"/>
      <c r="Z10737"/>
    </row>
    <row r="10738" spans="2:26" x14ac:dyDescent="0.25">
      <c r="B10738"/>
      <c r="Z10738"/>
    </row>
    <row r="10739" spans="2:26" x14ac:dyDescent="0.25">
      <c r="B10739"/>
      <c r="Z10739"/>
    </row>
    <row r="10740" spans="2:26" x14ac:dyDescent="0.25">
      <c r="B10740"/>
      <c r="Z10740"/>
    </row>
    <row r="10741" spans="2:26" x14ac:dyDescent="0.25">
      <c r="B10741"/>
      <c r="Z10741"/>
    </row>
    <row r="10742" spans="2:26" x14ac:dyDescent="0.25">
      <c r="B10742"/>
      <c r="Z10742"/>
    </row>
    <row r="10743" spans="2:26" x14ac:dyDescent="0.25">
      <c r="B10743"/>
      <c r="Z10743"/>
    </row>
    <row r="10744" spans="2:26" x14ac:dyDescent="0.25">
      <c r="B10744"/>
      <c r="Z10744"/>
    </row>
    <row r="10745" spans="2:26" x14ac:dyDescent="0.25">
      <c r="B10745"/>
      <c r="Z10745"/>
    </row>
    <row r="10746" spans="2:26" x14ac:dyDescent="0.25">
      <c r="B10746"/>
      <c r="Z10746"/>
    </row>
    <row r="10747" spans="2:26" x14ac:dyDescent="0.25">
      <c r="B10747"/>
      <c r="Z10747"/>
    </row>
    <row r="10748" spans="2:26" x14ac:dyDescent="0.25">
      <c r="B10748"/>
      <c r="Z10748"/>
    </row>
    <row r="10749" spans="2:26" x14ac:dyDescent="0.25">
      <c r="B10749"/>
      <c r="Z10749"/>
    </row>
    <row r="10750" spans="2:26" x14ac:dyDescent="0.25">
      <c r="B10750"/>
      <c r="Z10750"/>
    </row>
    <row r="10751" spans="2:26" x14ac:dyDescent="0.25">
      <c r="B10751"/>
      <c r="Z10751"/>
    </row>
    <row r="10752" spans="2:26" x14ac:dyDescent="0.25">
      <c r="B10752"/>
      <c r="Z10752"/>
    </row>
    <row r="10753" spans="2:26" x14ac:dyDescent="0.25">
      <c r="B10753"/>
      <c r="Z10753"/>
    </row>
    <row r="10754" spans="2:26" x14ac:dyDescent="0.25">
      <c r="B10754"/>
      <c r="Z10754"/>
    </row>
    <row r="10755" spans="2:26" x14ac:dyDescent="0.25">
      <c r="B10755"/>
      <c r="Z10755"/>
    </row>
    <row r="10756" spans="2:26" x14ac:dyDescent="0.25">
      <c r="B10756"/>
      <c r="Z10756"/>
    </row>
    <row r="10757" spans="2:26" x14ac:dyDescent="0.25">
      <c r="B10757"/>
      <c r="Z10757"/>
    </row>
    <row r="10758" spans="2:26" x14ac:dyDescent="0.25">
      <c r="B10758"/>
      <c r="Z10758"/>
    </row>
    <row r="10759" spans="2:26" x14ac:dyDescent="0.25">
      <c r="B10759"/>
      <c r="Z10759"/>
    </row>
    <row r="10760" spans="2:26" x14ac:dyDescent="0.25">
      <c r="B10760"/>
      <c r="Z10760"/>
    </row>
    <row r="10761" spans="2:26" x14ac:dyDescent="0.25">
      <c r="B10761"/>
      <c r="Z10761"/>
    </row>
    <row r="10762" spans="2:26" x14ac:dyDescent="0.25">
      <c r="B10762"/>
      <c r="Z10762"/>
    </row>
    <row r="10763" spans="2:26" x14ac:dyDescent="0.25">
      <c r="B10763"/>
      <c r="Z10763"/>
    </row>
    <row r="10764" spans="2:26" x14ac:dyDescent="0.25">
      <c r="B10764"/>
      <c r="Z10764"/>
    </row>
    <row r="10765" spans="2:26" x14ac:dyDescent="0.25">
      <c r="B10765"/>
      <c r="Z10765"/>
    </row>
    <row r="10766" spans="2:26" x14ac:dyDescent="0.25">
      <c r="B10766"/>
      <c r="Z10766"/>
    </row>
    <row r="10767" spans="2:26" x14ac:dyDescent="0.25">
      <c r="B10767"/>
      <c r="Z10767"/>
    </row>
    <row r="10768" spans="2:26" x14ac:dyDescent="0.25">
      <c r="B10768"/>
      <c r="Z10768"/>
    </row>
    <row r="10769" spans="1:33" x14ac:dyDescent="0.25">
      <c r="A10769" s="6"/>
      <c r="B10769" s="6"/>
      <c r="C10769" s="6"/>
      <c r="D10769" s="6"/>
      <c r="E10769" s="6"/>
      <c r="F10769" s="6"/>
      <c r="G10769" s="6"/>
      <c r="H10769" s="6"/>
      <c r="I10769" s="6"/>
      <c r="J10769" s="6"/>
      <c r="K10769" s="6"/>
      <c r="L10769" s="6"/>
      <c r="M10769" s="6"/>
      <c r="N10769" s="6"/>
      <c r="O10769" s="6"/>
      <c r="P10769" s="6"/>
      <c r="Q10769" s="6"/>
      <c r="R10769" s="6"/>
      <c r="S10769" s="6"/>
      <c r="T10769" s="6"/>
      <c r="U10769" s="6"/>
      <c r="V10769" s="6"/>
      <c r="W10769" s="6"/>
      <c r="X10769" s="6"/>
      <c r="Y10769" s="6"/>
      <c r="Z10769" s="6"/>
      <c r="AA10769" s="6"/>
      <c r="AB10769" s="6"/>
      <c r="AC10769" s="6"/>
      <c r="AD10769" s="6"/>
      <c r="AE10769" s="6"/>
      <c r="AF10769" s="6"/>
      <c r="AG10769" s="6"/>
    </row>
    <row r="10770" spans="1:33" x14ac:dyDescent="0.25">
      <c r="B10770"/>
      <c r="Z10770"/>
    </row>
    <row r="10771" spans="1:33" x14ac:dyDescent="0.25">
      <c r="B10771"/>
      <c r="Z10771"/>
    </row>
    <row r="10772" spans="1:33" x14ac:dyDescent="0.25">
      <c r="B10772"/>
      <c r="Z10772"/>
    </row>
    <row r="10773" spans="1:33" x14ac:dyDescent="0.25">
      <c r="B10773"/>
      <c r="Z10773"/>
    </row>
    <row r="10774" spans="1:33" x14ac:dyDescent="0.25">
      <c r="B10774"/>
      <c r="Z10774"/>
    </row>
    <row r="10775" spans="1:33" x14ac:dyDescent="0.25">
      <c r="B10775"/>
      <c r="Z10775"/>
    </row>
    <row r="10776" spans="1:33" x14ac:dyDescent="0.25">
      <c r="B10776"/>
      <c r="Z10776"/>
    </row>
    <row r="10777" spans="1:33" x14ac:dyDescent="0.25">
      <c r="B10777"/>
      <c r="Z10777"/>
    </row>
    <row r="10778" spans="1:33" x14ac:dyDescent="0.25">
      <c r="B10778"/>
      <c r="Z10778"/>
    </row>
    <row r="10779" spans="1:33" x14ac:dyDescent="0.25">
      <c r="B10779"/>
      <c r="Z10779"/>
    </row>
    <row r="10780" spans="1:33" x14ac:dyDescent="0.25">
      <c r="B10780"/>
      <c r="Z10780"/>
    </row>
    <row r="10781" spans="1:33" x14ac:dyDescent="0.25">
      <c r="B10781"/>
      <c r="Z10781"/>
    </row>
    <row r="10782" spans="1:33" x14ac:dyDescent="0.25">
      <c r="B10782"/>
      <c r="Z10782"/>
    </row>
    <row r="10783" spans="1:33" x14ac:dyDescent="0.25">
      <c r="B10783"/>
      <c r="Z10783"/>
    </row>
    <row r="10784" spans="1:33" x14ac:dyDescent="0.25">
      <c r="B10784"/>
      <c r="Z10784"/>
    </row>
    <row r="10785" spans="2:26" x14ac:dyDescent="0.25">
      <c r="B10785"/>
      <c r="Z10785"/>
    </row>
    <row r="10786" spans="2:26" x14ac:dyDescent="0.25">
      <c r="B10786"/>
      <c r="Z10786"/>
    </row>
    <row r="10787" spans="2:26" x14ac:dyDescent="0.25">
      <c r="B10787"/>
      <c r="Z10787"/>
    </row>
    <row r="10788" spans="2:26" x14ac:dyDescent="0.25">
      <c r="B10788"/>
      <c r="Z10788"/>
    </row>
    <row r="10789" spans="2:26" x14ac:dyDescent="0.25">
      <c r="B10789"/>
      <c r="Z10789"/>
    </row>
    <row r="10790" spans="2:26" x14ac:dyDescent="0.25">
      <c r="B10790"/>
      <c r="Z10790"/>
    </row>
    <row r="10791" spans="2:26" x14ac:dyDescent="0.25">
      <c r="B10791"/>
      <c r="Z10791"/>
    </row>
    <row r="10792" spans="2:26" x14ac:dyDescent="0.25">
      <c r="B10792"/>
      <c r="Z10792"/>
    </row>
    <row r="10793" spans="2:26" x14ac:dyDescent="0.25">
      <c r="B10793"/>
      <c r="Z10793"/>
    </row>
    <row r="10794" spans="2:26" x14ac:dyDescent="0.25">
      <c r="B10794"/>
      <c r="Z10794"/>
    </row>
    <row r="10795" spans="2:26" x14ac:dyDescent="0.25">
      <c r="B10795"/>
      <c r="Z10795"/>
    </row>
    <row r="10796" spans="2:26" x14ac:dyDescent="0.25">
      <c r="B10796"/>
      <c r="Z10796"/>
    </row>
    <row r="10797" spans="2:26" x14ac:dyDescent="0.25">
      <c r="B10797"/>
      <c r="Z10797"/>
    </row>
    <row r="10798" spans="2:26" x14ac:dyDescent="0.25">
      <c r="B10798"/>
      <c r="Z10798"/>
    </row>
    <row r="10799" spans="2:26" x14ac:dyDescent="0.25">
      <c r="B10799"/>
      <c r="Z10799"/>
    </row>
    <row r="10800" spans="2:26" x14ac:dyDescent="0.25">
      <c r="B10800"/>
      <c r="Z10800"/>
    </row>
    <row r="10801" spans="2:26" x14ac:dyDescent="0.25">
      <c r="B10801"/>
      <c r="Z10801"/>
    </row>
    <row r="10802" spans="2:26" x14ac:dyDescent="0.25">
      <c r="B10802"/>
      <c r="Z10802"/>
    </row>
    <row r="10803" spans="2:26" x14ac:dyDescent="0.25">
      <c r="B10803"/>
      <c r="Z10803"/>
    </row>
    <row r="10804" spans="2:26" x14ac:dyDescent="0.25">
      <c r="B10804"/>
      <c r="Z10804"/>
    </row>
    <row r="10805" spans="2:26" x14ac:dyDescent="0.25">
      <c r="B10805"/>
      <c r="Z10805"/>
    </row>
    <row r="10806" spans="2:26" x14ac:dyDescent="0.25">
      <c r="B10806"/>
      <c r="Z10806"/>
    </row>
    <row r="10807" spans="2:26" x14ac:dyDescent="0.25">
      <c r="B10807"/>
      <c r="Z10807"/>
    </row>
    <row r="10808" spans="2:26" x14ac:dyDescent="0.25">
      <c r="B10808"/>
      <c r="Z10808"/>
    </row>
    <row r="10809" spans="2:26" x14ac:dyDescent="0.25">
      <c r="B10809"/>
      <c r="Z10809"/>
    </row>
    <row r="10810" spans="2:26" x14ac:dyDescent="0.25">
      <c r="B10810"/>
      <c r="Z10810"/>
    </row>
    <row r="10811" spans="2:26" x14ac:dyDescent="0.25">
      <c r="B10811"/>
      <c r="Z10811"/>
    </row>
    <row r="10812" spans="2:26" x14ac:dyDescent="0.25">
      <c r="B10812"/>
      <c r="Z10812"/>
    </row>
    <row r="10813" spans="2:26" x14ac:dyDescent="0.25">
      <c r="B10813"/>
      <c r="Z10813"/>
    </row>
    <row r="10814" spans="2:26" x14ac:dyDescent="0.25">
      <c r="B10814"/>
      <c r="Z10814"/>
    </row>
    <row r="10815" spans="2:26" x14ac:dyDescent="0.25">
      <c r="B10815"/>
      <c r="Z10815"/>
    </row>
    <row r="10816" spans="2:26" x14ac:dyDescent="0.25">
      <c r="B10816"/>
      <c r="Z10816"/>
    </row>
    <row r="10817" spans="2:26" x14ac:dyDescent="0.25">
      <c r="B10817"/>
      <c r="Z10817"/>
    </row>
    <row r="10818" spans="2:26" x14ac:dyDescent="0.25">
      <c r="B10818"/>
      <c r="Z10818"/>
    </row>
    <row r="10819" spans="2:26" x14ac:dyDescent="0.25">
      <c r="B10819"/>
      <c r="Z10819"/>
    </row>
    <row r="10820" spans="2:26" x14ac:dyDescent="0.25">
      <c r="B10820"/>
      <c r="Z10820"/>
    </row>
    <row r="10821" spans="2:26" x14ac:dyDescent="0.25">
      <c r="B10821"/>
      <c r="Z10821"/>
    </row>
    <row r="10822" spans="2:26" x14ac:dyDescent="0.25">
      <c r="B10822"/>
      <c r="Z10822"/>
    </row>
    <row r="10823" spans="2:26" x14ac:dyDescent="0.25">
      <c r="B10823"/>
      <c r="Z10823"/>
    </row>
    <row r="10824" spans="2:26" x14ac:dyDescent="0.25">
      <c r="B10824"/>
      <c r="Z10824"/>
    </row>
    <row r="10825" spans="2:26" x14ac:dyDescent="0.25">
      <c r="B10825"/>
      <c r="Z10825"/>
    </row>
    <row r="10826" spans="2:26" x14ac:dyDescent="0.25">
      <c r="B10826"/>
      <c r="Z10826"/>
    </row>
    <row r="10827" spans="2:26" x14ac:dyDescent="0.25">
      <c r="B10827"/>
      <c r="Z10827"/>
    </row>
    <row r="10828" spans="2:26" x14ac:dyDescent="0.25">
      <c r="B10828"/>
      <c r="Z10828"/>
    </row>
    <row r="10829" spans="2:26" x14ac:dyDescent="0.25">
      <c r="B10829"/>
      <c r="Z10829"/>
    </row>
    <row r="10830" spans="2:26" x14ac:dyDescent="0.25">
      <c r="B10830"/>
      <c r="Z10830"/>
    </row>
    <row r="10831" spans="2:26" x14ac:dyDescent="0.25">
      <c r="B10831"/>
      <c r="Z10831"/>
    </row>
    <row r="10832" spans="2:26" x14ac:dyDescent="0.25">
      <c r="B10832"/>
      <c r="Z10832"/>
    </row>
    <row r="10833" spans="2:26" x14ac:dyDescent="0.25">
      <c r="B10833"/>
      <c r="Z10833"/>
    </row>
    <row r="10834" spans="2:26" x14ac:dyDescent="0.25">
      <c r="B10834"/>
      <c r="Z10834"/>
    </row>
    <row r="10835" spans="2:26" x14ac:dyDescent="0.25">
      <c r="B10835"/>
      <c r="Z10835"/>
    </row>
    <row r="10836" spans="2:26" x14ac:dyDescent="0.25">
      <c r="B10836"/>
      <c r="Z10836"/>
    </row>
    <row r="10837" spans="2:26" x14ac:dyDescent="0.25">
      <c r="B10837"/>
      <c r="Z10837"/>
    </row>
    <row r="10838" spans="2:26" x14ac:dyDescent="0.25">
      <c r="B10838"/>
      <c r="Z10838"/>
    </row>
    <row r="10839" spans="2:26" x14ac:dyDescent="0.25">
      <c r="B10839"/>
      <c r="Z10839"/>
    </row>
    <row r="10840" spans="2:26" x14ac:dyDescent="0.25">
      <c r="B10840"/>
      <c r="Z10840"/>
    </row>
    <row r="10841" spans="2:26" x14ac:dyDescent="0.25">
      <c r="B10841"/>
      <c r="Z10841"/>
    </row>
    <row r="10842" spans="2:26" x14ac:dyDescent="0.25">
      <c r="B10842"/>
      <c r="Z10842"/>
    </row>
    <row r="10843" spans="2:26" x14ac:dyDescent="0.25">
      <c r="B10843"/>
      <c r="Z10843"/>
    </row>
    <row r="10844" spans="2:26" x14ac:dyDescent="0.25">
      <c r="B10844"/>
      <c r="Z10844"/>
    </row>
    <row r="10845" spans="2:26" x14ac:dyDescent="0.25">
      <c r="B10845"/>
      <c r="Z10845"/>
    </row>
    <row r="10846" spans="2:26" x14ac:dyDescent="0.25">
      <c r="B10846"/>
      <c r="Z10846"/>
    </row>
    <row r="10847" spans="2:26" x14ac:dyDescent="0.25">
      <c r="B10847"/>
      <c r="Z10847"/>
    </row>
    <row r="10848" spans="2:26" x14ac:dyDescent="0.25">
      <c r="B10848"/>
      <c r="Z10848"/>
    </row>
    <row r="10849" spans="2:26" x14ac:dyDescent="0.25">
      <c r="B10849"/>
      <c r="Z10849"/>
    </row>
    <row r="10850" spans="2:26" x14ac:dyDescent="0.25">
      <c r="B10850"/>
      <c r="Z10850"/>
    </row>
    <row r="10851" spans="2:26" x14ac:dyDescent="0.25">
      <c r="B10851"/>
      <c r="Z10851"/>
    </row>
    <row r="10852" spans="2:26" x14ac:dyDescent="0.25">
      <c r="B10852"/>
      <c r="Z10852"/>
    </row>
    <row r="10853" spans="2:26" x14ac:dyDescent="0.25">
      <c r="B10853"/>
      <c r="Z10853"/>
    </row>
    <row r="10854" spans="2:26" x14ac:dyDescent="0.25">
      <c r="B10854"/>
      <c r="Z10854"/>
    </row>
    <row r="10855" spans="2:26" x14ac:dyDescent="0.25">
      <c r="B10855"/>
      <c r="Z10855"/>
    </row>
    <row r="10856" spans="2:26" x14ac:dyDescent="0.25">
      <c r="B10856"/>
      <c r="Z10856"/>
    </row>
    <row r="10857" spans="2:26" x14ac:dyDescent="0.25">
      <c r="B10857"/>
      <c r="Z10857"/>
    </row>
    <row r="10858" spans="2:26" x14ac:dyDescent="0.25">
      <c r="B10858"/>
      <c r="Z10858"/>
    </row>
    <row r="10859" spans="2:26" x14ac:dyDescent="0.25">
      <c r="B10859"/>
      <c r="Z10859"/>
    </row>
    <row r="10860" spans="2:26" x14ac:dyDescent="0.25">
      <c r="B10860"/>
      <c r="K10860" s="6"/>
      <c r="Z10860"/>
    </row>
    <row r="10861" spans="2:26" x14ac:dyDescent="0.25">
      <c r="B10861"/>
      <c r="Z10861"/>
    </row>
    <row r="10862" spans="2:26" x14ac:dyDescent="0.25">
      <c r="B10862"/>
      <c r="Z10862"/>
    </row>
    <row r="10863" spans="2:26" x14ac:dyDescent="0.25">
      <c r="B10863"/>
      <c r="Z10863"/>
    </row>
    <row r="10864" spans="2:26" x14ac:dyDescent="0.25">
      <c r="B10864"/>
      <c r="Z10864"/>
    </row>
    <row r="10865" spans="1:33" x14ac:dyDescent="0.25">
      <c r="B10865"/>
      <c r="Z10865"/>
    </row>
    <row r="10866" spans="1:33" x14ac:dyDescent="0.25">
      <c r="B10866"/>
      <c r="Z10866"/>
    </row>
    <row r="10867" spans="1:33" x14ac:dyDescent="0.25">
      <c r="B10867"/>
      <c r="Z10867"/>
    </row>
    <row r="10868" spans="1:33" x14ac:dyDescent="0.25">
      <c r="B10868"/>
      <c r="Z10868"/>
    </row>
    <row r="10869" spans="1:33" x14ac:dyDescent="0.25">
      <c r="B10869"/>
      <c r="Z10869"/>
    </row>
    <row r="10870" spans="1:33" x14ac:dyDescent="0.25">
      <c r="B10870"/>
      <c r="Z10870"/>
    </row>
    <row r="10871" spans="1:33" x14ac:dyDescent="0.25">
      <c r="A10871" s="6"/>
      <c r="B10871" s="6"/>
      <c r="C10871" s="6"/>
      <c r="D10871" s="6"/>
      <c r="E10871" s="6"/>
      <c r="F10871" s="6"/>
      <c r="G10871" s="6"/>
      <c r="H10871" s="6"/>
      <c r="I10871" s="6"/>
      <c r="J10871" s="6"/>
      <c r="K10871" s="6"/>
      <c r="L10871" s="6"/>
      <c r="M10871" s="6"/>
      <c r="N10871" s="6"/>
      <c r="O10871" s="6"/>
      <c r="P10871" s="6"/>
      <c r="Q10871" s="6"/>
      <c r="R10871" s="6"/>
      <c r="S10871" s="6"/>
      <c r="T10871" s="6"/>
      <c r="U10871" s="6"/>
      <c r="V10871" s="6"/>
      <c r="W10871" s="6"/>
      <c r="X10871" s="6"/>
      <c r="Y10871" s="6"/>
      <c r="Z10871" s="6"/>
      <c r="AA10871" s="6"/>
      <c r="AB10871" s="6"/>
      <c r="AC10871" s="6"/>
      <c r="AD10871" s="6"/>
      <c r="AE10871" s="6"/>
      <c r="AF10871" s="6"/>
      <c r="AG10871" s="6"/>
    </row>
    <row r="10872" spans="1:33" x14ac:dyDescent="0.25">
      <c r="B10872"/>
      <c r="Z10872"/>
    </row>
    <row r="10873" spans="1:33" x14ac:dyDescent="0.25">
      <c r="B10873"/>
      <c r="Z10873"/>
    </row>
    <row r="10874" spans="1:33" x14ac:dyDescent="0.25">
      <c r="B10874"/>
      <c r="Z10874"/>
    </row>
    <row r="10875" spans="1:33" x14ac:dyDescent="0.25">
      <c r="B10875"/>
      <c r="Z10875"/>
    </row>
    <row r="10876" spans="1:33" x14ac:dyDescent="0.25">
      <c r="B10876"/>
      <c r="Z10876"/>
    </row>
    <row r="10877" spans="1:33" x14ac:dyDescent="0.25">
      <c r="B10877"/>
      <c r="Z10877"/>
    </row>
    <row r="10878" spans="1:33" x14ac:dyDescent="0.25">
      <c r="B10878"/>
      <c r="Z10878"/>
    </row>
    <row r="10879" spans="1:33" x14ac:dyDescent="0.25">
      <c r="B10879"/>
      <c r="Z10879"/>
    </row>
    <row r="10880" spans="1:33" x14ac:dyDescent="0.25">
      <c r="B10880"/>
      <c r="Z10880"/>
    </row>
    <row r="10881" spans="2:26" x14ac:dyDescent="0.25">
      <c r="B10881"/>
      <c r="Z10881"/>
    </row>
    <row r="10882" spans="2:26" x14ac:dyDescent="0.25">
      <c r="B10882"/>
      <c r="Z10882"/>
    </row>
    <row r="10883" spans="2:26" x14ac:dyDescent="0.25">
      <c r="B10883"/>
      <c r="Z10883"/>
    </row>
    <row r="10884" spans="2:26" x14ac:dyDescent="0.25">
      <c r="B10884"/>
      <c r="Z10884"/>
    </row>
    <row r="10885" spans="2:26" x14ac:dyDescent="0.25">
      <c r="B10885"/>
      <c r="Z10885"/>
    </row>
    <row r="10886" spans="2:26" x14ac:dyDescent="0.25">
      <c r="B10886"/>
      <c r="Z10886"/>
    </row>
    <row r="10887" spans="2:26" x14ac:dyDescent="0.25">
      <c r="B10887"/>
      <c r="Z10887"/>
    </row>
    <row r="10888" spans="2:26" x14ac:dyDescent="0.25">
      <c r="B10888"/>
      <c r="Z10888"/>
    </row>
    <row r="10889" spans="2:26" x14ac:dyDescent="0.25">
      <c r="B10889"/>
      <c r="Z10889"/>
    </row>
    <row r="10890" spans="2:26" x14ac:dyDescent="0.25">
      <c r="B10890"/>
      <c r="Z10890"/>
    </row>
    <row r="10891" spans="2:26" x14ac:dyDescent="0.25">
      <c r="B10891"/>
      <c r="Z10891"/>
    </row>
    <row r="10892" spans="2:26" x14ac:dyDescent="0.25">
      <c r="B10892"/>
      <c r="Z10892"/>
    </row>
    <row r="10893" spans="2:26" x14ac:dyDescent="0.25">
      <c r="B10893"/>
      <c r="Z10893"/>
    </row>
    <row r="10894" spans="2:26" x14ac:dyDescent="0.25">
      <c r="B10894"/>
      <c r="Z10894"/>
    </row>
    <row r="10895" spans="2:26" x14ac:dyDescent="0.25">
      <c r="B10895"/>
      <c r="Z10895"/>
    </row>
    <row r="10896" spans="2:26" x14ac:dyDescent="0.25">
      <c r="B10896"/>
      <c r="Z10896"/>
    </row>
    <row r="10897" spans="2:26" x14ac:dyDescent="0.25">
      <c r="B10897"/>
      <c r="Z10897"/>
    </row>
    <row r="10898" spans="2:26" x14ac:dyDescent="0.25">
      <c r="B10898"/>
      <c r="Z10898"/>
    </row>
    <row r="10899" spans="2:26" x14ac:dyDescent="0.25">
      <c r="B10899"/>
      <c r="Z10899"/>
    </row>
    <row r="10900" spans="2:26" x14ac:dyDescent="0.25">
      <c r="B10900"/>
      <c r="Z10900"/>
    </row>
    <row r="10901" spans="2:26" x14ac:dyDescent="0.25">
      <c r="B10901"/>
      <c r="Z10901"/>
    </row>
    <row r="10902" spans="2:26" x14ac:dyDescent="0.25">
      <c r="B10902"/>
      <c r="Z10902"/>
    </row>
    <row r="10903" spans="2:26" x14ac:dyDescent="0.25">
      <c r="B10903"/>
      <c r="Z10903"/>
    </row>
    <row r="10904" spans="2:26" x14ac:dyDescent="0.25">
      <c r="B10904"/>
      <c r="Z10904"/>
    </row>
    <row r="10905" spans="2:26" x14ac:dyDescent="0.25">
      <c r="B10905"/>
      <c r="Z10905"/>
    </row>
    <row r="10906" spans="2:26" x14ac:dyDescent="0.25">
      <c r="B10906"/>
      <c r="Z10906"/>
    </row>
    <row r="10907" spans="2:26" x14ac:dyDescent="0.25">
      <c r="B10907"/>
      <c r="Z10907"/>
    </row>
    <row r="10908" spans="2:26" x14ac:dyDescent="0.25">
      <c r="B10908"/>
      <c r="Z10908"/>
    </row>
    <row r="10909" spans="2:26" x14ac:dyDescent="0.25">
      <c r="B10909"/>
      <c r="Z10909"/>
    </row>
    <row r="10910" spans="2:26" x14ac:dyDescent="0.25">
      <c r="B10910"/>
      <c r="Z10910"/>
    </row>
    <row r="10911" spans="2:26" x14ac:dyDescent="0.25">
      <c r="B10911"/>
      <c r="Z10911"/>
    </row>
    <row r="10912" spans="2:26" x14ac:dyDescent="0.25">
      <c r="B10912"/>
      <c r="Z10912"/>
    </row>
    <row r="10913" spans="2:26" x14ac:dyDescent="0.25">
      <c r="B10913"/>
      <c r="Z10913"/>
    </row>
    <row r="10914" spans="2:26" x14ac:dyDescent="0.25">
      <c r="B10914"/>
      <c r="Z10914"/>
    </row>
    <row r="10915" spans="2:26" x14ac:dyDescent="0.25">
      <c r="B10915"/>
      <c r="Z10915"/>
    </row>
    <row r="10916" spans="2:26" x14ac:dyDescent="0.25">
      <c r="B10916"/>
      <c r="Z10916"/>
    </row>
    <row r="10917" spans="2:26" x14ac:dyDescent="0.25">
      <c r="B10917"/>
      <c r="Z10917"/>
    </row>
    <row r="10918" spans="2:26" x14ac:dyDescent="0.25">
      <c r="B10918"/>
      <c r="Z10918"/>
    </row>
    <row r="10919" spans="2:26" x14ac:dyDescent="0.25">
      <c r="B10919"/>
      <c r="Z10919"/>
    </row>
    <row r="10920" spans="2:26" x14ac:dyDescent="0.25">
      <c r="B10920"/>
      <c r="Z10920"/>
    </row>
    <row r="10921" spans="2:26" x14ac:dyDescent="0.25">
      <c r="B10921"/>
      <c r="Z10921"/>
    </row>
    <row r="10922" spans="2:26" x14ac:dyDescent="0.25">
      <c r="B10922"/>
      <c r="Z10922"/>
    </row>
    <row r="10923" spans="2:26" x14ac:dyDescent="0.25">
      <c r="B10923"/>
      <c r="Z10923"/>
    </row>
    <row r="10924" spans="2:26" x14ac:dyDescent="0.25">
      <c r="B10924"/>
      <c r="Z10924"/>
    </row>
    <row r="10925" spans="2:26" x14ac:dyDescent="0.25">
      <c r="B10925"/>
      <c r="Z10925"/>
    </row>
    <row r="10926" spans="2:26" x14ac:dyDescent="0.25">
      <c r="B10926"/>
      <c r="Z10926"/>
    </row>
    <row r="10927" spans="2:26" x14ac:dyDescent="0.25">
      <c r="B10927"/>
      <c r="Z10927"/>
    </row>
    <row r="10928" spans="2:26" x14ac:dyDescent="0.25">
      <c r="B10928"/>
      <c r="Z10928"/>
    </row>
    <row r="10929" spans="2:26" x14ac:dyDescent="0.25">
      <c r="B10929"/>
      <c r="Z10929"/>
    </row>
    <row r="10930" spans="2:26" x14ac:dyDescent="0.25">
      <c r="B10930"/>
      <c r="Z10930"/>
    </row>
    <row r="10931" spans="2:26" x14ac:dyDescent="0.25">
      <c r="B10931"/>
      <c r="Z10931"/>
    </row>
    <row r="10932" spans="2:26" x14ac:dyDescent="0.25">
      <c r="B10932"/>
      <c r="Z10932"/>
    </row>
    <row r="10933" spans="2:26" x14ac:dyDescent="0.25">
      <c r="B10933"/>
      <c r="Z10933"/>
    </row>
    <row r="10934" spans="2:26" x14ac:dyDescent="0.25">
      <c r="B10934"/>
      <c r="Z10934"/>
    </row>
    <row r="10935" spans="2:26" x14ac:dyDescent="0.25">
      <c r="B10935"/>
      <c r="Z10935"/>
    </row>
    <row r="10936" spans="2:26" x14ac:dyDescent="0.25">
      <c r="B10936"/>
      <c r="Z10936"/>
    </row>
    <row r="10937" spans="2:26" x14ac:dyDescent="0.25">
      <c r="B10937"/>
      <c r="Z10937"/>
    </row>
    <row r="10938" spans="2:26" x14ac:dyDescent="0.25">
      <c r="B10938"/>
      <c r="Z10938"/>
    </row>
    <row r="10939" spans="2:26" x14ac:dyDescent="0.25">
      <c r="B10939"/>
      <c r="Z10939"/>
    </row>
    <row r="10940" spans="2:26" x14ac:dyDescent="0.25">
      <c r="B10940"/>
      <c r="Z10940"/>
    </row>
    <row r="10941" spans="2:26" x14ac:dyDescent="0.25">
      <c r="B10941"/>
      <c r="Z10941"/>
    </row>
    <row r="10942" spans="2:26" x14ac:dyDescent="0.25">
      <c r="B10942"/>
      <c r="Z10942"/>
    </row>
    <row r="10943" spans="2:26" x14ac:dyDescent="0.25">
      <c r="B10943"/>
      <c r="Z10943"/>
    </row>
    <row r="10944" spans="2:26" x14ac:dyDescent="0.25">
      <c r="B10944"/>
      <c r="Z10944"/>
    </row>
    <row r="10945" spans="2:26" x14ac:dyDescent="0.25">
      <c r="B10945"/>
      <c r="Z10945"/>
    </row>
    <row r="10946" spans="2:26" x14ac:dyDescent="0.25">
      <c r="B10946"/>
      <c r="Z10946"/>
    </row>
    <row r="10947" spans="2:26" x14ac:dyDescent="0.25">
      <c r="B10947"/>
      <c r="Z10947"/>
    </row>
    <row r="10948" spans="2:26" x14ac:dyDescent="0.25">
      <c r="B10948"/>
      <c r="Z10948"/>
    </row>
    <row r="10949" spans="2:26" x14ac:dyDescent="0.25">
      <c r="B10949"/>
      <c r="Z10949"/>
    </row>
    <row r="10950" spans="2:26" x14ac:dyDescent="0.25">
      <c r="B10950"/>
      <c r="Z10950"/>
    </row>
    <row r="10951" spans="2:26" x14ac:dyDescent="0.25">
      <c r="B10951"/>
      <c r="Z10951"/>
    </row>
    <row r="10952" spans="2:26" x14ac:dyDescent="0.25">
      <c r="B10952"/>
      <c r="Z10952"/>
    </row>
    <row r="10953" spans="2:26" x14ac:dyDescent="0.25">
      <c r="B10953"/>
      <c r="Z10953"/>
    </row>
    <row r="10954" spans="2:26" x14ac:dyDescent="0.25">
      <c r="B10954"/>
      <c r="Z10954"/>
    </row>
    <row r="10955" spans="2:26" x14ac:dyDescent="0.25">
      <c r="B10955"/>
      <c r="Z10955"/>
    </row>
    <row r="10956" spans="2:26" x14ac:dyDescent="0.25">
      <c r="B10956"/>
      <c r="Z10956"/>
    </row>
    <row r="10957" spans="2:26" x14ac:dyDescent="0.25">
      <c r="B10957"/>
      <c r="Z10957"/>
    </row>
    <row r="10958" spans="2:26" x14ac:dyDescent="0.25">
      <c r="B10958"/>
      <c r="Z10958"/>
    </row>
    <row r="10959" spans="2:26" x14ac:dyDescent="0.25">
      <c r="B10959"/>
      <c r="Z10959"/>
    </row>
    <row r="10960" spans="2:26" x14ac:dyDescent="0.25">
      <c r="B10960"/>
      <c r="Z10960"/>
    </row>
    <row r="10961" spans="1:33" x14ac:dyDescent="0.25">
      <c r="B10961"/>
      <c r="Z10961"/>
    </row>
    <row r="10962" spans="1:33" x14ac:dyDescent="0.25">
      <c r="B10962"/>
      <c r="Z10962"/>
    </row>
    <row r="10963" spans="1:33" x14ac:dyDescent="0.25">
      <c r="B10963"/>
      <c r="Z10963"/>
    </row>
    <row r="10964" spans="1:33" x14ac:dyDescent="0.25">
      <c r="B10964"/>
      <c r="Z10964"/>
    </row>
    <row r="10965" spans="1:33" x14ac:dyDescent="0.25">
      <c r="B10965"/>
      <c r="Z10965"/>
    </row>
    <row r="10966" spans="1:33" x14ac:dyDescent="0.25">
      <c r="B10966"/>
      <c r="Z10966"/>
    </row>
    <row r="10967" spans="1:33" x14ac:dyDescent="0.25">
      <c r="B10967"/>
      <c r="Z10967"/>
    </row>
    <row r="10968" spans="1:33" x14ac:dyDescent="0.25">
      <c r="B10968"/>
      <c r="Z10968"/>
    </row>
    <row r="10969" spans="1:33" x14ac:dyDescent="0.25">
      <c r="B10969"/>
      <c r="Z10969"/>
    </row>
    <row r="10970" spans="1:33" x14ac:dyDescent="0.25">
      <c r="B10970"/>
      <c r="Z10970"/>
    </row>
    <row r="10971" spans="1:33" x14ac:dyDescent="0.25">
      <c r="B10971"/>
      <c r="Z10971"/>
    </row>
    <row r="10972" spans="1:33" x14ac:dyDescent="0.25">
      <c r="B10972"/>
      <c r="Z10972"/>
    </row>
    <row r="10973" spans="1:33" x14ac:dyDescent="0.25">
      <c r="A10973" s="6"/>
      <c r="B10973" s="6"/>
      <c r="C10973" s="6"/>
      <c r="D10973" s="6"/>
      <c r="E10973" s="6"/>
      <c r="F10973" s="6"/>
      <c r="G10973" s="6"/>
      <c r="H10973" s="6"/>
      <c r="I10973" s="6"/>
      <c r="J10973" s="6"/>
      <c r="K10973" s="6"/>
      <c r="L10973" s="6"/>
      <c r="M10973" s="6"/>
      <c r="N10973" s="6"/>
      <c r="O10973" s="6"/>
      <c r="P10973" s="6"/>
      <c r="Q10973" s="6"/>
      <c r="R10973" s="6"/>
      <c r="S10973" s="6"/>
      <c r="T10973" s="6"/>
      <c r="U10973" s="6"/>
      <c r="V10973" s="6"/>
      <c r="W10973" s="6"/>
      <c r="X10973" s="6"/>
      <c r="Y10973" s="6"/>
      <c r="Z10973" s="6"/>
      <c r="AA10973" s="6"/>
      <c r="AB10973" s="6"/>
      <c r="AC10973" s="6"/>
      <c r="AD10973" s="6"/>
      <c r="AE10973" s="6"/>
      <c r="AF10973" s="6"/>
      <c r="AG10973" s="6"/>
    </row>
    <row r="10974" spans="1:33" x14ac:dyDescent="0.25">
      <c r="B10974"/>
      <c r="Z10974"/>
    </row>
    <row r="10975" spans="1:33" x14ac:dyDescent="0.25">
      <c r="B10975"/>
      <c r="Z10975"/>
    </row>
    <row r="10976" spans="1:33" x14ac:dyDescent="0.25">
      <c r="B10976"/>
      <c r="Z10976"/>
    </row>
    <row r="10977" spans="2:26" x14ac:dyDescent="0.25">
      <c r="B10977"/>
      <c r="Z10977"/>
    </row>
    <row r="10978" spans="2:26" x14ac:dyDescent="0.25">
      <c r="B10978"/>
      <c r="Z10978"/>
    </row>
    <row r="10979" spans="2:26" x14ac:dyDescent="0.25">
      <c r="B10979"/>
      <c r="Z10979"/>
    </row>
    <row r="10980" spans="2:26" x14ac:dyDescent="0.25">
      <c r="B10980"/>
      <c r="Z10980"/>
    </row>
    <row r="10981" spans="2:26" x14ac:dyDescent="0.25">
      <c r="B10981"/>
      <c r="Z10981"/>
    </row>
    <row r="10982" spans="2:26" x14ac:dyDescent="0.25">
      <c r="B10982"/>
      <c r="Z10982"/>
    </row>
    <row r="10983" spans="2:26" x14ac:dyDescent="0.25">
      <c r="B10983"/>
      <c r="Z10983"/>
    </row>
    <row r="10984" spans="2:26" x14ac:dyDescent="0.25">
      <c r="B10984"/>
      <c r="Z10984"/>
    </row>
    <row r="10985" spans="2:26" x14ac:dyDescent="0.25">
      <c r="B10985"/>
      <c r="Z10985"/>
    </row>
    <row r="10986" spans="2:26" x14ac:dyDescent="0.25">
      <c r="B10986"/>
      <c r="Z10986"/>
    </row>
    <row r="10987" spans="2:26" x14ac:dyDescent="0.25">
      <c r="B10987"/>
      <c r="Z10987"/>
    </row>
    <row r="10988" spans="2:26" x14ac:dyDescent="0.25">
      <c r="B10988"/>
      <c r="Z10988"/>
    </row>
    <row r="10989" spans="2:26" x14ac:dyDescent="0.25">
      <c r="B10989"/>
      <c r="Z10989"/>
    </row>
    <row r="10990" spans="2:26" x14ac:dyDescent="0.25">
      <c r="B10990"/>
      <c r="Z10990"/>
    </row>
    <row r="10991" spans="2:26" x14ac:dyDescent="0.25">
      <c r="B10991"/>
      <c r="Z10991"/>
    </row>
    <row r="10992" spans="2:26" x14ac:dyDescent="0.25">
      <c r="B10992"/>
      <c r="Z10992"/>
    </row>
    <row r="10993" spans="2:26" x14ac:dyDescent="0.25">
      <c r="B10993"/>
      <c r="Z10993"/>
    </row>
    <row r="10994" spans="2:26" x14ac:dyDescent="0.25">
      <c r="B10994"/>
      <c r="Z10994"/>
    </row>
    <row r="10995" spans="2:26" x14ac:dyDescent="0.25">
      <c r="B10995"/>
      <c r="Z10995"/>
    </row>
    <row r="10996" spans="2:26" x14ac:dyDescent="0.25">
      <c r="B10996"/>
      <c r="Z10996"/>
    </row>
    <row r="10997" spans="2:26" x14ac:dyDescent="0.25">
      <c r="B10997"/>
      <c r="Z10997"/>
    </row>
    <row r="10998" spans="2:26" x14ac:dyDescent="0.25">
      <c r="B10998"/>
      <c r="Z10998"/>
    </row>
    <row r="10999" spans="2:26" x14ac:dyDescent="0.25">
      <c r="B10999"/>
      <c r="Z10999"/>
    </row>
    <row r="11000" spans="2:26" x14ac:dyDescent="0.25">
      <c r="B11000"/>
      <c r="Z11000"/>
    </row>
    <row r="11001" spans="2:26" x14ac:dyDescent="0.25">
      <c r="B11001"/>
      <c r="Z11001"/>
    </row>
    <row r="11002" spans="2:26" x14ac:dyDescent="0.25">
      <c r="B11002"/>
      <c r="Z11002"/>
    </row>
    <row r="11003" spans="2:26" x14ac:dyDescent="0.25">
      <c r="B11003"/>
      <c r="Z11003"/>
    </row>
    <row r="11004" spans="2:26" x14ac:dyDescent="0.25">
      <c r="B11004"/>
      <c r="Z11004"/>
    </row>
    <row r="11005" spans="2:26" x14ac:dyDescent="0.25">
      <c r="B11005"/>
      <c r="Z11005"/>
    </row>
    <row r="11006" spans="2:26" x14ac:dyDescent="0.25">
      <c r="B11006"/>
      <c r="Z11006"/>
    </row>
    <row r="11007" spans="2:26" x14ac:dyDescent="0.25">
      <c r="B11007"/>
      <c r="Z11007"/>
    </row>
    <row r="11008" spans="2:26" x14ac:dyDescent="0.25">
      <c r="B11008"/>
      <c r="Z11008"/>
    </row>
    <row r="11009" spans="2:26" x14ac:dyDescent="0.25">
      <c r="B11009"/>
      <c r="Z11009"/>
    </row>
    <row r="11010" spans="2:26" x14ac:dyDescent="0.25">
      <c r="B11010"/>
      <c r="Z11010"/>
    </row>
    <row r="11011" spans="2:26" x14ac:dyDescent="0.25">
      <c r="B11011"/>
      <c r="Z11011"/>
    </row>
    <row r="11012" spans="2:26" x14ac:dyDescent="0.25">
      <c r="B11012"/>
      <c r="Z11012"/>
    </row>
    <row r="11013" spans="2:26" x14ac:dyDescent="0.25">
      <c r="B11013"/>
      <c r="Z11013"/>
    </row>
    <row r="11014" spans="2:26" x14ac:dyDescent="0.25">
      <c r="B11014"/>
      <c r="Z11014"/>
    </row>
    <row r="11015" spans="2:26" x14ac:dyDescent="0.25">
      <c r="B11015"/>
      <c r="Z11015"/>
    </row>
    <row r="11016" spans="2:26" x14ac:dyDescent="0.25">
      <c r="B11016"/>
      <c r="Z11016"/>
    </row>
    <row r="11017" spans="2:26" x14ac:dyDescent="0.25">
      <c r="B11017"/>
      <c r="Z11017"/>
    </row>
    <row r="11018" spans="2:26" x14ac:dyDescent="0.25">
      <c r="B11018"/>
      <c r="Z11018"/>
    </row>
    <row r="11019" spans="2:26" x14ac:dyDescent="0.25">
      <c r="B11019"/>
      <c r="Z11019"/>
    </row>
    <row r="11020" spans="2:26" x14ac:dyDescent="0.25">
      <c r="B11020"/>
      <c r="Z11020"/>
    </row>
    <row r="11021" spans="2:26" x14ac:dyDescent="0.25">
      <c r="B11021"/>
      <c r="Z11021"/>
    </row>
    <row r="11022" spans="2:26" x14ac:dyDescent="0.25">
      <c r="B11022"/>
      <c r="Z11022"/>
    </row>
    <row r="11023" spans="2:26" x14ac:dyDescent="0.25">
      <c r="B11023"/>
      <c r="Z11023"/>
    </row>
    <row r="11024" spans="2:26" x14ac:dyDescent="0.25">
      <c r="B11024"/>
      <c r="Z11024"/>
    </row>
    <row r="11025" spans="2:26" x14ac:dyDescent="0.25">
      <c r="B11025"/>
      <c r="Z11025"/>
    </row>
    <row r="11026" spans="2:26" x14ac:dyDescent="0.25">
      <c r="B11026"/>
      <c r="Z11026"/>
    </row>
    <row r="11027" spans="2:26" x14ac:dyDescent="0.25">
      <c r="B11027"/>
      <c r="Z11027"/>
    </row>
    <row r="11028" spans="2:26" x14ac:dyDescent="0.25">
      <c r="B11028"/>
      <c r="Z11028"/>
    </row>
    <row r="11029" spans="2:26" x14ac:dyDescent="0.25">
      <c r="B11029"/>
      <c r="Z11029"/>
    </row>
    <row r="11030" spans="2:26" x14ac:dyDescent="0.25">
      <c r="B11030"/>
      <c r="Z11030"/>
    </row>
    <row r="11031" spans="2:26" x14ac:dyDescent="0.25">
      <c r="B11031"/>
      <c r="Z11031"/>
    </row>
    <row r="11032" spans="2:26" x14ac:dyDescent="0.25">
      <c r="B11032"/>
      <c r="Z11032"/>
    </row>
    <row r="11033" spans="2:26" x14ac:dyDescent="0.25">
      <c r="B11033"/>
      <c r="Z11033"/>
    </row>
    <row r="11034" spans="2:26" x14ac:dyDescent="0.25">
      <c r="B11034"/>
      <c r="Z11034"/>
    </row>
    <row r="11035" spans="2:26" x14ac:dyDescent="0.25">
      <c r="B11035"/>
      <c r="Z11035"/>
    </row>
    <row r="11036" spans="2:26" x14ac:dyDescent="0.25">
      <c r="B11036"/>
      <c r="Z11036"/>
    </row>
    <row r="11037" spans="2:26" x14ac:dyDescent="0.25">
      <c r="B11037"/>
      <c r="Z11037"/>
    </row>
    <row r="11038" spans="2:26" x14ac:dyDescent="0.25">
      <c r="B11038"/>
      <c r="Z11038"/>
    </row>
    <row r="11039" spans="2:26" x14ac:dyDescent="0.25">
      <c r="B11039"/>
      <c r="Z11039"/>
    </row>
    <row r="11040" spans="2:26" x14ac:dyDescent="0.25">
      <c r="B11040"/>
      <c r="Z11040"/>
    </row>
    <row r="11041" spans="2:26" x14ac:dyDescent="0.25">
      <c r="B11041"/>
      <c r="Z11041"/>
    </row>
    <row r="11042" spans="2:26" x14ac:dyDescent="0.25">
      <c r="B11042"/>
      <c r="Z11042"/>
    </row>
    <row r="11043" spans="2:26" x14ac:dyDescent="0.25">
      <c r="B11043"/>
      <c r="Z11043"/>
    </row>
    <row r="11044" spans="2:26" x14ac:dyDescent="0.25">
      <c r="B11044"/>
      <c r="Z11044"/>
    </row>
    <row r="11045" spans="2:26" x14ac:dyDescent="0.25">
      <c r="B11045"/>
      <c r="Z11045"/>
    </row>
    <row r="11046" spans="2:26" x14ac:dyDescent="0.25">
      <c r="B11046"/>
      <c r="Z11046"/>
    </row>
    <row r="11047" spans="2:26" x14ac:dyDescent="0.25">
      <c r="B11047"/>
      <c r="Z11047"/>
    </row>
    <row r="11048" spans="2:26" x14ac:dyDescent="0.25">
      <c r="B11048"/>
      <c r="Z11048"/>
    </row>
    <row r="11049" spans="2:26" x14ac:dyDescent="0.25">
      <c r="B11049"/>
      <c r="Z11049"/>
    </row>
    <row r="11050" spans="2:26" x14ac:dyDescent="0.25">
      <c r="B11050"/>
      <c r="Z11050"/>
    </row>
    <row r="11051" spans="2:26" x14ac:dyDescent="0.25">
      <c r="B11051"/>
      <c r="Z11051"/>
    </row>
    <row r="11052" spans="2:26" x14ac:dyDescent="0.25">
      <c r="B11052"/>
      <c r="Z11052"/>
    </row>
    <row r="11053" spans="2:26" x14ac:dyDescent="0.25">
      <c r="B11053"/>
      <c r="Z11053"/>
    </row>
    <row r="11054" spans="2:26" x14ac:dyDescent="0.25">
      <c r="B11054"/>
      <c r="Z11054"/>
    </row>
    <row r="11055" spans="2:26" x14ac:dyDescent="0.25">
      <c r="B11055"/>
      <c r="Z11055"/>
    </row>
    <row r="11056" spans="2:26" x14ac:dyDescent="0.25">
      <c r="B11056"/>
      <c r="K11056" s="6"/>
      <c r="Z11056"/>
    </row>
    <row r="11057" spans="2:26" x14ac:dyDescent="0.25">
      <c r="B11057"/>
      <c r="Z11057"/>
    </row>
    <row r="11058" spans="2:26" x14ac:dyDescent="0.25">
      <c r="B11058"/>
      <c r="Z11058"/>
    </row>
    <row r="11059" spans="2:26" x14ac:dyDescent="0.25">
      <c r="B11059"/>
      <c r="Z11059"/>
    </row>
    <row r="11060" spans="2:26" x14ac:dyDescent="0.25">
      <c r="B11060"/>
      <c r="Z11060"/>
    </row>
    <row r="11061" spans="2:26" x14ac:dyDescent="0.25">
      <c r="B11061"/>
      <c r="Z11061"/>
    </row>
    <row r="11062" spans="2:26" x14ac:dyDescent="0.25">
      <c r="B11062"/>
      <c r="Z11062"/>
    </row>
    <row r="11063" spans="2:26" x14ac:dyDescent="0.25">
      <c r="B11063"/>
      <c r="Z11063"/>
    </row>
    <row r="11064" spans="2:26" x14ac:dyDescent="0.25">
      <c r="B11064"/>
      <c r="Z11064"/>
    </row>
    <row r="11065" spans="2:26" x14ac:dyDescent="0.25">
      <c r="B11065"/>
      <c r="Z11065"/>
    </row>
    <row r="11066" spans="2:26" x14ac:dyDescent="0.25">
      <c r="B11066"/>
      <c r="Z11066"/>
    </row>
    <row r="11067" spans="2:26" x14ac:dyDescent="0.25">
      <c r="B11067"/>
      <c r="Z11067"/>
    </row>
    <row r="11068" spans="2:26" x14ac:dyDescent="0.25">
      <c r="B11068"/>
      <c r="Z11068"/>
    </row>
    <row r="11069" spans="2:26" x14ac:dyDescent="0.25">
      <c r="B11069"/>
      <c r="Z11069"/>
    </row>
    <row r="11070" spans="2:26" x14ac:dyDescent="0.25">
      <c r="B11070"/>
      <c r="Z11070"/>
    </row>
    <row r="11071" spans="2:26" x14ac:dyDescent="0.25">
      <c r="B11071"/>
      <c r="Z11071"/>
    </row>
    <row r="11072" spans="2:26" x14ac:dyDescent="0.25">
      <c r="B11072"/>
      <c r="Z11072"/>
    </row>
    <row r="11073" spans="1:33" x14ac:dyDescent="0.25">
      <c r="B11073"/>
      <c r="Z11073"/>
    </row>
    <row r="11074" spans="1:33" x14ac:dyDescent="0.25">
      <c r="B11074"/>
      <c r="Z11074"/>
    </row>
    <row r="11075" spans="1:33" x14ac:dyDescent="0.25">
      <c r="A11075" s="6"/>
      <c r="B11075" s="6"/>
      <c r="C11075" s="6"/>
      <c r="D11075" s="6"/>
      <c r="E11075" s="6"/>
      <c r="F11075" s="6"/>
      <c r="G11075" s="6"/>
      <c r="H11075" s="6"/>
      <c r="I11075" s="6"/>
      <c r="J11075" s="6"/>
      <c r="K11075" s="6"/>
      <c r="L11075" s="6"/>
      <c r="M11075" s="6"/>
      <c r="N11075" s="6"/>
      <c r="O11075" s="6"/>
      <c r="P11075" s="6"/>
      <c r="Q11075" s="6"/>
      <c r="R11075" s="6"/>
      <c r="S11075" s="6"/>
      <c r="T11075" s="6"/>
      <c r="U11075" s="6"/>
      <c r="V11075" s="6"/>
      <c r="W11075" s="6"/>
      <c r="X11075" s="6"/>
      <c r="Y11075" s="6"/>
      <c r="Z11075" s="6"/>
      <c r="AA11075" s="6"/>
      <c r="AB11075" s="6"/>
      <c r="AC11075" s="6"/>
      <c r="AD11075" s="6"/>
      <c r="AE11075" s="6"/>
      <c r="AF11075" s="6"/>
      <c r="AG11075" s="6"/>
    </row>
    <row r="11076" spans="1:33" x14ac:dyDescent="0.25">
      <c r="B11076"/>
      <c r="Z11076"/>
    </row>
    <row r="11077" spans="1:33" x14ac:dyDescent="0.25">
      <c r="B11077"/>
      <c r="Z11077"/>
    </row>
    <row r="11078" spans="1:33" x14ac:dyDescent="0.25">
      <c r="B11078"/>
      <c r="Z11078"/>
    </row>
    <row r="11079" spans="1:33" x14ac:dyDescent="0.25">
      <c r="B11079"/>
      <c r="Z11079"/>
    </row>
    <row r="11080" spans="1:33" x14ac:dyDescent="0.25">
      <c r="B11080"/>
      <c r="Z11080"/>
    </row>
    <row r="11081" spans="1:33" x14ac:dyDescent="0.25">
      <c r="B11081"/>
      <c r="Z11081"/>
    </row>
    <row r="11082" spans="1:33" x14ac:dyDescent="0.25">
      <c r="B11082"/>
      <c r="Z11082"/>
    </row>
    <row r="11083" spans="1:33" x14ac:dyDescent="0.25">
      <c r="B11083"/>
      <c r="Z11083"/>
    </row>
    <row r="11084" spans="1:33" x14ac:dyDescent="0.25">
      <c r="B11084"/>
      <c r="Z11084"/>
    </row>
    <row r="11085" spans="1:33" x14ac:dyDescent="0.25">
      <c r="B11085"/>
      <c r="Z11085"/>
    </row>
    <row r="11086" spans="1:33" x14ac:dyDescent="0.25">
      <c r="B11086"/>
      <c r="Z11086"/>
    </row>
    <row r="11087" spans="1:33" x14ac:dyDescent="0.25">
      <c r="B11087"/>
      <c r="Z11087"/>
    </row>
    <row r="11088" spans="1:33" x14ac:dyDescent="0.25">
      <c r="B11088"/>
      <c r="Z11088"/>
    </row>
    <row r="11089" spans="2:26" x14ac:dyDescent="0.25">
      <c r="B11089"/>
      <c r="Z11089"/>
    </row>
    <row r="11090" spans="2:26" x14ac:dyDescent="0.25">
      <c r="B11090"/>
      <c r="Z11090"/>
    </row>
    <row r="11091" spans="2:26" x14ac:dyDescent="0.25">
      <c r="B11091"/>
      <c r="Z11091"/>
    </row>
    <row r="11092" spans="2:26" x14ac:dyDescent="0.25">
      <c r="B11092"/>
      <c r="Z11092"/>
    </row>
    <row r="11093" spans="2:26" x14ac:dyDescent="0.25">
      <c r="B11093"/>
      <c r="Z11093"/>
    </row>
    <row r="11094" spans="2:26" x14ac:dyDescent="0.25">
      <c r="B11094"/>
      <c r="Z11094"/>
    </row>
    <row r="11095" spans="2:26" x14ac:dyDescent="0.25">
      <c r="B11095"/>
      <c r="Z11095"/>
    </row>
    <row r="11096" spans="2:26" x14ac:dyDescent="0.25">
      <c r="B11096"/>
      <c r="Z11096"/>
    </row>
    <row r="11097" spans="2:26" x14ac:dyDescent="0.25">
      <c r="B11097"/>
      <c r="Z11097"/>
    </row>
    <row r="11098" spans="2:26" x14ac:dyDescent="0.25">
      <c r="B11098"/>
      <c r="Z11098"/>
    </row>
    <row r="11099" spans="2:26" x14ac:dyDescent="0.25">
      <c r="B11099"/>
      <c r="Z11099"/>
    </row>
    <row r="11100" spans="2:26" x14ac:dyDescent="0.25">
      <c r="B11100"/>
      <c r="Z11100"/>
    </row>
    <row r="11101" spans="2:26" x14ac:dyDescent="0.25">
      <c r="B11101"/>
      <c r="Z11101"/>
    </row>
    <row r="11102" spans="2:26" x14ac:dyDescent="0.25">
      <c r="B11102"/>
      <c r="Z11102"/>
    </row>
    <row r="11103" spans="2:26" x14ac:dyDescent="0.25">
      <c r="B11103"/>
      <c r="Z11103"/>
    </row>
    <row r="11104" spans="2:26" x14ac:dyDescent="0.25">
      <c r="B11104"/>
      <c r="Z11104"/>
    </row>
    <row r="11105" spans="2:26" x14ac:dyDescent="0.25">
      <c r="B11105"/>
      <c r="Z11105"/>
    </row>
    <row r="11106" spans="2:26" x14ac:dyDescent="0.25">
      <c r="B11106"/>
      <c r="Z11106"/>
    </row>
    <row r="11107" spans="2:26" x14ac:dyDescent="0.25">
      <c r="B11107"/>
      <c r="Z11107"/>
    </row>
    <row r="11108" spans="2:26" x14ac:dyDescent="0.25">
      <c r="B11108"/>
      <c r="Z11108"/>
    </row>
    <row r="11109" spans="2:26" x14ac:dyDescent="0.25">
      <c r="B11109"/>
      <c r="Z11109"/>
    </row>
    <row r="11110" spans="2:26" x14ac:dyDescent="0.25">
      <c r="B11110"/>
      <c r="Z11110"/>
    </row>
    <row r="11111" spans="2:26" x14ac:dyDescent="0.25">
      <c r="B11111"/>
      <c r="Z11111"/>
    </row>
    <row r="11112" spans="2:26" x14ac:dyDescent="0.25">
      <c r="B11112"/>
      <c r="Z11112"/>
    </row>
    <row r="11113" spans="2:26" x14ac:dyDescent="0.25">
      <c r="B11113"/>
      <c r="Z11113"/>
    </row>
    <row r="11114" spans="2:26" x14ac:dyDescent="0.25">
      <c r="B11114"/>
      <c r="Z11114"/>
    </row>
    <row r="11115" spans="2:26" x14ac:dyDescent="0.25">
      <c r="B11115"/>
      <c r="Z11115"/>
    </row>
    <row r="11116" spans="2:26" x14ac:dyDescent="0.25">
      <c r="B11116"/>
      <c r="Z11116"/>
    </row>
    <row r="11117" spans="2:26" x14ac:dyDescent="0.25">
      <c r="B11117"/>
      <c r="Z11117"/>
    </row>
    <row r="11118" spans="2:26" x14ac:dyDescent="0.25">
      <c r="B11118"/>
      <c r="Z11118"/>
    </row>
    <row r="11119" spans="2:26" x14ac:dyDescent="0.25">
      <c r="B11119"/>
      <c r="Z11119"/>
    </row>
    <row r="11120" spans="2:26" x14ac:dyDescent="0.25">
      <c r="B11120"/>
      <c r="Z11120"/>
    </row>
    <row r="11121" spans="2:26" x14ac:dyDescent="0.25">
      <c r="B11121"/>
      <c r="Z11121"/>
    </row>
    <row r="11122" spans="2:26" x14ac:dyDescent="0.25">
      <c r="B11122"/>
      <c r="Z11122"/>
    </row>
    <row r="11123" spans="2:26" x14ac:dyDescent="0.25">
      <c r="B11123"/>
      <c r="Z11123"/>
    </row>
    <row r="11124" spans="2:26" x14ac:dyDescent="0.25">
      <c r="B11124"/>
      <c r="Z11124"/>
    </row>
    <row r="11125" spans="2:26" x14ac:dyDescent="0.25">
      <c r="B11125"/>
      <c r="Z11125"/>
    </row>
    <row r="11126" spans="2:26" x14ac:dyDescent="0.25">
      <c r="B11126"/>
      <c r="Z11126"/>
    </row>
    <row r="11127" spans="2:26" x14ac:dyDescent="0.25">
      <c r="B11127"/>
      <c r="Z11127"/>
    </row>
    <row r="11128" spans="2:26" x14ac:dyDescent="0.25">
      <c r="B11128"/>
      <c r="Z11128"/>
    </row>
    <row r="11129" spans="2:26" x14ac:dyDescent="0.25">
      <c r="B11129"/>
      <c r="Z11129"/>
    </row>
    <row r="11130" spans="2:26" x14ac:dyDescent="0.25">
      <c r="B11130"/>
      <c r="Z11130"/>
    </row>
    <row r="11131" spans="2:26" x14ac:dyDescent="0.25">
      <c r="B11131"/>
      <c r="Z11131"/>
    </row>
    <row r="11132" spans="2:26" x14ac:dyDescent="0.25">
      <c r="B11132"/>
      <c r="Z11132"/>
    </row>
    <row r="11133" spans="2:26" x14ac:dyDescent="0.25">
      <c r="B11133"/>
      <c r="Z11133"/>
    </row>
    <row r="11134" spans="2:26" x14ac:dyDescent="0.25">
      <c r="B11134"/>
      <c r="Z11134"/>
    </row>
    <row r="11135" spans="2:26" x14ac:dyDescent="0.25">
      <c r="B11135"/>
      <c r="Z11135"/>
    </row>
    <row r="11136" spans="2:26" x14ac:dyDescent="0.25">
      <c r="B11136"/>
      <c r="Z11136"/>
    </row>
    <row r="11137" spans="2:26" x14ac:dyDescent="0.25">
      <c r="B11137"/>
      <c r="Z11137"/>
    </row>
    <row r="11138" spans="2:26" x14ac:dyDescent="0.25">
      <c r="B11138"/>
      <c r="Z11138"/>
    </row>
    <row r="11139" spans="2:26" x14ac:dyDescent="0.25">
      <c r="B11139"/>
      <c r="Z11139"/>
    </row>
    <row r="11140" spans="2:26" x14ac:dyDescent="0.25">
      <c r="B11140"/>
      <c r="Z11140"/>
    </row>
    <row r="11141" spans="2:26" x14ac:dyDescent="0.25">
      <c r="B11141"/>
      <c r="Z11141"/>
    </row>
    <row r="11142" spans="2:26" x14ac:dyDescent="0.25">
      <c r="B11142"/>
      <c r="Z11142"/>
    </row>
    <row r="11143" spans="2:26" x14ac:dyDescent="0.25">
      <c r="B11143"/>
      <c r="Z11143"/>
    </row>
    <row r="11144" spans="2:26" x14ac:dyDescent="0.25">
      <c r="B11144"/>
      <c r="Z11144"/>
    </row>
    <row r="11145" spans="2:26" x14ac:dyDescent="0.25">
      <c r="B11145"/>
      <c r="Z11145"/>
    </row>
    <row r="11146" spans="2:26" x14ac:dyDescent="0.25">
      <c r="B11146"/>
      <c r="Z11146"/>
    </row>
    <row r="11147" spans="2:26" x14ac:dyDescent="0.25">
      <c r="B11147"/>
      <c r="Z11147"/>
    </row>
    <row r="11148" spans="2:26" x14ac:dyDescent="0.25">
      <c r="B11148"/>
      <c r="Z11148"/>
    </row>
    <row r="11149" spans="2:26" x14ac:dyDescent="0.25">
      <c r="B11149"/>
      <c r="Z11149"/>
    </row>
    <row r="11150" spans="2:26" x14ac:dyDescent="0.25">
      <c r="B11150"/>
      <c r="Z11150"/>
    </row>
    <row r="11151" spans="2:26" x14ac:dyDescent="0.25">
      <c r="B11151"/>
      <c r="Z11151"/>
    </row>
    <row r="11152" spans="2:26" x14ac:dyDescent="0.25">
      <c r="B11152"/>
      <c r="Z11152"/>
    </row>
    <row r="11153" spans="2:26" x14ac:dyDescent="0.25">
      <c r="B11153"/>
      <c r="Z11153"/>
    </row>
    <row r="11154" spans="2:26" x14ac:dyDescent="0.25">
      <c r="B11154"/>
      <c r="Z11154"/>
    </row>
    <row r="11155" spans="2:26" x14ac:dyDescent="0.25">
      <c r="B11155"/>
      <c r="Z11155"/>
    </row>
    <row r="11156" spans="2:26" x14ac:dyDescent="0.25">
      <c r="B11156"/>
      <c r="K11156" s="6"/>
      <c r="Z11156"/>
    </row>
    <row r="11157" spans="2:26" x14ac:dyDescent="0.25">
      <c r="B11157"/>
      <c r="Z11157"/>
    </row>
    <row r="11158" spans="2:26" x14ac:dyDescent="0.25">
      <c r="B11158"/>
      <c r="Z11158"/>
    </row>
    <row r="11159" spans="2:26" x14ac:dyDescent="0.25">
      <c r="B11159"/>
      <c r="Z11159"/>
    </row>
    <row r="11160" spans="2:26" x14ac:dyDescent="0.25">
      <c r="B11160"/>
      <c r="Z11160"/>
    </row>
    <row r="11161" spans="2:26" x14ac:dyDescent="0.25">
      <c r="B11161"/>
      <c r="Z11161"/>
    </row>
    <row r="11162" spans="2:26" x14ac:dyDescent="0.25">
      <c r="B11162"/>
      <c r="Z11162"/>
    </row>
    <row r="11163" spans="2:26" x14ac:dyDescent="0.25">
      <c r="B11163"/>
      <c r="Z11163"/>
    </row>
    <row r="11164" spans="2:26" x14ac:dyDescent="0.25">
      <c r="B11164"/>
      <c r="Z11164"/>
    </row>
    <row r="11165" spans="2:26" x14ac:dyDescent="0.25">
      <c r="B11165"/>
      <c r="Z11165"/>
    </row>
    <row r="11166" spans="2:26" x14ac:dyDescent="0.25">
      <c r="B11166"/>
      <c r="Z11166"/>
    </row>
    <row r="11167" spans="2:26" x14ac:dyDescent="0.25">
      <c r="B11167"/>
      <c r="Z11167"/>
    </row>
    <row r="11168" spans="2:26" x14ac:dyDescent="0.25">
      <c r="B11168"/>
      <c r="Z11168"/>
    </row>
    <row r="11169" spans="1:33" x14ac:dyDescent="0.25">
      <c r="B11169"/>
      <c r="Z11169"/>
    </row>
    <row r="11170" spans="1:33" x14ac:dyDescent="0.25">
      <c r="B11170"/>
      <c r="Z11170"/>
    </row>
    <row r="11171" spans="1:33" x14ac:dyDescent="0.25">
      <c r="B11171"/>
      <c r="Z11171"/>
    </row>
    <row r="11172" spans="1:33" x14ac:dyDescent="0.25">
      <c r="B11172"/>
      <c r="Z11172"/>
    </row>
    <row r="11173" spans="1:33" x14ac:dyDescent="0.25">
      <c r="B11173"/>
      <c r="Z11173"/>
    </row>
    <row r="11174" spans="1:33" x14ac:dyDescent="0.25">
      <c r="B11174"/>
      <c r="Z11174"/>
    </row>
    <row r="11175" spans="1:33" x14ac:dyDescent="0.25">
      <c r="B11175"/>
      <c r="Z11175"/>
    </row>
    <row r="11176" spans="1:33" x14ac:dyDescent="0.25">
      <c r="B11176"/>
      <c r="Z11176"/>
    </row>
    <row r="11177" spans="1:33" x14ac:dyDescent="0.25">
      <c r="A11177" s="6"/>
      <c r="B11177" s="6"/>
      <c r="C11177" s="6"/>
      <c r="D11177" s="6"/>
      <c r="E11177" s="6"/>
      <c r="F11177" s="6"/>
      <c r="G11177" s="6"/>
      <c r="H11177" s="6"/>
      <c r="I11177" s="6"/>
      <c r="J11177" s="6"/>
      <c r="K11177" s="6"/>
      <c r="L11177" s="6"/>
      <c r="M11177" s="6"/>
      <c r="N11177" s="6"/>
      <c r="O11177" s="6"/>
      <c r="P11177" s="6"/>
      <c r="Q11177" s="6"/>
      <c r="R11177" s="6"/>
      <c r="S11177" s="6"/>
      <c r="T11177" s="6"/>
      <c r="U11177" s="6"/>
      <c r="V11177" s="6"/>
      <c r="W11177" s="6"/>
      <c r="X11177" s="6"/>
      <c r="Y11177" s="6"/>
      <c r="Z11177" s="6"/>
      <c r="AA11177" s="6"/>
      <c r="AB11177" s="6"/>
      <c r="AC11177" s="6"/>
      <c r="AD11177" s="6"/>
      <c r="AE11177" s="6"/>
      <c r="AF11177" s="6"/>
      <c r="AG11177" s="6"/>
    </row>
    <row r="11178" spans="1:33" x14ac:dyDescent="0.25">
      <c r="B11178"/>
      <c r="Z11178"/>
    </row>
    <row r="11179" spans="1:33" x14ac:dyDescent="0.25">
      <c r="B11179"/>
      <c r="Z11179"/>
    </row>
    <row r="11180" spans="1:33" x14ac:dyDescent="0.25">
      <c r="B11180"/>
      <c r="Z11180"/>
    </row>
    <row r="11181" spans="1:33" x14ac:dyDescent="0.25">
      <c r="B11181"/>
      <c r="Z11181"/>
    </row>
    <row r="11182" spans="1:33" x14ac:dyDescent="0.25">
      <c r="B11182"/>
      <c r="Z11182"/>
    </row>
    <row r="11183" spans="1:33" x14ac:dyDescent="0.25">
      <c r="B11183"/>
      <c r="Z11183"/>
    </row>
    <row r="11184" spans="1:33" x14ac:dyDescent="0.25">
      <c r="B11184"/>
      <c r="Z11184"/>
    </row>
    <row r="11185" spans="2:26" x14ac:dyDescent="0.25">
      <c r="B11185"/>
      <c r="Z11185"/>
    </row>
    <row r="11186" spans="2:26" x14ac:dyDescent="0.25">
      <c r="B11186"/>
      <c r="Z11186"/>
    </row>
    <row r="11187" spans="2:26" x14ac:dyDescent="0.25">
      <c r="B11187"/>
      <c r="Z11187"/>
    </row>
    <row r="11188" spans="2:26" x14ac:dyDescent="0.25">
      <c r="B11188"/>
      <c r="Z11188"/>
    </row>
    <row r="11189" spans="2:26" x14ac:dyDescent="0.25">
      <c r="B11189"/>
      <c r="Z11189"/>
    </row>
    <row r="11190" spans="2:26" x14ac:dyDescent="0.25">
      <c r="B11190"/>
      <c r="Z11190"/>
    </row>
    <row r="11191" spans="2:26" x14ac:dyDescent="0.25">
      <c r="B11191"/>
      <c r="Z11191"/>
    </row>
    <row r="11192" spans="2:26" x14ac:dyDescent="0.25">
      <c r="B11192"/>
      <c r="Z11192"/>
    </row>
    <row r="11193" spans="2:26" x14ac:dyDescent="0.25">
      <c r="B11193"/>
      <c r="Z11193"/>
    </row>
    <row r="11194" spans="2:26" x14ac:dyDescent="0.25">
      <c r="B11194"/>
      <c r="Z11194"/>
    </row>
    <row r="11195" spans="2:26" x14ac:dyDescent="0.25">
      <c r="B11195"/>
      <c r="Z11195"/>
    </row>
    <row r="11196" spans="2:26" x14ac:dyDescent="0.25">
      <c r="B11196"/>
      <c r="Z11196"/>
    </row>
    <row r="11197" spans="2:26" x14ac:dyDescent="0.25">
      <c r="B11197"/>
      <c r="Z11197"/>
    </row>
    <row r="11198" spans="2:26" x14ac:dyDescent="0.25">
      <c r="B11198"/>
      <c r="Z11198"/>
    </row>
    <row r="11199" spans="2:26" x14ac:dyDescent="0.25">
      <c r="B11199"/>
      <c r="Z11199"/>
    </row>
    <row r="11200" spans="2:26" x14ac:dyDescent="0.25">
      <c r="B11200"/>
      <c r="Z11200"/>
    </row>
    <row r="11201" spans="2:26" x14ac:dyDescent="0.25">
      <c r="B11201"/>
      <c r="Z11201"/>
    </row>
    <row r="11202" spans="2:26" x14ac:dyDescent="0.25">
      <c r="B11202"/>
      <c r="Z11202"/>
    </row>
    <row r="11203" spans="2:26" x14ac:dyDescent="0.25">
      <c r="B11203"/>
      <c r="Z11203"/>
    </row>
    <row r="11204" spans="2:26" x14ac:dyDescent="0.25">
      <c r="B11204"/>
      <c r="Z11204"/>
    </row>
    <row r="11205" spans="2:26" x14ac:dyDescent="0.25">
      <c r="B11205"/>
      <c r="Z11205"/>
    </row>
    <row r="11206" spans="2:26" x14ac:dyDescent="0.25">
      <c r="B11206"/>
      <c r="Z11206"/>
    </row>
    <row r="11207" spans="2:26" x14ac:dyDescent="0.25">
      <c r="B11207"/>
      <c r="Z11207"/>
    </row>
    <row r="11208" spans="2:26" x14ac:dyDescent="0.25">
      <c r="B11208"/>
      <c r="Z11208"/>
    </row>
    <row r="11209" spans="2:26" x14ac:dyDescent="0.25">
      <c r="B11209"/>
      <c r="Z11209"/>
    </row>
    <row r="11210" spans="2:26" x14ac:dyDescent="0.25">
      <c r="B11210"/>
      <c r="Z11210"/>
    </row>
    <row r="11211" spans="2:26" x14ac:dyDescent="0.25">
      <c r="B11211"/>
      <c r="Z11211"/>
    </row>
    <row r="11212" spans="2:26" x14ac:dyDescent="0.25">
      <c r="B11212"/>
      <c r="Z11212"/>
    </row>
    <row r="11213" spans="2:26" x14ac:dyDescent="0.25">
      <c r="B11213"/>
      <c r="Z11213"/>
    </row>
    <row r="11214" spans="2:26" x14ac:dyDescent="0.25">
      <c r="B11214"/>
      <c r="Z11214"/>
    </row>
    <row r="11215" spans="2:26" x14ac:dyDescent="0.25">
      <c r="B11215"/>
      <c r="Z11215"/>
    </row>
    <row r="11216" spans="2:26" x14ac:dyDescent="0.25">
      <c r="B11216"/>
      <c r="Z11216"/>
    </row>
    <row r="11217" spans="2:26" x14ac:dyDescent="0.25">
      <c r="B11217"/>
      <c r="Z11217"/>
    </row>
    <row r="11218" spans="2:26" x14ac:dyDescent="0.25">
      <c r="B11218"/>
      <c r="Z11218"/>
    </row>
    <row r="11219" spans="2:26" x14ac:dyDescent="0.25">
      <c r="B11219"/>
      <c r="Z11219"/>
    </row>
    <row r="11220" spans="2:26" x14ac:dyDescent="0.25">
      <c r="B11220"/>
      <c r="Z11220"/>
    </row>
    <row r="11221" spans="2:26" x14ac:dyDescent="0.25">
      <c r="B11221"/>
      <c r="Z11221"/>
    </row>
    <row r="11222" spans="2:26" x14ac:dyDescent="0.25">
      <c r="B11222"/>
      <c r="Z11222"/>
    </row>
    <row r="11223" spans="2:26" x14ac:dyDescent="0.25">
      <c r="B11223"/>
      <c r="Z11223"/>
    </row>
    <row r="11224" spans="2:26" x14ac:dyDescent="0.25">
      <c r="B11224"/>
      <c r="Z11224"/>
    </row>
    <row r="11225" spans="2:26" x14ac:dyDescent="0.25">
      <c r="B11225"/>
      <c r="Z11225"/>
    </row>
    <row r="11226" spans="2:26" x14ac:dyDescent="0.25">
      <c r="B11226"/>
      <c r="Z11226"/>
    </row>
    <row r="11227" spans="2:26" x14ac:dyDescent="0.25">
      <c r="B11227"/>
      <c r="Z11227"/>
    </row>
    <row r="11228" spans="2:26" x14ac:dyDescent="0.25">
      <c r="B11228"/>
      <c r="Z11228"/>
    </row>
    <row r="11229" spans="2:26" x14ac:dyDescent="0.25">
      <c r="B11229"/>
      <c r="Z11229"/>
    </row>
    <row r="11230" spans="2:26" x14ac:dyDescent="0.25">
      <c r="B11230"/>
      <c r="Z11230"/>
    </row>
    <row r="11231" spans="2:26" x14ac:dyDescent="0.25">
      <c r="B11231"/>
      <c r="Z11231"/>
    </row>
    <row r="11232" spans="2:26" x14ac:dyDescent="0.25">
      <c r="B11232"/>
      <c r="Z11232"/>
    </row>
    <row r="11233" spans="2:26" x14ac:dyDescent="0.25">
      <c r="B11233"/>
      <c r="Z11233"/>
    </row>
    <row r="11234" spans="2:26" x14ac:dyDescent="0.25">
      <c r="B11234"/>
      <c r="Z11234"/>
    </row>
    <row r="11235" spans="2:26" x14ac:dyDescent="0.25">
      <c r="B11235"/>
      <c r="Z11235"/>
    </row>
    <row r="11236" spans="2:26" x14ac:dyDescent="0.25">
      <c r="B11236"/>
      <c r="Z11236"/>
    </row>
    <row r="11237" spans="2:26" x14ac:dyDescent="0.25">
      <c r="B11237"/>
      <c r="Z11237"/>
    </row>
    <row r="11238" spans="2:26" x14ac:dyDescent="0.25">
      <c r="B11238"/>
      <c r="Z11238"/>
    </row>
    <row r="11239" spans="2:26" x14ac:dyDescent="0.25">
      <c r="B11239"/>
      <c r="Z11239"/>
    </row>
    <row r="11240" spans="2:26" x14ac:dyDescent="0.25">
      <c r="B11240"/>
      <c r="Z11240"/>
    </row>
    <row r="11241" spans="2:26" x14ac:dyDescent="0.25">
      <c r="B11241"/>
      <c r="Z11241"/>
    </row>
    <row r="11242" spans="2:26" x14ac:dyDescent="0.25">
      <c r="B11242"/>
      <c r="Z11242"/>
    </row>
    <row r="11243" spans="2:26" x14ac:dyDescent="0.25">
      <c r="B11243"/>
      <c r="Z11243"/>
    </row>
    <row r="11244" spans="2:26" x14ac:dyDescent="0.25">
      <c r="B11244"/>
      <c r="Z11244"/>
    </row>
    <row r="11245" spans="2:26" x14ac:dyDescent="0.25">
      <c r="B11245"/>
      <c r="Z11245"/>
    </row>
    <row r="11246" spans="2:26" x14ac:dyDescent="0.25">
      <c r="B11246"/>
      <c r="Z11246"/>
    </row>
    <row r="11247" spans="2:26" x14ac:dyDescent="0.25">
      <c r="B11247"/>
      <c r="Z11247"/>
    </row>
    <row r="11248" spans="2:26" x14ac:dyDescent="0.25">
      <c r="B11248"/>
      <c r="Z11248"/>
    </row>
    <row r="11249" spans="2:26" x14ac:dyDescent="0.25">
      <c r="B11249"/>
      <c r="Z11249"/>
    </row>
    <row r="11250" spans="2:26" x14ac:dyDescent="0.25">
      <c r="B11250"/>
      <c r="Z11250"/>
    </row>
    <row r="11251" spans="2:26" x14ac:dyDescent="0.25">
      <c r="B11251"/>
      <c r="Z11251"/>
    </row>
    <row r="11252" spans="2:26" x14ac:dyDescent="0.25">
      <c r="B11252"/>
      <c r="Z11252"/>
    </row>
    <row r="11253" spans="2:26" x14ac:dyDescent="0.25">
      <c r="B11253"/>
      <c r="Z11253"/>
    </row>
    <row r="11254" spans="2:26" x14ac:dyDescent="0.25">
      <c r="B11254"/>
      <c r="Z11254"/>
    </row>
    <row r="11255" spans="2:26" x14ac:dyDescent="0.25">
      <c r="B11255"/>
      <c r="Z11255"/>
    </row>
    <row r="11256" spans="2:26" x14ac:dyDescent="0.25">
      <c r="B11256"/>
      <c r="Z11256"/>
    </row>
    <row r="11257" spans="2:26" x14ac:dyDescent="0.25">
      <c r="B11257"/>
      <c r="Z11257"/>
    </row>
    <row r="11258" spans="2:26" x14ac:dyDescent="0.25">
      <c r="B11258"/>
      <c r="Z11258"/>
    </row>
    <row r="11259" spans="2:26" x14ac:dyDescent="0.25">
      <c r="B11259"/>
      <c r="Z11259"/>
    </row>
    <row r="11260" spans="2:26" x14ac:dyDescent="0.25">
      <c r="B11260"/>
      <c r="Z11260"/>
    </row>
    <row r="11261" spans="2:26" x14ac:dyDescent="0.25">
      <c r="B11261"/>
      <c r="K11261" s="6"/>
      <c r="Z11261"/>
    </row>
    <row r="11262" spans="2:26" x14ac:dyDescent="0.25">
      <c r="B11262"/>
      <c r="Z11262"/>
    </row>
    <row r="11263" spans="2:26" x14ac:dyDescent="0.25">
      <c r="B11263"/>
      <c r="Z11263"/>
    </row>
    <row r="11264" spans="2:26" x14ac:dyDescent="0.25">
      <c r="B11264"/>
      <c r="Z11264"/>
    </row>
    <row r="11265" spans="1:33" x14ac:dyDescent="0.25">
      <c r="B11265"/>
      <c r="Z11265"/>
    </row>
    <row r="11266" spans="1:33" x14ac:dyDescent="0.25">
      <c r="B11266"/>
      <c r="Z11266"/>
    </row>
    <row r="11267" spans="1:33" x14ac:dyDescent="0.25">
      <c r="B11267"/>
      <c r="Z11267"/>
    </row>
    <row r="11268" spans="1:33" x14ac:dyDescent="0.25">
      <c r="B11268"/>
      <c r="Z11268"/>
    </row>
    <row r="11269" spans="1:33" x14ac:dyDescent="0.25">
      <c r="B11269"/>
      <c r="Z11269"/>
    </row>
    <row r="11270" spans="1:33" x14ac:dyDescent="0.25">
      <c r="B11270"/>
      <c r="Z11270"/>
    </row>
    <row r="11271" spans="1:33" x14ac:dyDescent="0.25">
      <c r="B11271"/>
      <c r="Z11271"/>
    </row>
    <row r="11272" spans="1:33" x14ac:dyDescent="0.25">
      <c r="B11272"/>
      <c r="Z11272"/>
    </row>
    <row r="11273" spans="1:33" x14ac:dyDescent="0.25">
      <c r="B11273"/>
      <c r="Z11273"/>
    </row>
    <row r="11274" spans="1:33" x14ac:dyDescent="0.25">
      <c r="B11274"/>
      <c r="Z11274"/>
    </row>
    <row r="11275" spans="1:33" x14ac:dyDescent="0.25">
      <c r="B11275"/>
      <c r="Z11275"/>
    </row>
    <row r="11276" spans="1:33" x14ac:dyDescent="0.25">
      <c r="B11276"/>
      <c r="Z11276"/>
    </row>
    <row r="11277" spans="1:33" x14ac:dyDescent="0.25">
      <c r="B11277"/>
      <c r="Z11277"/>
    </row>
    <row r="11278" spans="1:33" x14ac:dyDescent="0.25">
      <c r="A11278" s="6"/>
      <c r="B11278" s="6"/>
      <c r="C11278" s="6"/>
      <c r="D11278" s="6"/>
      <c r="E11278" s="6"/>
      <c r="F11278" s="6"/>
      <c r="G11278" s="6"/>
      <c r="H11278" s="6"/>
      <c r="I11278" s="6"/>
      <c r="J11278" s="6"/>
      <c r="K11278" s="6"/>
      <c r="L11278" s="6"/>
      <c r="M11278" s="6"/>
      <c r="N11278" s="6"/>
      <c r="O11278" s="6"/>
      <c r="P11278" s="6"/>
      <c r="Q11278" s="6"/>
      <c r="R11278" s="6"/>
      <c r="S11278" s="6"/>
      <c r="T11278" s="6"/>
      <c r="U11278" s="6"/>
      <c r="V11278" s="6"/>
      <c r="W11278" s="6"/>
      <c r="X11278" s="6"/>
      <c r="Y11278" s="6"/>
      <c r="Z11278" s="6"/>
      <c r="AA11278" s="6"/>
      <c r="AB11278" s="6"/>
      <c r="AC11278" s="6"/>
      <c r="AD11278" s="6"/>
      <c r="AE11278" s="6"/>
      <c r="AF11278" s="6"/>
      <c r="AG11278" s="6"/>
    </row>
    <row r="11279" spans="1:33" x14ac:dyDescent="0.25">
      <c r="B11279"/>
      <c r="Z11279"/>
    </row>
    <row r="11280" spans="1:33" x14ac:dyDescent="0.25">
      <c r="B11280"/>
      <c r="Z11280"/>
    </row>
    <row r="11281" spans="2:26" x14ac:dyDescent="0.25">
      <c r="B11281"/>
      <c r="Z11281"/>
    </row>
    <row r="11282" spans="2:26" x14ac:dyDescent="0.25">
      <c r="B11282"/>
      <c r="Z11282"/>
    </row>
    <row r="11283" spans="2:26" x14ac:dyDescent="0.25">
      <c r="B11283"/>
      <c r="Z11283"/>
    </row>
    <row r="11284" spans="2:26" x14ac:dyDescent="0.25">
      <c r="B11284"/>
      <c r="Z11284"/>
    </row>
    <row r="11285" spans="2:26" x14ac:dyDescent="0.25">
      <c r="B11285"/>
      <c r="Z11285"/>
    </row>
    <row r="11286" spans="2:26" x14ac:dyDescent="0.25">
      <c r="B11286"/>
      <c r="Z11286"/>
    </row>
    <row r="11287" spans="2:26" x14ac:dyDescent="0.25">
      <c r="B11287"/>
      <c r="Z11287"/>
    </row>
    <row r="11288" spans="2:26" x14ac:dyDescent="0.25">
      <c r="B11288"/>
      <c r="Z11288"/>
    </row>
    <row r="11289" spans="2:26" x14ac:dyDescent="0.25">
      <c r="B11289"/>
      <c r="Z11289"/>
    </row>
    <row r="11290" spans="2:26" x14ac:dyDescent="0.25">
      <c r="B11290"/>
      <c r="Z11290"/>
    </row>
    <row r="11291" spans="2:26" x14ac:dyDescent="0.25">
      <c r="B11291"/>
      <c r="Z11291"/>
    </row>
    <row r="11292" spans="2:26" x14ac:dyDescent="0.25">
      <c r="B11292"/>
      <c r="Z11292"/>
    </row>
    <row r="11293" spans="2:26" x14ac:dyDescent="0.25">
      <c r="B11293"/>
      <c r="Z11293"/>
    </row>
    <row r="11294" spans="2:26" x14ac:dyDescent="0.25">
      <c r="B11294"/>
      <c r="Z11294"/>
    </row>
    <row r="11295" spans="2:26" x14ac:dyDescent="0.25">
      <c r="B11295"/>
      <c r="Z11295"/>
    </row>
    <row r="11296" spans="2:26" x14ac:dyDescent="0.25">
      <c r="B11296"/>
      <c r="Z11296"/>
    </row>
    <row r="11297" spans="2:26" x14ac:dyDescent="0.25">
      <c r="B11297"/>
      <c r="Z11297"/>
    </row>
    <row r="11298" spans="2:26" x14ac:dyDescent="0.25">
      <c r="B11298"/>
      <c r="Z11298"/>
    </row>
    <row r="11299" spans="2:26" x14ac:dyDescent="0.25">
      <c r="B11299"/>
      <c r="Z11299"/>
    </row>
    <row r="11300" spans="2:26" x14ac:dyDescent="0.25">
      <c r="B11300"/>
      <c r="Z11300"/>
    </row>
    <row r="11301" spans="2:26" x14ac:dyDescent="0.25">
      <c r="B11301"/>
      <c r="Z11301"/>
    </row>
    <row r="11302" spans="2:26" x14ac:dyDescent="0.25">
      <c r="B11302"/>
      <c r="Z11302"/>
    </row>
    <row r="11303" spans="2:26" x14ac:dyDescent="0.25">
      <c r="B11303"/>
      <c r="Z11303"/>
    </row>
    <row r="11304" spans="2:26" x14ac:dyDescent="0.25">
      <c r="B11304"/>
      <c r="Z11304"/>
    </row>
    <row r="11305" spans="2:26" x14ac:dyDescent="0.25">
      <c r="B11305"/>
      <c r="Z11305"/>
    </row>
    <row r="11306" spans="2:26" x14ac:dyDescent="0.25">
      <c r="B11306"/>
      <c r="Z11306"/>
    </row>
    <row r="11307" spans="2:26" x14ac:dyDescent="0.25">
      <c r="B11307"/>
      <c r="Z11307"/>
    </row>
    <row r="11308" spans="2:26" x14ac:dyDescent="0.25">
      <c r="B11308"/>
      <c r="Z11308"/>
    </row>
    <row r="11309" spans="2:26" x14ac:dyDescent="0.25">
      <c r="B11309"/>
      <c r="Z11309"/>
    </row>
    <row r="11310" spans="2:26" x14ac:dyDescent="0.25">
      <c r="B11310"/>
      <c r="Z11310"/>
    </row>
    <row r="11311" spans="2:26" x14ac:dyDescent="0.25">
      <c r="B11311"/>
      <c r="Z11311"/>
    </row>
    <row r="11312" spans="2:26" x14ac:dyDescent="0.25">
      <c r="B11312"/>
      <c r="Z11312"/>
    </row>
    <row r="11313" spans="2:26" x14ac:dyDescent="0.25">
      <c r="B11313"/>
      <c r="Z11313"/>
    </row>
    <row r="11314" spans="2:26" x14ac:dyDescent="0.25">
      <c r="B11314"/>
      <c r="Z11314"/>
    </row>
    <row r="11315" spans="2:26" x14ac:dyDescent="0.25">
      <c r="B11315"/>
      <c r="Z11315"/>
    </row>
    <row r="11316" spans="2:26" x14ac:dyDescent="0.25">
      <c r="B11316"/>
      <c r="Z11316"/>
    </row>
    <row r="11317" spans="2:26" x14ac:dyDescent="0.25">
      <c r="B11317"/>
      <c r="Z11317"/>
    </row>
    <row r="11318" spans="2:26" x14ac:dyDescent="0.25">
      <c r="B11318"/>
      <c r="Z11318"/>
    </row>
    <row r="11319" spans="2:26" x14ac:dyDescent="0.25">
      <c r="B11319"/>
      <c r="Z11319"/>
    </row>
    <row r="11320" spans="2:26" x14ac:dyDescent="0.25">
      <c r="B11320"/>
      <c r="Z11320"/>
    </row>
    <row r="11321" spans="2:26" x14ac:dyDescent="0.25">
      <c r="B11321"/>
      <c r="Z11321"/>
    </row>
    <row r="11322" spans="2:26" x14ac:dyDescent="0.25">
      <c r="B11322"/>
      <c r="Z11322"/>
    </row>
    <row r="11323" spans="2:26" x14ac:dyDescent="0.25">
      <c r="B11323"/>
      <c r="Z11323"/>
    </row>
    <row r="11324" spans="2:26" x14ac:dyDescent="0.25">
      <c r="B11324"/>
      <c r="Z11324"/>
    </row>
    <row r="11325" spans="2:26" x14ac:dyDescent="0.25">
      <c r="B11325"/>
      <c r="Z11325"/>
    </row>
    <row r="11326" spans="2:26" x14ac:dyDescent="0.25">
      <c r="B11326"/>
      <c r="Z11326"/>
    </row>
    <row r="11327" spans="2:26" x14ac:dyDescent="0.25">
      <c r="B11327"/>
      <c r="Z11327"/>
    </row>
    <row r="11328" spans="2:26" x14ac:dyDescent="0.25">
      <c r="B11328"/>
      <c r="Z11328"/>
    </row>
    <row r="11329" spans="2:26" x14ac:dyDescent="0.25">
      <c r="B11329"/>
      <c r="Z11329"/>
    </row>
    <row r="11330" spans="2:26" x14ac:dyDescent="0.25">
      <c r="B11330"/>
      <c r="Z11330"/>
    </row>
    <row r="11331" spans="2:26" x14ac:dyDescent="0.25">
      <c r="B11331"/>
      <c r="Z11331"/>
    </row>
    <row r="11332" spans="2:26" x14ac:dyDescent="0.25">
      <c r="B11332"/>
      <c r="Z11332"/>
    </row>
    <row r="11333" spans="2:26" x14ac:dyDescent="0.25">
      <c r="B11333"/>
      <c r="Z11333"/>
    </row>
    <row r="11334" spans="2:26" x14ac:dyDescent="0.25">
      <c r="B11334"/>
      <c r="Z11334"/>
    </row>
    <row r="11335" spans="2:26" x14ac:dyDescent="0.25">
      <c r="B11335"/>
      <c r="Z11335"/>
    </row>
    <row r="11336" spans="2:26" x14ac:dyDescent="0.25">
      <c r="B11336"/>
      <c r="Z11336"/>
    </row>
    <row r="11337" spans="2:26" x14ac:dyDescent="0.25">
      <c r="B11337"/>
      <c r="Z11337"/>
    </row>
    <row r="11338" spans="2:26" x14ac:dyDescent="0.25">
      <c r="B11338"/>
      <c r="Z11338"/>
    </row>
    <row r="11339" spans="2:26" x14ac:dyDescent="0.25">
      <c r="B11339"/>
      <c r="Z11339"/>
    </row>
    <row r="11340" spans="2:26" x14ac:dyDescent="0.25">
      <c r="B11340"/>
      <c r="Z11340"/>
    </row>
    <row r="11341" spans="2:26" x14ac:dyDescent="0.25">
      <c r="B11341"/>
      <c r="Z11341"/>
    </row>
    <row r="11342" spans="2:26" x14ac:dyDescent="0.25">
      <c r="B11342"/>
      <c r="Z11342"/>
    </row>
    <row r="11343" spans="2:26" x14ac:dyDescent="0.25">
      <c r="B11343"/>
      <c r="Z11343"/>
    </row>
    <row r="11344" spans="2:26" x14ac:dyDescent="0.25">
      <c r="B11344"/>
      <c r="Z11344"/>
    </row>
    <row r="11345" spans="2:26" x14ac:dyDescent="0.25">
      <c r="B11345"/>
      <c r="Z11345"/>
    </row>
    <row r="11346" spans="2:26" x14ac:dyDescent="0.25">
      <c r="B11346"/>
      <c r="Z11346"/>
    </row>
    <row r="11347" spans="2:26" x14ac:dyDescent="0.25">
      <c r="B11347"/>
      <c r="Z11347"/>
    </row>
    <row r="11348" spans="2:26" x14ac:dyDescent="0.25">
      <c r="B11348"/>
      <c r="Z11348"/>
    </row>
    <row r="11349" spans="2:26" x14ac:dyDescent="0.25">
      <c r="B11349"/>
      <c r="Z11349"/>
    </row>
    <row r="11350" spans="2:26" x14ac:dyDescent="0.25">
      <c r="B11350"/>
      <c r="Z11350"/>
    </row>
    <row r="11351" spans="2:26" x14ac:dyDescent="0.25">
      <c r="B11351"/>
      <c r="Z11351"/>
    </row>
    <row r="11352" spans="2:26" x14ac:dyDescent="0.25">
      <c r="B11352"/>
      <c r="Z11352"/>
    </row>
    <row r="11353" spans="2:26" x14ac:dyDescent="0.25">
      <c r="B11353"/>
      <c r="Z11353"/>
    </row>
    <row r="11354" spans="2:26" x14ac:dyDescent="0.25">
      <c r="B11354"/>
      <c r="Z11354"/>
    </row>
    <row r="11355" spans="2:26" x14ac:dyDescent="0.25">
      <c r="B11355"/>
      <c r="Z11355"/>
    </row>
    <row r="11356" spans="2:26" x14ac:dyDescent="0.25">
      <c r="B11356"/>
      <c r="Z11356"/>
    </row>
    <row r="11357" spans="2:26" x14ac:dyDescent="0.25">
      <c r="B11357"/>
      <c r="Z11357"/>
    </row>
    <row r="11358" spans="2:26" x14ac:dyDescent="0.25">
      <c r="B11358"/>
      <c r="Z11358"/>
    </row>
    <row r="11359" spans="2:26" x14ac:dyDescent="0.25">
      <c r="B11359"/>
      <c r="Z11359"/>
    </row>
    <row r="11360" spans="2:26" x14ac:dyDescent="0.25">
      <c r="B11360"/>
      <c r="Z11360"/>
    </row>
    <row r="11361" spans="2:26" x14ac:dyDescent="0.25">
      <c r="B11361"/>
      <c r="Z11361"/>
    </row>
    <row r="11362" spans="2:26" x14ac:dyDescent="0.25">
      <c r="B11362"/>
      <c r="Z11362"/>
    </row>
    <row r="11363" spans="2:26" x14ac:dyDescent="0.25">
      <c r="B11363"/>
      <c r="Z11363"/>
    </row>
    <row r="11364" spans="2:26" x14ac:dyDescent="0.25">
      <c r="B11364"/>
      <c r="Z11364"/>
    </row>
    <row r="11365" spans="2:26" x14ac:dyDescent="0.25">
      <c r="B11365"/>
      <c r="Z11365"/>
    </row>
    <row r="11366" spans="2:26" x14ac:dyDescent="0.25">
      <c r="B11366"/>
      <c r="Z11366"/>
    </row>
    <row r="11367" spans="2:26" x14ac:dyDescent="0.25">
      <c r="B11367"/>
      <c r="Z11367"/>
    </row>
    <row r="11368" spans="2:26" x14ac:dyDescent="0.25">
      <c r="B11368"/>
      <c r="Z11368"/>
    </row>
    <row r="11369" spans="2:26" x14ac:dyDescent="0.25">
      <c r="B11369"/>
      <c r="K11369" s="6"/>
      <c r="Z11369"/>
    </row>
    <row r="11370" spans="2:26" x14ac:dyDescent="0.25">
      <c r="B11370"/>
      <c r="Z11370"/>
    </row>
    <row r="11371" spans="2:26" x14ac:dyDescent="0.25">
      <c r="B11371"/>
      <c r="Z11371"/>
    </row>
    <row r="11372" spans="2:26" x14ac:dyDescent="0.25">
      <c r="B11372"/>
      <c r="Z11372"/>
    </row>
    <row r="11373" spans="2:26" x14ac:dyDescent="0.25">
      <c r="B11373"/>
      <c r="Z11373"/>
    </row>
    <row r="11374" spans="2:26" x14ac:dyDescent="0.25">
      <c r="B11374"/>
      <c r="Z11374"/>
    </row>
    <row r="11375" spans="2:26" x14ac:dyDescent="0.25">
      <c r="B11375"/>
      <c r="Z11375"/>
    </row>
    <row r="11376" spans="2:26" x14ac:dyDescent="0.25">
      <c r="B11376"/>
      <c r="Z11376"/>
    </row>
    <row r="11377" spans="1:33" x14ac:dyDescent="0.25">
      <c r="B11377"/>
      <c r="Z11377"/>
    </row>
    <row r="11378" spans="1:33" x14ac:dyDescent="0.25">
      <c r="B11378"/>
      <c r="Z11378"/>
    </row>
    <row r="11379" spans="1:33" x14ac:dyDescent="0.25">
      <c r="B11379"/>
      <c r="Z11379"/>
    </row>
    <row r="11380" spans="1:33" x14ac:dyDescent="0.25">
      <c r="A11380" s="6"/>
      <c r="B11380" s="6"/>
      <c r="C11380" s="6"/>
      <c r="D11380" s="6"/>
      <c r="E11380" s="6"/>
      <c r="F11380" s="6"/>
      <c r="G11380" s="6"/>
      <c r="H11380" s="6"/>
      <c r="I11380" s="6"/>
      <c r="J11380" s="6"/>
      <c r="K11380" s="6"/>
      <c r="L11380" s="6"/>
      <c r="M11380" s="6"/>
      <c r="N11380" s="6"/>
      <c r="O11380" s="6"/>
      <c r="P11380" s="6"/>
      <c r="Q11380" s="6"/>
      <c r="R11380" s="6"/>
      <c r="S11380" s="6"/>
      <c r="T11380" s="6"/>
      <c r="U11380" s="6"/>
      <c r="V11380" s="6"/>
      <c r="W11380" s="6"/>
      <c r="X11380" s="6"/>
      <c r="Y11380" s="6"/>
      <c r="Z11380" s="6"/>
      <c r="AA11380" s="6"/>
      <c r="AB11380" s="6"/>
      <c r="AC11380" s="6"/>
      <c r="AD11380" s="6"/>
      <c r="AE11380" s="6"/>
      <c r="AF11380" s="6"/>
      <c r="AG11380" s="6"/>
    </row>
    <row r="11381" spans="1:33" x14ac:dyDescent="0.25">
      <c r="B11381"/>
      <c r="Z11381"/>
    </row>
    <row r="11382" spans="1:33" x14ac:dyDescent="0.25">
      <c r="B11382"/>
      <c r="Z11382"/>
    </row>
    <row r="11383" spans="1:33" x14ac:dyDescent="0.25">
      <c r="B11383"/>
      <c r="Z11383"/>
    </row>
    <row r="11384" spans="1:33" x14ac:dyDescent="0.25">
      <c r="B11384"/>
      <c r="Z11384"/>
    </row>
    <row r="11385" spans="1:33" x14ac:dyDescent="0.25">
      <c r="B11385"/>
      <c r="Z11385"/>
    </row>
    <row r="11386" spans="1:33" x14ac:dyDescent="0.25">
      <c r="B11386"/>
      <c r="Z11386"/>
    </row>
    <row r="11387" spans="1:33" x14ac:dyDescent="0.25">
      <c r="B11387"/>
      <c r="Z11387"/>
    </row>
    <row r="11388" spans="1:33" x14ac:dyDescent="0.25">
      <c r="B11388"/>
      <c r="Z11388"/>
    </row>
    <row r="11389" spans="1:33" x14ac:dyDescent="0.25">
      <c r="B11389"/>
      <c r="Z11389"/>
    </row>
    <row r="11390" spans="1:33" x14ac:dyDescent="0.25">
      <c r="B11390"/>
      <c r="Z11390"/>
    </row>
    <row r="11391" spans="1:33" x14ac:dyDescent="0.25">
      <c r="B11391"/>
      <c r="Z11391"/>
    </row>
    <row r="11392" spans="1:33" x14ac:dyDescent="0.25">
      <c r="B11392"/>
      <c r="Z11392"/>
    </row>
    <row r="11393" spans="2:26" x14ac:dyDescent="0.25">
      <c r="B11393"/>
      <c r="Z11393"/>
    </row>
    <row r="11394" spans="2:26" x14ac:dyDescent="0.25">
      <c r="B11394"/>
      <c r="Z11394"/>
    </row>
    <row r="11395" spans="2:26" x14ac:dyDescent="0.25">
      <c r="B11395"/>
      <c r="Z11395"/>
    </row>
    <row r="11396" spans="2:26" x14ac:dyDescent="0.25">
      <c r="B11396"/>
      <c r="Z11396"/>
    </row>
    <row r="11397" spans="2:26" x14ac:dyDescent="0.25">
      <c r="B11397"/>
      <c r="Z11397"/>
    </row>
    <row r="11398" spans="2:26" x14ac:dyDescent="0.25">
      <c r="B11398"/>
      <c r="Z11398"/>
    </row>
    <row r="11399" spans="2:26" x14ac:dyDescent="0.25">
      <c r="B11399"/>
      <c r="Z11399"/>
    </row>
    <row r="11400" spans="2:26" x14ac:dyDescent="0.25">
      <c r="B11400"/>
      <c r="Z11400"/>
    </row>
    <row r="11401" spans="2:26" x14ac:dyDescent="0.25">
      <c r="B11401"/>
      <c r="Z11401"/>
    </row>
    <row r="11402" spans="2:26" x14ac:dyDescent="0.25">
      <c r="B11402"/>
      <c r="Z11402"/>
    </row>
    <row r="11403" spans="2:26" x14ac:dyDescent="0.25">
      <c r="B11403"/>
      <c r="Z11403"/>
    </row>
    <row r="11404" spans="2:26" x14ac:dyDescent="0.25">
      <c r="B11404"/>
      <c r="Z11404"/>
    </row>
    <row r="11405" spans="2:26" x14ac:dyDescent="0.25">
      <c r="B11405"/>
      <c r="Z11405"/>
    </row>
    <row r="11406" spans="2:26" x14ac:dyDescent="0.25">
      <c r="B11406"/>
      <c r="Z11406"/>
    </row>
    <row r="11407" spans="2:26" x14ac:dyDescent="0.25">
      <c r="B11407"/>
      <c r="Z11407"/>
    </row>
    <row r="11408" spans="2:26" x14ac:dyDescent="0.25">
      <c r="B11408"/>
      <c r="Z11408"/>
    </row>
    <row r="11409" spans="2:26" x14ac:dyDescent="0.25">
      <c r="B11409"/>
      <c r="Z11409"/>
    </row>
    <row r="11410" spans="2:26" x14ac:dyDescent="0.25">
      <c r="B11410"/>
      <c r="Z11410"/>
    </row>
    <row r="11411" spans="2:26" x14ac:dyDescent="0.25">
      <c r="B11411"/>
      <c r="Z11411"/>
    </row>
    <row r="11412" spans="2:26" x14ac:dyDescent="0.25">
      <c r="B11412"/>
      <c r="Z11412"/>
    </row>
    <row r="11413" spans="2:26" x14ac:dyDescent="0.25">
      <c r="B11413"/>
      <c r="Z11413"/>
    </row>
    <row r="11414" spans="2:26" x14ac:dyDescent="0.25">
      <c r="B11414"/>
      <c r="Z11414"/>
    </row>
    <row r="11415" spans="2:26" x14ac:dyDescent="0.25">
      <c r="B11415"/>
      <c r="Z11415"/>
    </row>
    <row r="11416" spans="2:26" x14ac:dyDescent="0.25">
      <c r="B11416"/>
      <c r="Z11416"/>
    </row>
    <row r="11417" spans="2:26" x14ac:dyDescent="0.25">
      <c r="B11417"/>
      <c r="Z11417"/>
    </row>
    <row r="11418" spans="2:26" x14ac:dyDescent="0.25">
      <c r="B11418"/>
      <c r="Z11418"/>
    </row>
    <row r="11419" spans="2:26" x14ac:dyDescent="0.25">
      <c r="B11419"/>
      <c r="Z11419"/>
    </row>
    <row r="11420" spans="2:26" x14ac:dyDescent="0.25">
      <c r="B11420"/>
      <c r="Z11420"/>
    </row>
    <row r="11421" spans="2:26" x14ac:dyDescent="0.25">
      <c r="B11421"/>
      <c r="Z11421"/>
    </row>
    <row r="11422" spans="2:26" x14ac:dyDescent="0.25">
      <c r="B11422"/>
      <c r="Z11422"/>
    </row>
    <row r="11423" spans="2:26" x14ac:dyDescent="0.25">
      <c r="B11423"/>
      <c r="Z11423"/>
    </row>
    <row r="11424" spans="2:26" x14ac:dyDescent="0.25">
      <c r="B11424"/>
      <c r="Z11424"/>
    </row>
    <row r="11425" spans="2:26" x14ac:dyDescent="0.25">
      <c r="B11425"/>
      <c r="Z11425"/>
    </row>
    <row r="11426" spans="2:26" x14ac:dyDescent="0.25">
      <c r="B11426"/>
      <c r="Z11426"/>
    </row>
    <row r="11427" spans="2:26" x14ac:dyDescent="0.25">
      <c r="B11427"/>
      <c r="Z11427"/>
    </row>
    <row r="11428" spans="2:26" x14ac:dyDescent="0.25">
      <c r="B11428"/>
      <c r="Z11428"/>
    </row>
    <row r="11429" spans="2:26" x14ac:dyDescent="0.25">
      <c r="B11429"/>
      <c r="Z11429"/>
    </row>
    <row r="11430" spans="2:26" x14ac:dyDescent="0.25">
      <c r="B11430"/>
      <c r="Z11430"/>
    </row>
    <row r="11431" spans="2:26" x14ac:dyDescent="0.25">
      <c r="B11431"/>
      <c r="Z11431"/>
    </row>
    <row r="11432" spans="2:26" x14ac:dyDescent="0.25">
      <c r="B11432"/>
      <c r="Z11432"/>
    </row>
    <row r="11433" spans="2:26" x14ac:dyDescent="0.25">
      <c r="B11433"/>
      <c r="Z11433"/>
    </row>
    <row r="11434" spans="2:26" x14ac:dyDescent="0.25">
      <c r="B11434"/>
      <c r="Z11434"/>
    </row>
    <row r="11435" spans="2:26" x14ac:dyDescent="0.25">
      <c r="B11435"/>
      <c r="Z11435"/>
    </row>
    <row r="11436" spans="2:26" x14ac:dyDescent="0.25">
      <c r="B11436"/>
      <c r="Z11436"/>
    </row>
    <row r="11437" spans="2:26" x14ac:dyDescent="0.25">
      <c r="B11437"/>
      <c r="Z11437"/>
    </row>
    <row r="11438" spans="2:26" x14ac:dyDescent="0.25">
      <c r="B11438"/>
      <c r="Z11438"/>
    </row>
    <row r="11439" spans="2:26" x14ac:dyDescent="0.25">
      <c r="B11439"/>
      <c r="Z11439"/>
    </row>
    <row r="11440" spans="2:26" x14ac:dyDescent="0.25">
      <c r="B11440"/>
      <c r="Z11440"/>
    </row>
    <row r="11441" spans="2:26" x14ac:dyDescent="0.25">
      <c r="B11441"/>
      <c r="Z11441"/>
    </row>
    <row r="11442" spans="2:26" x14ac:dyDescent="0.25">
      <c r="B11442"/>
      <c r="Z11442"/>
    </row>
    <row r="11443" spans="2:26" x14ac:dyDescent="0.25">
      <c r="B11443"/>
      <c r="Z11443"/>
    </row>
    <row r="11444" spans="2:26" x14ac:dyDescent="0.25">
      <c r="B11444"/>
      <c r="Z11444"/>
    </row>
    <row r="11445" spans="2:26" x14ac:dyDescent="0.25">
      <c r="B11445"/>
      <c r="Z11445"/>
    </row>
    <row r="11446" spans="2:26" x14ac:dyDescent="0.25">
      <c r="B11446"/>
      <c r="Z11446"/>
    </row>
    <row r="11447" spans="2:26" x14ac:dyDescent="0.25">
      <c r="B11447"/>
      <c r="Z11447"/>
    </row>
    <row r="11448" spans="2:26" x14ac:dyDescent="0.25">
      <c r="B11448"/>
      <c r="Z11448"/>
    </row>
    <row r="11449" spans="2:26" x14ac:dyDescent="0.25">
      <c r="B11449"/>
      <c r="Z11449"/>
    </row>
    <row r="11450" spans="2:26" x14ac:dyDescent="0.25">
      <c r="B11450"/>
      <c r="Z11450"/>
    </row>
    <row r="11451" spans="2:26" x14ac:dyDescent="0.25">
      <c r="B11451"/>
      <c r="Z11451"/>
    </row>
    <row r="11452" spans="2:26" x14ac:dyDescent="0.25">
      <c r="B11452"/>
      <c r="Z11452"/>
    </row>
    <row r="11453" spans="2:26" x14ac:dyDescent="0.25">
      <c r="B11453"/>
      <c r="Z11453"/>
    </row>
    <row r="11454" spans="2:26" x14ac:dyDescent="0.25">
      <c r="B11454"/>
      <c r="Z11454"/>
    </row>
    <row r="11455" spans="2:26" x14ac:dyDescent="0.25">
      <c r="B11455"/>
      <c r="Z11455"/>
    </row>
    <row r="11456" spans="2:26" x14ac:dyDescent="0.25">
      <c r="B11456"/>
      <c r="Z11456"/>
    </row>
    <row r="11457" spans="2:26" x14ac:dyDescent="0.25">
      <c r="B11457"/>
      <c r="Z11457"/>
    </row>
    <row r="11458" spans="2:26" x14ac:dyDescent="0.25">
      <c r="B11458"/>
      <c r="Z11458"/>
    </row>
    <row r="11459" spans="2:26" x14ac:dyDescent="0.25">
      <c r="B11459"/>
      <c r="Z11459"/>
    </row>
    <row r="11460" spans="2:26" x14ac:dyDescent="0.25">
      <c r="B11460"/>
      <c r="K11460" s="6"/>
      <c r="Z11460"/>
    </row>
    <row r="11461" spans="2:26" x14ac:dyDescent="0.25">
      <c r="B11461"/>
      <c r="Z11461"/>
    </row>
    <row r="11462" spans="2:26" x14ac:dyDescent="0.25">
      <c r="B11462"/>
      <c r="Z11462"/>
    </row>
    <row r="11463" spans="2:26" x14ac:dyDescent="0.25">
      <c r="B11463"/>
      <c r="Z11463"/>
    </row>
    <row r="11464" spans="2:26" x14ac:dyDescent="0.25">
      <c r="B11464"/>
      <c r="Z11464"/>
    </row>
    <row r="11465" spans="2:26" x14ac:dyDescent="0.25">
      <c r="B11465"/>
      <c r="Z11465"/>
    </row>
    <row r="11466" spans="2:26" x14ac:dyDescent="0.25">
      <c r="B11466"/>
      <c r="Z11466"/>
    </row>
    <row r="11467" spans="2:26" x14ac:dyDescent="0.25">
      <c r="B11467"/>
      <c r="Z11467"/>
    </row>
    <row r="11468" spans="2:26" x14ac:dyDescent="0.25">
      <c r="B11468"/>
      <c r="Z11468"/>
    </row>
    <row r="11469" spans="2:26" x14ac:dyDescent="0.25">
      <c r="B11469"/>
      <c r="Z11469"/>
    </row>
    <row r="11470" spans="2:26" x14ac:dyDescent="0.25">
      <c r="B11470"/>
      <c r="Z11470"/>
    </row>
    <row r="11471" spans="2:26" x14ac:dyDescent="0.25">
      <c r="B11471"/>
      <c r="Z11471"/>
    </row>
    <row r="11472" spans="2:26" x14ac:dyDescent="0.25">
      <c r="B11472"/>
      <c r="Z11472"/>
    </row>
    <row r="11473" spans="1:33" x14ac:dyDescent="0.25">
      <c r="B11473"/>
      <c r="Z11473"/>
    </row>
    <row r="11474" spans="1:33" x14ac:dyDescent="0.25">
      <c r="B11474"/>
      <c r="Z11474"/>
    </row>
    <row r="11475" spans="1:33" x14ac:dyDescent="0.25">
      <c r="B11475"/>
      <c r="Z11475"/>
    </row>
    <row r="11476" spans="1:33" x14ac:dyDescent="0.25">
      <c r="B11476"/>
      <c r="Z11476"/>
    </row>
    <row r="11477" spans="1:33" x14ac:dyDescent="0.25">
      <c r="B11477"/>
      <c r="Z11477"/>
    </row>
    <row r="11478" spans="1:33" x14ac:dyDescent="0.25">
      <c r="B11478"/>
      <c r="Z11478"/>
    </row>
    <row r="11479" spans="1:33" x14ac:dyDescent="0.25">
      <c r="B11479"/>
      <c r="Z11479"/>
    </row>
    <row r="11480" spans="1:33" x14ac:dyDescent="0.25">
      <c r="B11480"/>
      <c r="Z11480"/>
    </row>
    <row r="11481" spans="1:33" x14ac:dyDescent="0.25">
      <c r="B11481"/>
      <c r="Z11481"/>
    </row>
    <row r="11482" spans="1:33" x14ac:dyDescent="0.25">
      <c r="A11482" s="6"/>
      <c r="B11482" s="6"/>
      <c r="C11482" s="6"/>
      <c r="D11482" s="6"/>
      <c r="E11482" s="6"/>
      <c r="F11482" s="6"/>
      <c r="G11482" s="6"/>
      <c r="H11482" s="6"/>
      <c r="I11482" s="6"/>
      <c r="J11482" s="6"/>
      <c r="K11482" s="6"/>
      <c r="L11482" s="6"/>
      <c r="M11482" s="6"/>
      <c r="N11482" s="6"/>
      <c r="O11482" s="6"/>
      <c r="P11482" s="6"/>
      <c r="Q11482" s="6"/>
      <c r="R11482" s="6"/>
      <c r="S11482" s="6"/>
      <c r="T11482" s="6"/>
      <c r="U11482" s="6"/>
      <c r="V11482" s="6"/>
      <c r="W11482" s="6"/>
      <c r="X11482" s="6"/>
      <c r="Y11482" s="6"/>
      <c r="Z11482" s="6"/>
      <c r="AA11482" s="6"/>
      <c r="AB11482" s="6"/>
      <c r="AC11482" s="6"/>
      <c r="AD11482" s="6"/>
      <c r="AE11482" s="6"/>
      <c r="AF11482" s="6"/>
      <c r="AG11482" s="6"/>
    </row>
    <row r="11483" spans="1:33" x14ac:dyDescent="0.25">
      <c r="B11483"/>
      <c r="Z11483"/>
    </row>
    <row r="11484" spans="1:33" x14ac:dyDescent="0.25">
      <c r="B11484"/>
      <c r="Z11484"/>
    </row>
    <row r="11485" spans="1:33" x14ac:dyDescent="0.25">
      <c r="B11485"/>
      <c r="Z11485"/>
    </row>
    <row r="11486" spans="1:33" x14ac:dyDescent="0.25">
      <c r="B11486"/>
      <c r="Z11486"/>
    </row>
    <row r="11487" spans="1:33" x14ac:dyDescent="0.25">
      <c r="B11487"/>
      <c r="Z11487"/>
    </row>
    <row r="11488" spans="1:33" x14ac:dyDescent="0.25">
      <c r="B11488"/>
      <c r="Z11488"/>
    </row>
    <row r="11489" spans="2:26" x14ac:dyDescent="0.25">
      <c r="B11489"/>
      <c r="Z11489"/>
    </row>
    <row r="11490" spans="2:26" x14ac:dyDescent="0.25">
      <c r="B11490"/>
      <c r="Z11490"/>
    </row>
    <row r="11491" spans="2:26" x14ac:dyDescent="0.25">
      <c r="B11491"/>
      <c r="Z11491"/>
    </row>
    <row r="11492" spans="2:26" x14ac:dyDescent="0.25">
      <c r="B11492"/>
      <c r="Z11492"/>
    </row>
    <row r="11493" spans="2:26" x14ac:dyDescent="0.25">
      <c r="B11493"/>
      <c r="Z11493"/>
    </row>
    <row r="11494" spans="2:26" x14ac:dyDescent="0.25">
      <c r="B11494"/>
      <c r="Z11494"/>
    </row>
    <row r="11495" spans="2:26" x14ac:dyDescent="0.25">
      <c r="B11495"/>
      <c r="Z11495"/>
    </row>
    <row r="11496" spans="2:26" x14ac:dyDescent="0.25">
      <c r="B11496"/>
      <c r="Z11496"/>
    </row>
    <row r="11497" spans="2:26" x14ac:dyDescent="0.25">
      <c r="B11497"/>
      <c r="Z11497"/>
    </row>
    <row r="11498" spans="2:26" x14ac:dyDescent="0.25">
      <c r="B11498"/>
      <c r="Z11498"/>
    </row>
    <row r="11499" spans="2:26" x14ac:dyDescent="0.25">
      <c r="B11499"/>
      <c r="Z11499"/>
    </row>
    <row r="11500" spans="2:26" x14ac:dyDescent="0.25">
      <c r="B11500"/>
      <c r="Z11500"/>
    </row>
    <row r="11501" spans="2:26" x14ac:dyDescent="0.25">
      <c r="B11501"/>
      <c r="Z11501"/>
    </row>
    <row r="11502" spans="2:26" x14ac:dyDescent="0.25">
      <c r="B11502"/>
      <c r="Z11502"/>
    </row>
    <row r="11503" spans="2:26" x14ac:dyDescent="0.25">
      <c r="B11503"/>
      <c r="Z11503"/>
    </row>
    <row r="11504" spans="2:26" x14ac:dyDescent="0.25">
      <c r="B11504"/>
      <c r="Z11504"/>
    </row>
    <row r="11505" spans="2:26" x14ac:dyDescent="0.25">
      <c r="B11505"/>
      <c r="Z11505"/>
    </row>
    <row r="11506" spans="2:26" x14ac:dyDescent="0.25">
      <c r="B11506"/>
      <c r="Z11506"/>
    </row>
    <row r="11507" spans="2:26" x14ac:dyDescent="0.25">
      <c r="B11507"/>
      <c r="Z11507"/>
    </row>
    <row r="11508" spans="2:26" x14ac:dyDescent="0.25">
      <c r="B11508"/>
      <c r="Z11508"/>
    </row>
    <row r="11509" spans="2:26" x14ac:dyDescent="0.25">
      <c r="B11509"/>
      <c r="Z11509"/>
    </row>
    <row r="11510" spans="2:26" x14ac:dyDescent="0.25">
      <c r="B11510"/>
      <c r="Z11510"/>
    </row>
    <row r="11511" spans="2:26" x14ac:dyDescent="0.25">
      <c r="B11511"/>
      <c r="Z11511"/>
    </row>
    <row r="11512" spans="2:26" x14ac:dyDescent="0.25">
      <c r="B11512"/>
      <c r="Z11512"/>
    </row>
    <row r="11513" spans="2:26" x14ac:dyDescent="0.25">
      <c r="B11513"/>
      <c r="Z11513"/>
    </row>
    <row r="11514" spans="2:26" x14ac:dyDescent="0.25">
      <c r="B11514"/>
      <c r="Z11514"/>
    </row>
    <row r="11515" spans="2:26" x14ac:dyDescent="0.25">
      <c r="B11515"/>
      <c r="Z11515"/>
    </row>
    <row r="11516" spans="2:26" x14ac:dyDescent="0.25">
      <c r="B11516"/>
      <c r="Z11516"/>
    </row>
    <row r="11517" spans="2:26" x14ac:dyDescent="0.25">
      <c r="B11517"/>
      <c r="Z11517"/>
    </row>
    <row r="11518" spans="2:26" x14ac:dyDescent="0.25">
      <c r="B11518"/>
      <c r="Z11518"/>
    </row>
    <row r="11519" spans="2:26" x14ac:dyDescent="0.25">
      <c r="B11519"/>
      <c r="Z11519"/>
    </row>
    <row r="11520" spans="2:26" x14ac:dyDescent="0.25">
      <c r="B11520"/>
      <c r="Z11520"/>
    </row>
    <row r="11521" spans="2:26" x14ac:dyDescent="0.25">
      <c r="B11521"/>
      <c r="Z11521"/>
    </row>
    <row r="11522" spans="2:26" x14ac:dyDescent="0.25">
      <c r="B11522"/>
      <c r="Z11522"/>
    </row>
    <row r="11523" spans="2:26" x14ac:dyDescent="0.25">
      <c r="B11523"/>
      <c r="Z11523"/>
    </row>
    <row r="11524" spans="2:26" x14ac:dyDescent="0.25">
      <c r="B11524"/>
      <c r="Z11524"/>
    </row>
    <row r="11525" spans="2:26" x14ac:dyDescent="0.25">
      <c r="B11525"/>
      <c r="Z11525"/>
    </row>
    <row r="11526" spans="2:26" x14ac:dyDescent="0.25">
      <c r="B11526"/>
      <c r="Z11526"/>
    </row>
    <row r="11527" spans="2:26" x14ac:dyDescent="0.25">
      <c r="B11527"/>
      <c r="Z11527"/>
    </row>
    <row r="11528" spans="2:26" x14ac:dyDescent="0.25">
      <c r="B11528"/>
      <c r="Z11528"/>
    </row>
    <row r="11529" spans="2:26" x14ac:dyDescent="0.25">
      <c r="B11529"/>
      <c r="Z11529"/>
    </row>
    <row r="11530" spans="2:26" x14ac:dyDescent="0.25">
      <c r="B11530"/>
      <c r="Z11530"/>
    </row>
    <row r="11531" spans="2:26" x14ac:dyDescent="0.25">
      <c r="B11531"/>
      <c r="Z11531"/>
    </row>
    <row r="11532" spans="2:26" x14ac:dyDescent="0.25">
      <c r="B11532"/>
      <c r="Z11532"/>
    </row>
    <row r="11533" spans="2:26" x14ac:dyDescent="0.25">
      <c r="B11533"/>
      <c r="Z11533"/>
    </row>
    <row r="11534" spans="2:26" x14ac:dyDescent="0.25">
      <c r="B11534"/>
      <c r="Z11534"/>
    </row>
    <row r="11535" spans="2:26" x14ac:dyDescent="0.25">
      <c r="B11535"/>
      <c r="Z11535"/>
    </row>
    <row r="11536" spans="2:26" x14ac:dyDescent="0.25">
      <c r="B11536"/>
      <c r="Z11536"/>
    </row>
    <row r="11537" spans="2:26" x14ac:dyDescent="0.25">
      <c r="B11537"/>
      <c r="Z11537"/>
    </row>
    <row r="11538" spans="2:26" x14ac:dyDescent="0.25">
      <c r="B11538"/>
      <c r="Z11538"/>
    </row>
    <row r="11539" spans="2:26" x14ac:dyDescent="0.25">
      <c r="B11539"/>
      <c r="Z11539"/>
    </row>
    <row r="11540" spans="2:26" x14ac:dyDescent="0.25">
      <c r="B11540"/>
      <c r="Z11540"/>
    </row>
    <row r="11541" spans="2:26" x14ac:dyDescent="0.25">
      <c r="B11541"/>
      <c r="Z11541"/>
    </row>
    <row r="11542" spans="2:26" x14ac:dyDescent="0.25">
      <c r="B11542"/>
      <c r="Z11542"/>
    </row>
    <row r="11543" spans="2:26" x14ac:dyDescent="0.25">
      <c r="B11543"/>
      <c r="Z11543"/>
    </row>
    <row r="11544" spans="2:26" x14ac:dyDescent="0.25">
      <c r="B11544"/>
      <c r="Z11544"/>
    </row>
    <row r="11545" spans="2:26" x14ac:dyDescent="0.25">
      <c r="B11545"/>
      <c r="Z11545"/>
    </row>
    <row r="11546" spans="2:26" x14ac:dyDescent="0.25">
      <c r="B11546"/>
      <c r="Z11546"/>
    </row>
    <row r="11547" spans="2:26" x14ac:dyDescent="0.25">
      <c r="B11547"/>
      <c r="Z11547"/>
    </row>
    <row r="11548" spans="2:26" x14ac:dyDescent="0.25">
      <c r="B11548"/>
      <c r="Z11548"/>
    </row>
    <row r="11549" spans="2:26" x14ac:dyDescent="0.25">
      <c r="B11549"/>
      <c r="Z11549"/>
    </row>
    <row r="11550" spans="2:26" x14ac:dyDescent="0.25">
      <c r="B11550"/>
      <c r="Z11550"/>
    </row>
    <row r="11551" spans="2:26" x14ac:dyDescent="0.25">
      <c r="B11551"/>
      <c r="Z11551"/>
    </row>
    <row r="11552" spans="2:26" x14ac:dyDescent="0.25">
      <c r="B11552"/>
      <c r="Z11552"/>
    </row>
    <row r="11553" spans="2:26" x14ac:dyDescent="0.25">
      <c r="B11553"/>
      <c r="Z11553"/>
    </row>
    <row r="11554" spans="2:26" x14ac:dyDescent="0.25">
      <c r="B11554"/>
      <c r="Z11554"/>
    </row>
    <row r="11555" spans="2:26" x14ac:dyDescent="0.25">
      <c r="B11555"/>
      <c r="Z11555"/>
    </row>
    <row r="11556" spans="2:26" x14ac:dyDescent="0.25">
      <c r="B11556"/>
      <c r="Z11556"/>
    </row>
    <row r="11557" spans="2:26" x14ac:dyDescent="0.25">
      <c r="B11557"/>
      <c r="Z11557"/>
    </row>
    <row r="11558" spans="2:26" x14ac:dyDescent="0.25">
      <c r="B11558"/>
      <c r="Z11558"/>
    </row>
    <row r="11559" spans="2:26" x14ac:dyDescent="0.25">
      <c r="B11559"/>
      <c r="Z11559"/>
    </row>
    <row r="11560" spans="2:26" x14ac:dyDescent="0.25">
      <c r="B11560"/>
      <c r="Z11560"/>
    </row>
    <row r="11561" spans="2:26" x14ac:dyDescent="0.25">
      <c r="B11561"/>
      <c r="Z11561"/>
    </row>
    <row r="11562" spans="2:26" x14ac:dyDescent="0.25">
      <c r="B11562"/>
      <c r="Z11562"/>
    </row>
    <row r="11563" spans="2:26" x14ac:dyDescent="0.25">
      <c r="B11563"/>
      <c r="Z11563"/>
    </row>
    <row r="11564" spans="2:26" x14ac:dyDescent="0.25">
      <c r="B11564"/>
      <c r="K11564" s="6"/>
      <c r="Z11564"/>
    </row>
    <row r="11565" spans="2:26" x14ac:dyDescent="0.25">
      <c r="B11565"/>
      <c r="Z11565"/>
    </row>
    <row r="11566" spans="2:26" x14ac:dyDescent="0.25">
      <c r="B11566"/>
      <c r="Z11566"/>
    </row>
    <row r="11567" spans="2:26" x14ac:dyDescent="0.25">
      <c r="B11567"/>
      <c r="Z11567"/>
    </row>
    <row r="11568" spans="2:26" x14ac:dyDescent="0.25">
      <c r="B11568"/>
      <c r="Z11568"/>
    </row>
    <row r="11569" spans="1:33" x14ac:dyDescent="0.25">
      <c r="B11569"/>
      <c r="Z11569"/>
    </row>
    <row r="11570" spans="1:33" x14ac:dyDescent="0.25">
      <c r="B11570"/>
      <c r="Z11570"/>
    </row>
    <row r="11571" spans="1:33" x14ac:dyDescent="0.25">
      <c r="B11571"/>
      <c r="Z11571"/>
    </row>
    <row r="11572" spans="1:33" x14ac:dyDescent="0.25">
      <c r="B11572"/>
      <c r="Z11572"/>
    </row>
    <row r="11573" spans="1:33" x14ac:dyDescent="0.25">
      <c r="B11573"/>
      <c r="Z11573"/>
    </row>
    <row r="11574" spans="1:33" x14ac:dyDescent="0.25">
      <c r="B11574"/>
      <c r="Z11574"/>
    </row>
    <row r="11575" spans="1:33" x14ac:dyDescent="0.25">
      <c r="B11575"/>
      <c r="Z11575"/>
    </row>
    <row r="11576" spans="1:33" x14ac:dyDescent="0.25">
      <c r="B11576"/>
      <c r="Z11576"/>
    </row>
    <row r="11577" spans="1:33" x14ac:dyDescent="0.25">
      <c r="B11577"/>
      <c r="Z11577"/>
    </row>
    <row r="11578" spans="1:33" x14ac:dyDescent="0.25">
      <c r="B11578"/>
      <c r="Z11578"/>
    </row>
    <row r="11579" spans="1:33" x14ac:dyDescent="0.25">
      <c r="B11579"/>
      <c r="Z11579"/>
    </row>
    <row r="11580" spans="1:33" x14ac:dyDescent="0.25">
      <c r="B11580"/>
      <c r="Z11580"/>
    </row>
    <row r="11581" spans="1:33" x14ac:dyDescent="0.25">
      <c r="B11581"/>
      <c r="Z11581"/>
    </row>
    <row r="11582" spans="1:33" x14ac:dyDescent="0.25">
      <c r="B11582"/>
      <c r="Z11582"/>
    </row>
    <row r="11583" spans="1:33" x14ac:dyDescent="0.25">
      <c r="B11583"/>
      <c r="Z11583"/>
    </row>
    <row r="11584" spans="1:33" x14ac:dyDescent="0.25">
      <c r="A11584" s="6"/>
      <c r="B11584" s="6"/>
      <c r="C11584" s="6"/>
      <c r="D11584" s="6"/>
      <c r="E11584" s="6"/>
      <c r="F11584" s="6"/>
      <c r="G11584" s="6"/>
      <c r="H11584" s="6"/>
      <c r="I11584" s="6"/>
      <c r="J11584" s="6"/>
      <c r="K11584" s="6"/>
      <c r="L11584" s="6"/>
      <c r="M11584" s="6"/>
      <c r="N11584" s="6"/>
      <c r="O11584" s="6"/>
      <c r="P11584" s="6"/>
      <c r="Q11584" s="6"/>
      <c r="R11584" s="6"/>
      <c r="S11584" s="6"/>
      <c r="T11584" s="6"/>
      <c r="U11584" s="6"/>
      <c r="V11584" s="6"/>
      <c r="W11584" s="6"/>
      <c r="X11584" s="6"/>
      <c r="Y11584" s="6"/>
      <c r="Z11584" s="6"/>
      <c r="AA11584" s="6"/>
      <c r="AB11584" s="6"/>
      <c r="AC11584" s="6"/>
      <c r="AD11584" s="6"/>
      <c r="AE11584" s="6"/>
      <c r="AF11584" s="6"/>
      <c r="AG11584" s="6"/>
    </row>
    <row r="11585" spans="2:26" x14ac:dyDescent="0.25">
      <c r="B11585"/>
      <c r="Z11585"/>
    </row>
    <row r="11586" spans="2:26" x14ac:dyDescent="0.25">
      <c r="B11586"/>
      <c r="Z11586"/>
    </row>
    <row r="11587" spans="2:26" x14ac:dyDescent="0.25">
      <c r="B11587"/>
      <c r="Z11587"/>
    </row>
    <row r="11588" spans="2:26" x14ac:dyDescent="0.25">
      <c r="B11588"/>
      <c r="Z11588"/>
    </row>
    <row r="11589" spans="2:26" x14ac:dyDescent="0.25">
      <c r="B11589"/>
      <c r="Z11589"/>
    </row>
    <row r="11590" spans="2:26" x14ac:dyDescent="0.25">
      <c r="B11590"/>
      <c r="Z11590"/>
    </row>
    <row r="11591" spans="2:26" x14ac:dyDescent="0.25">
      <c r="B11591"/>
      <c r="Z11591"/>
    </row>
    <row r="11592" spans="2:26" x14ac:dyDescent="0.25">
      <c r="B11592"/>
      <c r="Z11592"/>
    </row>
    <row r="11593" spans="2:26" x14ac:dyDescent="0.25">
      <c r="B11593"/>
      <c r="Z11593"/>
    </row>
    <row r="11594" spans="2:26" x14ac:dyDescent="0.25">
      <c r="B11594"/>
      <c r="Z11594"/>
    </row>
    <row r="11595" spans="2:26" x14ac:dyDescent="0.25">
      <c r="B11595"/>
      <c r="Z11595"/>
    </row>
    <row r="11596" spans="2:26" x14ac:dyDescent="0.25">
      <c r="B11596"/>
      <c r="Z11596"/>
    </row>
    <row r="11597" spans="2:26" x14ac:dyDescent="0.25">
      <c r="B11597"/>
      <c r="Z11597"/>
    </row>
    <row r="11598" spans="2:26" x14ac:dyDescent="0.25">
      <c r="B11598"/>
      <c r="Z11598"/>
    </row>
    <row r="11599" spans="2:26" x14ac:dyDescent="0.25">
      <c r="B11599"/>
      <c r="Z11599"/>
    </row>
    <row r="11600" spans="2:26" x14ac:dyDescent="0.25">
      <c r="B11600"/>
      <c r="Z11600"/>
    </row>
    <row r="11601" spans="2:26" x14ac:dyDescent="0.25">
      <c r="B11601"/>
      <c r="Z11601"/>
    </row>
    <row r="11602" spans="2:26" x14ac:dyDescent="0.25">
      <c r="B11602"/>
      <c r="Z11602"/>
    </row>
    <row r="11603" spans="2:26" x14ac:dyDescent="0.25">
      <c r="B11603"/>
      <c r="Z11603"/>
    </row>
    <row r="11604" spans="2:26" x14ac:dyDescent="0.25">
      <c r="B11604"/>
      <c r="Z11604"/>
    </row>
    <row r="11605" spans="2:26" x14ac:dyDescent="0.25">
      <c r="B11605"/>
      <c r="Z11605"/>
    </row>
    <row r="11606" spans="2:26" x14ac:dyDescent="0.25">
      <c r="B11606"/>
      <c r="Z11606"/>
    </row>
    <row r="11607" spans="2:26" x14ac:dyDescent="0.25">
      <c r="B11607"/>
      <c r="Z11607"/>
    </row>
    <row r="11608" spans="2:26" x14ac:dyDescent="0.25">
      <c r="B11608"/>
      <c r="Z11608"/>
    </row>
    <row r="11609" spans="2:26" x14ac:dyDescent="0.25">
      <c r="B11609"/>
      <c r="Z11609"/>
    </row>
    <row r="11610" spans="2:26" x14ac:dyDescent="0.25">
      <c r="B11610"/>
      <c r="Z11610"/>
    </row>
    <row r="11611" spans="2:26" x14ac:dyDescent="0.25">
      <c r="B11611"/>
      <c r="Z11611"/>
    </row>
    <row r="11612" spans="2:26" x14ac:dyDescent="0.25">
      <c r="B11612"/>
      <c r="Z11612"/>
    </row>
    <row r="11613" spans="2:26" x14ac:dyDescent="0.25">
      <c r="B11613"/>
      <c r="Z11613"/>
    </row>
    <row r="11614" spans="2:26" x14ac:dyDescent="0.25">
      <c r="B11614"/>
      <c r="Z11614"/>
    </row>
    <row r="11615" spans="2:26" x14ac:dyDescent="0.25">
      <c r="B11615"/>
      <c r="Z11615"/>
    </row>
    <row r="11616" spans="2:26" x14ac:dyDescent="0.25">
      <c r="B11616"/>
      <c r="Z11616"/>
    </row>
    <row r="11617" spans="2:26" x14ac:dyDescent="0.25">
      <c r="B11617"/>
      <c r="Z11617"/>
    </row>
    <row r="11618" spans="2:26" x14ac:dyDescent="0.25">
      <c r="B11618"/>
      <c r="Z11618"/>
    </row>
    <row r="11619" spans="2:26" x14ac:dyDescent="0.25">
      <c r="B11619"/>
      <c r="Z11619"/>
    </row>
    <row r="11620" spans="2:26" x14ac:dyDescent="0.25">
      <c r="B11620"/>
      <c r="Z11620"/>
    </row>
    <row r="11621" spans="2:26" x14ac:dyDescent="0.25">
      <c r="B11621"/>
      <c r="Z11621"/>
    </row>
    <row r="11622" spans="2:26" x14ac:dyDescent="0.25">
      <c r="B11622"/>
      <c r="Z11622"/>
    </row>
    <row r="11623" spans="2:26" x14ac:dyDescent="0.25">
      <c r="B11623"/>
      <c r="Z11623"/>
    </row>
    <row r="11624" spans="2:26" x14ac:dyDescent="0.25">
      <c r="B11624"/>
      <c r="Z11624"/>
    </row>
    <row r="11625" spans="2:26" x14ac:dyDescent="0.25">
      <c r="B11625"/>
      <c r="Z11625"/>
    </row>
    <row r="11626" spans="2:26" x14ac:dyDescent="0.25">
      <c r="B11626"/>
      <c r="Z11626"/>
    </row>
    <row r="11627" spans="2:26" x14ac:dyDescent="0.25">
      <c r="B11627"/>
      <c r="Z11627"/>
    </row>
    <row r="11628" spans="2:26" x14ac:dyDescent="0.25">
      <c r="B11628"/>
      <c r="Z11628"/>
    </row>
    <row r="11629" spans="2:26" x14ac:dyDescent="0.25">
      <c r="B11629"/>
      <c r="Z11629"/>
    </row>
    <row r="11630" spans="2:26" x14ac:dyDescent="0.25">
      <c r="B11630"/>
      <c r="Z11630"/>
    </row>
    <row r="11631" spans="2:26" x14ac:dyDescent="0.25">
      <c r="B11631"/>
      <c r="Z11631"/>
    </row>
    <row r="11632" spans="2:26" x14ac:dyDescent="0.25">
      <c r="B11632"/>
      <c r="Z11632"/>
    </row>
    <row r="11633" spans="2:26" x14ac:dyDescent="0.25">
      <c r="B11633"/>
      <c r="Z11633"/>
    </row>
    <row r="11634" spans="2:26" x14ac:dyDescent="0.25">
      <c r="B11634"/>
      <c r="Z11634"/>
    </row>
    <row r="11635" spans="2:26" x14ac:dyDescent="0.25">
      <c r="B11635"/>
      <c r="Z11635"/>
    </row>
    <row r="11636" spans="2:26" x14ac:dyDescent="0.25">
      <c r="B11636"/>
      <c r="Z11636"/>
    </row>
    <row r="11637" spans="2:26" x14ac:dyDescent="0.25">
      <c r="B11637"/>
      <c r="Z11637"/>
    </row>
    <row r="11638" spans="2:26" x14ac:dyDescent="0.25">
      <c r="B11638"/>
      <c r="Z11638"/>
    </row>
    <row r="11639" spans="2:26" x14ac:dyDescent="0.25">
      <c r="B11639"/>
      <c r="Z11639"/>
    </row>
    <row r="11640" spans="2:26" x14ac:dyDescent="0.25">
      <c r="B11640"/>
      <c r="Z11640"/>
    </row>
    <row r="11641" spans="2:26" x14ac:dyDescent="0.25">
      <c r="B11641"/>
      <c r="Z11641"/>
    </row>
    <row r="11642" spans="2:26" x14ac:dyDescent="0.25">
      <c r="B11642"/>
      <c r="Z11642"/>
    </row>
    <row r="11643" spans="2:26" x14ac:dyDescent="0.25">
      <c r="B11643"/>
      <c r="Z11643"/>
    </row>
    <row r="11644" spans="2:26" x14ac:dyDescent="0.25">
      <c r="B11644"/>
      <c r="Z11644"/>
    </row>
    <row r="11645" spans="2:26" x14ac:dyDescent="0.25">
      <c r="B11645"/>
      <c r="Z11645"/>
    </row>
    <row r="11646" spans="2:26" x14ac:dyDescent="0.25">
      <c r="B11646"/>
      <c r="Z11646"/>
    </row>
    <row r="11647" spans="2:26" x14ac:dyDescent="0.25">
      <c r="B11647"/>
      <c r="Z11647"/>
    </row>
    <row r="11648" spans="2:26" x14ac:dyDescent="0.25">
      <c r="B11648"/>
      <c r="Z11648"/>
    </row>
    <row r="11649" spans="2:26" x14ac:dyDescent="0.25">
      <c r="B11649"/>
      <c r="Z11649"/>
    </row>
    <row r="11650" spans="2:26" x14ac:dyDescent="0.25">
      <c r="B11650"/>
      <c r="Z11650"/>
    </row>
    <row r="11651" spans="2:26" x14ac:dyDescent="0.25">
      <c r="B11651"/>
      <c r="Z11651"/>
    </row>
    <row r="11652" spans="2:26" x14ac:dyDescent="0.25">
      <c r="B11652"/>
      <c r="Z11652"/>
    </row>
    <row r="11653" spans="2:26" x14ac:dyDescent="0.25">
      <c r="B11653"/>
      <c r="Z11653"/>
    </row>
    <row r="11654" spans="2:26" x14ac:dyDescent="0.25">
      <c r="B11654"/>
      <c r="Z11654"/>
    </row>
    <row r="11655" spans="2:26" x14ac:dyDescent="0.25">
      <c r="B11655"/>
      <c r="Z11655"/>
    </row>
    <row r="11656" spans="2:26" x14ac:dyDescent="0.25">
      <c r="B11656"/>
      <c r="Z11656"/>
    </row>
    <row r="11657" spans="2:26" x14ac:dyDescent="0.25">
      <c r="B11657"/>
      <c r="Z11657"/>
    </row>
    <row r="11658" spans="2:26" x14ac:dyDescent="0.25">
      <c r="B11658"/>
      <c r="Z11658"/>
    </row>
    <row r="11659" spans="2:26" x14ac:dyDescent="0.25">
      <c r="B11659"/>
      <c r="Z11659"/>
    </row>
    <row r="11660" spans="2:26" x14ac:dyDescent="0.25">
      <c r="B11660"/>
      <c r="Z11660"/>
    </row>
    <row r="11661" spans="2:26" x14ac:dyDescent="0.25">
      <c r="B11661"/>
      <c r="Z11661"/>
    </row>
    <row r="11662" spans="2:26" x14ac:dyDescent="0.25">
      <c r="B11662"/>
      <c r="Z11662"/>
    </row>
    <row r="11663" spans="2:26" x14ac:dyDescent="0.25">
      <c r="B11663"/>
      <c r="Z11663"/>
    </row>
    <row r="11664" spans="2:26" x14ac:dyDescent="0.25">
      <c r="B11664"/>
      <c r="Z11664"/>
    </row>
    <row r="11665" spans="2:26" x14ac:dyDescent="0.25">
      <c r="B11665"/>
      <c r="Z11665"/>
    </row>
    <row r="11666" spans="2:26" x14ac:dyDescent="0.25">
      <c r="B11666"/>
      <c r="Z11666"/>
    </row>
    <row r="11667" spans="2:26" x14ac:dyDescent="0.25">
      <c r="B11667"/>
      <c r="Z11667"/>
    </row>
    <row r="11668" spans="2:26" x14ac:dyDescent="0.25">
      <c r="B11668"/>
      <c r="K11668" s="6"/>
      <c r="Z11668"/>
    </row>
    <row r="11669" spans="2:26" x14ac:dyDescent="0.25">
      <c r="B11669"/>
      <c r="Z11669"/>
    </row>
    <row r="11670" spans="2:26" x14ac:dyDescent="0.25">
      <c r="B11670"/>
      <c r="Z11670"/>
    </row>
    <row r="11671" spans="2:26" x14ac:dyDescent="0.25">
      <c r="B11671"/>
      <c r="Z11671"/>
    </row>
    <row r="11672" spans="2:26" x14ac:dyDescent="0.25">
      <c r="B11672"/>
      <c r="Z11672"/>
    </row>
    <row r="11673" spans="2:26" x14ac:dyDescent="0.25">
      <c r="B11673"/>
      <c r="Z11673"/>
    </row>
    <row r="11674" spans="2:26" x14ac:dyDescent="0.25">
      <c r="B11674"/>
      <c r="Z11674"/>
    </row>
    <row r="11675" spans="2:26" x14ac:dyDescent="0.25">
      <c r="B11675"/>
      <c r="Z11675"/>
    </row>
    <row r="11676" spans="2:26" x14ac:dyDescent="0.25">
      <c r="B11676"/>
      <c r="Z11676"/>
    </row>
    <row r="11677" spans="2:26" x14ac:dyDescent="0.25">
      <c r="B11677"/>
      <c r="Z11677"/>
    </row>
    <row r="11678" spans="2:26" x14ac:dyDescent="0.25">
      <c r="B11678"/>
      <c r="Z11678"/>
    </row>
    <row r="11679" spans="2:26" x14ac:dyDescent="0.25">
      <c r="B11679"/>
      <c r="Z11679"/>
    </row>
    <row r="11680" spans="2:26" x14ac:dyDescent="0.25">
      <c r="B11680"/>
      <c r="Z11680"/>
    </row>
    <row r="11681" spans="1:33" x14ac:dyDescent="0.25">
      <c r="B11681"/>
      <c r="Z11681"/>
    </row>
    <row r="11682" spans="1:33" x14ac:dyDescent="0.25">
      <c r="B11682"/>
      <c r="Z11682"/>
    </row>
    <row r="11683" spans="1:33" x14ac:dyDescent="0.25">
      <c r="B11683"/>
      <c r="Z11683"/>
    </row>
    <row r="11684" spans="1:33" x14ac:dyDescent="0.25">
      <c r="B11684"/>
      <c r="Z11684"/>
    </row>
    <row r="11685" spans="1:33" x14ac:dyDescent="0.25">
      <c r="B11685"/>
      <c r="Z11685"/>
    </row>
    <row r="11686" spans="1:33" x14ac:dyDescent="0.25">
      <c r="A11686" s="6"/>
      <c r="B11686" s="6"/>
      <c r="C11686" s="6"/>
      <c r="D11686" s="6"/>
      <c r="E11686" s="6"/>
      <c r="F11686" s="6"/>
      <c r="G11686" s="6"/>
      <c r="H11686" s="6"/>
      <c r="I11686" s="6"/>
      <c r="J11686" s="6"/>
      <c r="K11686" s="6"/>
      <c r="L11686" s="6"/>
      <c r="M11686" s="6"/>
      <c r="N11686" s="6"/>
      <c r="O11686" s="6"/>
      <c r="P11686" s="6"/>
      <c r="Q11686" s="6"/>
      <c r="R11686" s="6"/>
      <c r="S11686" s="6"/>
      <c r="T11686" s="6"/>
      <c r="U11686" s="6"/>
      <c r="V11686" s="6"/>
      <c r="W11686" s="6"/>
      <c r="X11686" s="6"/>
      <c r="Y11686" s="6"/>
      <c r="Z11686" s="6"/>
      <c r="AA11686" s="6"/>
      <c r="AB11686" s="6"/>
      <c r="AC11686" s="6"/>
      <c r="AD11686" s="6"/>
      <c r="AE11686" s="6"/>
      <c r="AF11686" s="6"/>
      <c r="AG11686" s="6"/>
    </row>
    <row r="11687" spans="1:33" x14ac:dyDescent="0.25">
      <c r="B11687"/>
      <c r="Z11687"/>
    </row>
    <row r="11688" spans="1:33" x14ac:dyDescent="0.25">
      <c r="B11688"/>
      <c r="Z11688"/>
    </row>
    <row r="11689" spans="1:33" x14ac:dyDescent="0.25">
      <c r="B11689"/>
      <c r="Z11689"/>
    </row>
    <row r="11690" spans="1:33" x14ac:dyDescent="0.25">
      <c r="B11690"/>
      <c r="Z11690"/>
    </row>
    <row r="11691" spans="1:33" x14ac:dyDescent="0.25">
      <c r="B11691"/>
      <c r="Z11691"/>
    </row>
    <row r="11692" spans="1:33" x14ac:dyDescent="0.25">
      <c r="B11692"/>
      <c r="Z11692"/>
    </row>
    <row r="11693" spans="1:33" x14ac:dyDescent="0.25">
      <c r="B11693"/>
      <c r="Z11693"/>
    </row>
    <row r="11694" spans="1:33" x14ac:dyDescent="0.25">
      <c r="B11694"/>
      <c r="Z11694"/>
    </row>
    <row r="11695" spans="1:33" x14ac:dyDescent="0.25">
      <c r="B11695"/>
      <c r="Z11695"/>
    </row>
    <row r="11696" spans="1:33" x14ac:dyDescent="0.25">
      <c r="B11696"/>
      <c r="Z11696"/>
    </row>
    <row r="11697" spans="2:26" x14ac:dyDescent="0.25">
      <c r="B11697"/>
      <c r="Z11697"/>
    </row>
    <row r="11698" spans="2:26" x14ac:dyDescent="0.25">
      <c r="B11698"/>
      <c r="Z11698"/>
    </row>
    <row r="11699" spans="2:26" x14ac:dyDescent="0.25">
      <c r="B11699"/>
      <c r="Z11699"/>
    </row>
    <row r="11700" spans="2:26" x14ac:dyDescent="0.25">
      <c r="B11700"/>
      <c r="Z11700"/>
    </row>
    <row r="11701" spans="2:26" x14ac:dyDescent="0.25">
      <c r="B11701"/>
      <c r="Z11701"/>
    </row>
    <row r="11702" spans="2:26" x14ac:dyDescent="0.25">
      <c r="B11702"/>
      <c r="Z11702"/>
    </row>
    <row r="11703" spans="2:26" x14ac:dyDescent="0.25">
      <c r="B11703"/>
      <c r="Z11703"/>
    </row>
    <row r="11704" spans="2:26" x14ac:dyDescent="0.25">
      <c r="B11704"/>
      <c r="Z11704"/>
    </row>
    <row r="11705" spans="2:26" x14ac:dyDescent="0.25">
      <c r="B11705"/>
      <c r="Z11705"/>
    </row>
    <row r="11706" spans="2:26" x14ac:dyDescent="0.25">
      <c r="B11706"/>
      <c r="Z11706"/>
    </row>
    <row r="11707" spans="2:26" x14ac:dyDescent="0.25">
      <c r="B11707"/>
      <c r="Z11707"/>
    </row>
    <row r="11708" spans="2:26" x14ac:dyDescent="0.25">
      <c r="B11708"/>
      <c r="Z11708"/>
    </row>
    <row r="11709" spans="2:26" x14ac:dyDescent="0.25">
      <c r="B11709"/>
      <c r="Z11709"/>
    </row>
    <row r="11710" spans="2:26" x14ac:dyDescent="0.25">
      <c r="B11710"/>
      <c r="Z11710"/>
    </row>
    <row r="11711" spans="2:26" x14ac:dyDescent="0.25">
      <c r="B11711"/>
      <c r="Z11711"/>
    </row>
    <row r="11712" spans="2:26" x14ac:dyDescent="0.25">
      <c r="B11712"/>
      <c r="Z11712"/>
    </row>
    <row r="11713" spans="2:26" x14ac:dyDescent="0.25">
      <c r="B11713"/>
      <c r="Z11713"/>
    </row>
    <row r="11714" spans="2:26" x14ac:dyDescent="0.25">
      <c r="B11714"/>
      <c r="Z11714"/>
    </row>
    <row r="11715" spans="2:26" x14ac:dyDescent="0.25">
      <c r="B11715"/>
      <c r="Z11715"/>
    </row>
    <row r="11716" spans="2:26" x14ac:dyDescent="0.25">
      <c r="B11716"/>
      <c r="Z11716"/>
    </row>
    <row r="11717" spans="2:26" x14ac:dyDescent="0.25">
      <c r="B11717"/>
      <c r="Z11717"/>
    </row>
    <row r="11718" spans="2:26" x14ac:dyDescent="0.25">
      <c r="B11718"/>
      <c r="Z11718"/>
    </row>
    <row r="11719" spans="2:26" x14ac:dyDescent="0.25">
      <c r="B11719"/>
      <c r="Z11719"/>
    </row>
    <row r="11720" spans="2:26" x14ac:dyDescent="0.25">
      <c r="B11720"/>
      <c r="Z11720"/>
    </row>
    <row r="11721" spans="2:26" x14ac:dyDescent="0.25">
      <c r="B11721"/>
      <c r="Z11721"/>
    </row>
    <row r="11722" spans="2:26" x14ac:dyDescent="0.25">
      <c r="B11722"/>
      <c r="Z11722"/>
    </row>
    <row r="11723" spans="2:26" x14ac:dyDescent="0.25">
      <c r="B11723"/>
      <c r="Z11723"/>
    </row>
    <row r="11724" spans="2:26" x14ac:dyDescent="0.25">
      <c r="B11724"/>
      <c r="Z11724"/>
    </row>
    <row r="11725" spans="2:26" x14ac:dyDescent="0.25">
      <c r="B11725"/>
      <c r="Z11725"/>
    </row>
    <row r="11726" spans="2:26" x14ac:dyDescent="0.25">
      <c r="B11726"/>
      <c r="Z11726"/>
    </row>
    <row r="11727" spans="2:26" x14ac:dyDescent="0.25">
      <c r="B11727"/>
      <c r="Z11727"/>
    </row>
    <row r="11728" spans="2:26" x14ac:dyDescent="0.25">
      <c r="B11728"/>
      <c r="Z11728"/>
    </row>
    <row r="11729" spans="2:26" x14ac:dyDescent="0.25">
      <c r="B11729"/>
      <c r="Z11729"/>
    </row>
    <row r="11730" spans="2:26" x14ac:dyDescent="0.25">
      <c r="B11730"/>
      <c r="Z11730"/>
    </row>
    <row r="11731" spans="2:26" x14ac:dyDescent="0.25">
      <c r="B11731"/>
      <c r="Z11731"/>
    </row>
    <row r="11732" spans="2:26" x14ac:dyDescent="0.25">
      <c r="B11732"/>
      <c r="Z11732"/>
    </row>
    <row r="11733" spans="2:26" x14ac:dyDescent="0.25">
      <c r="B11733"/>
      <c r="Z11733"/>
    </row>
    <row r="11734" spans="2:26" x14ac:dyDescent="0.25">
      <c r="B11734"/>
      <c r="Z11734"/>
    </row>
    <row r="11735" spans="2:26" x14ac:dyDescent="0.25">
      <c r="B11735"/>
      <c r="Z11735"/>
    </row>
    <row r="11736" spans="2:26" x14ac:dyDescent="0.25">
      <c r="B11736"/>
      <c r="Z11736"/>
    </row>
    <row r="11737" spans="2:26" x14ac:dyDescent="0.25">
      <c r="B11737"/>
      <c r="Z11737"/>
    </row>
    <row r="11738" spans="2:26" x14ac:dyDescent="0.25">
      <c r="B11738"/>
      <c r="Z11738"/>
    </row>
    <row r="11739" spans="2:26" x14ac:dyDescent="0.25">
      <c r="B11739"/>
      <c r="Z11739"/>
    </row>
    <row r="11740" spans="2:26" x14ac:dyDescent="0.25">
      <c r="B11740"/>
      <c r="Z11740"/>
    </row>
    <row r="11741" spans="2:26" x14ac:dyDescent="0.25">
      <c r="B11741"/>
      <c r="Z11741"/>
    </row>
    <row r="11742" spans="2:26" x14ac:dyDescent="0.25">
      <c r="B11742"/>
      <c r="Z11742"/>
    </row>
    <row r="11743" spans="2:26" x14ac:dyDescent="0.25">
      <c r="B11743"/>
      <c r="Z11743"/>
    </row>
    <row r="11744" spans="2:26" x14ac:dyDescent="0.25">
      <c r="B11744"/>
      <c r="Z11744"/>
    </row>
    <row r="11745" spans="2:26" x14ac:dyDescent="0.25">
      <c r="B11745"/>
      <c r="Z11745"/>
    </row>
    <row r="11746" spans="2:26" x14ac:dyDescent="0.25">
      <c r="B11746"/>
      <c r="Z11746"/>
    </row>
    <row r="11747" spans="2:26" x14ac:dyDescent="0.25">
      <c r="B11747"/>
      <c r="Z11747"/>
    </row>
    <row r="11748" spans="2:26" x14ac:dyDescent="0.25">
      <c r="B11748"/>
      <c r="Z11748"/>
    </row>
    <row r="11749" spans="2:26" x14ac:dyDescent="0.25">
      <c r="B11749"/>
      <c r="Z11749"/>
    </row>
    <row r="11750" spans="2:26" x14ac:dyDescent="0.25">
      <c r="B11750"/>
      <c r="Z11750"/>
    </row>
    <row r="11751" spans="2:26" x14ac:dyDescent="0.25">
      <c r="B11751"/>
      <c r="Z11751"/>
    </row>
    <row r="11752" spans="2:26" x14ac:dyDescent="0.25">
      <c r="B11752"/>
      <c r="Z11752"/>
    </row>
    <row r="11753" spans="2:26" x14ac:dyDescent="0.25">
      <c r="B11753"/>
      <c r="Z11753"/>
    </row>
    <row r="11754" spans="2:26" x14ac:dyDescent="0.25">
      <c r="B11754"/>
      <c r="Z11754"/>
    </row>
    <row r="11755" spans="2:26" x14ac:dyDescent="0.25">
      <c r="B11755"/>
      <c r="Z11755"/>
    </row>
    <row r="11756" spans="2:26" x14ac:dyDescent="0.25">
      <c r="B11756"/>
      <c r="Z11756"/>
    </row>
    <row r="11757" spans="2:26" x14ac:dyDescent="0.25">
      <c r="B11757"/>
      <c r="Z11757"/>
    </row>
    <row r="11758" spans="2:26" x14ac:dyDescent="0.25">
      <c r="B11758"/>
      <c r="Z11758"/>
    </row>
    <row r="11759" spans="2:26" x14ac:dyDescent="0.25">
      <c r="B11759"/>
      <c r="Z11759"/>
    </row>
    <row r="11760" spans="2:26" x14ac:dyDescent="0.25">
      <c r="B11760"/>
      <c r="Z11760"/>
    </row>
    <row r="11761" spans="2:26" x14ac:dyDescent="0.25">
      <c r="B11761"/>
      <c r="Z11761"/>
    </row>
    <row r="11762" spans="2:26" x14ac:dyDescent="0.25">
      <c r="B11762"/>
      <c r="Z11762"/>
    </row>
    <row r="11763" spans="2:26" x14ac:dyDescent="0.25">
      <c r="B11763"/>
      <c r="Z11763"/>
    </row>
    <row r="11764" spans="2:26" x14ac:dyDescent="0.25">
      <c r="B11764"/>
      <c r="Z11764"/>
    </row>
    <row r="11765" spans="2:26" x14ac:dyDescent="0.25">
      <c r="B11765"/>
      <c r="Z11765"/>
    </row>
    <row r="11766" spans="2:26" x14ac:dyDescent="0.25">
      <c r="B11766"/>
      <c r="Z11766"/>
    </row>
    <row r="11767" spans="2:26" x14ac:dyDescent="0.25">
      <c r="B11767"/>
      <c r="Z11767"/>
    </row>
    <row r="11768" spans="2:26" x14ac:dyDescent="0.25">
      <c r="B11768"/>
      <c r="Z11768"/>
    </row>
    <row r="11769" spans="2:26" x14ac:dyDescent="0.25">
      <c r="B11769"/>
      <c r="Z11769"/>
    </row>
    <row r="11770" spans="2:26" x14ac:dyDescent="0.25">
      <c r="B11770"/>
      <c r="Z11770"/>
    </row>
    <row r="11771" spans="2:26" x14ac:dyDescent="0.25">
      <c r="B11771"/>
      <c r="Z11771"/>
    </row>
    <row r="11772" spans="2:26" x14ac:dyDescent="0.25">
      <c r="B11772"/>
      <c r="K11772" s="6"/>
      <c r="Z11772"/>
    </row>
    <row r="11773" spans="2:26" x14ac:dyDescent="0.25">
      <c r="B11773"/>
      <c r="Z11773"/>
    </row>
    <row r="11774" spans="2:26" x14ac:dyDescent="0.25">
      <c r="B11774"/>
      <c r="Z11774"/>
    </row>
    <row r="11775" spans="2:26" x14ac:dyDescent="0.25">
      <c r="B11775"/>
      <c r="Z11775"/>
    </row>
    <row r="11776" spans="2:26" x14ac:dyDescent="0.25">
      <c r="B11776"/>
      <c r="Z11776"/>
    </row>
    <row r="11777" spans="1:33" x14ac:dyDescent="0.25">
      <c r="B11777"/>
      <c r="Z11777"/>
    </row>
    <row r="11778" spans="1:33" x14ac:dyDescent="0.25">
      <c r="B11778"/>
      <c r="Z11778"/>
    </row>
    <row r="11779" spans="1:33" x14ac:dyDescent="0.25">
      <c r="B11779"/>
      <c r="Z11779"/>
    </row>
    <row r="11780" spans="1:33" x14ac:dyDescent="0.25">
      <c r="B11780"/>
      <c r="Z11780"/>
    </row>
    <row r="11781" spans="1:33" x14ac:dyDescent="0.25">
      <c r="B11781"/>
      <c r="Z11781"/>
    </row>
    <row r="11782" spans="1:33" x14ac:dyDescent="0.25">
      <c r="B11782"/>
      <c r="Z11782"/>
    </row>
    <row r="11783" spans="1:33" x14ac:dyDescent="0.25">
      <c r="B11783"/>
      <c r="Z11783"/>
    </row>
    <row r="11784" spans="1:33" x14ac:dyDescent="0.25">
      <c r="B11784"/>
      <c r="Z11784"/>
    </row>
    <row r="11785" spans="1:33" x14ac:dyDescent="0.25">
      <c r="B11785"/>
      <c r="Z11785"/>
    </row>
    <row r="11786" spans="1:33" x14ac:dyDescent="0.25">
      <c r="B11786"/>
      <c r="Z11786"/>
    </row>
    <row r="11787" spans="1:33" x14ac:dyDescent="0.25">
      <c r="B11787"/>
      <c r="Z11787"/>
    </row>
    <row r="11788" spans="1:33" x14ac:dyDescent="0.25">
      <c r="A11788" s="6"/>
      <c r="B11788" s="6"/>
      <c r="C11788" s="6"/>
      <c r="D11788" s="6"/>
      <c r="E11788" s="6"/>
      <c r="F11788" s="6"/>
      <c r="G11788" s="6"/>
      <c r="H11788" s="6"/>
      <c r="I11788" s="6"/>
      <c r="J11788" s="6"/>
      <c r="K11788" s="6"/>
      <c r="L11788" s="6"/>
      <c r="M11788" s="6"/>
      <c r="N11788" s="6"/>
      <c r="O11788" s="6"/>
      <c r="P11788" s="6"/>
      <c r="Q11788" s="6"/>
      <c r="R11788" s="6"/>
      <c r="S11788" s="6"/>
      <c r="T11788" s="6"/>
      <c r="U11788" s="6"/>
      <c r="V11788" s="6"/>
      <c r="W11788" s="6"/>
      <c r="X11788" s="6"/>
      <c r="Y11788" s="6"/>
      <c r="Z11788" s="6"/>
      <c r="AA11788" s="6"/>
      <c r="AB11788" s="6"/>
      <c r="AC11788" s="6"/>
      <c r="AD11788" s="6"/>
      <c r="AE11788" s="6"/>
      <c r="AF11788" s="6"/>
      <c r="AG11788" s="6"/>
    </row>
    <row r="11789" spans="1:33" x14ac:dyDescent="0.25">
      <c r="B11789"/>
      <c r="Z11789"/>
    </row>
    <row r="11790" spans="1:33" x14ac:dyDescent="0.25">
      <c r="B11790"/>
      <c r="Z11790"/>
    </row>
    <row r="11791" spans="1:33" x14ac:dyDescent="0.25">
      <c r="B11791"/>
      <c r="Z11791"/>
    </row>
    <row r="11792" spans="1:33" x14ac:dyDescent="0.25">
      <c r="B11792"/>
      <c r="Z11792"/>
    </row>
    <row r="11793" spans="2:26" x14ac:dyDescent="0.25">
      <c r="B11793"/>
      <c r="Z11793"/>
    </row>
    <row r="11794" spans="2:26" x14ac:dyDescent="0.25">
      <c r="B11794"/>
      <c r="Z11794"/>
    </row>
    <row r="11795" spans="2:26" x14ac:dyDescent="0.25">
      <c r="B11795"/>
      <c r="Z11795"/>
    </row>
    <row r="11796" spans="2:26" x14ac:dyDescent="0.25">
      <c r="B11796"/>
      <c r="Z11796"/>
    </row>
    <row r="11797" spans="2:26" x14ac:dyDescent="0.25">
      <c r="B11797"/>
      <c r="Z11797"/>
    </row>
    <row r="11798" spans="2:26" x14ac:dyDescent="0.25">
      <c r="B11798"/>
      <c r="Z11798"/>
    </row>
    <row r="11799" spans="2:26" x14ac:dyDescent="0.25">
      <c r="B11799"/>
      <c r="Z11799"/>
    </row>
    <row r="11800" spans="2:26" x14ac:dyDescent="0.25">
      <c r="B11800"/>
      <c r="Z11800"/>
    </row>
    <row r="11801" spans="2:26" x14ac:dyDescent="0.25">
      <c r="B11801"/>
      <c r="Z11801"/>
    </row>
    <row r="11802" spans="2:26" x14ac:dyDescent="0.25">
      <c r="B11802"/>
      <c r="Z11802"/>
    </row>
    <row r="11803" spans="2:26" x14ac:dyDescent="0.25">
      <c r="B11803"/>
      <c r="Z11803"/>
    </row>
    <row r="11804" spans="2:26" x14ac:dyDescent="0.25">
      <c r="B11804"/>
      <c r="Z11804"/>
    </row>
    <row r="11805" spans="2:26" x14ac:dyDescent="0.25">
      <c r="B11805"/>
      <c r="Z11805"/>
    </row>
    <row r="11806" spans="2:26" x14ac:dyDescent="0.25">
      <c r="B11806"/>
      <c r="Z11806"/>
    </row>
    <row r="11807" spans="2:26" x14ac:dyDescent="0.25">
      <c r="B11807"/>
      <c r="Z11807"/>
    </row>
    <row r="11808" spans="2:26" x14ac:dyDescent="0.25">
      <c r="B11808"/>
      <c r="Z11808"/>
    </row>
    <row r="11809" spans="2:26" x14ac:dyDescent="0.25">
      <c r="B11809"/>
      <c r="Z11809"/>
    </row>
    <row r="11810" spans="2:26" x14ac:dyDescent="0.25">
      <c r="B11810"/>
      <c r="Z11810"/>
    </row>
    <row r="11811" spans="2:26" x14ac:dyDescent="0.25">
      <c r="B11811"/>
      <c r="Z11811"/>
    </row>
    <row r="11812" spans="2:26" x14ac:dyDescent="0.25">
      <c r="B11812"/>
      <c r="Z11812"/>
    </row>
    <row r="11813" spans="2:26" x14ac:dyDescent="0.25">
      <c r="B11813"/>
      <c r="Z11813"/>
    </row>
    <row r="11814" spans="2:26" x14ac:dyDescent="0.25">
      <c r="B11814"/>
      <c r="Z11814"/>
    </row>
    <row r="11815" spans="2:26" x14ac:dyDescent="0.25">
      <c r="B11815"/>
      <c r="Z11815"/>
    </row>
    <row r="11816" spans="2:26" x14ac:dyDescent="0.25">
      <c r="B11816"/>
      <c r="Z11816"/>
    </row>
    <row r="11817" spans="2:26" x14ac:dyDescent="0.25">
      <c r="B11817"/>
      <c r="Z11817"/>
    </row>
    <row r="11818" spans="2:26" x14ac:dyDescent="0.25">
      <c r="B11818"/>
      <c r="Z11818"/>
    </row>
    <row r="11819" spans="2:26" x14ac:dyDescent="0.25">
      <c r="B11819"/>
      <c r="Z11819"/>
    </row>
    <row r="11820" spans="2:26" x14ac:dyDescent="0.25">
      <c r="B11820"/>
      <c r="Z11820"/>
    </row>
    <row r="11821" spans="2:26" x14ac:dyDescent="0.25">
      <c r="B11821"/>
      <c r="Z11821"/>
    </row>
    <row r="11822" spans="2:26" x14ac:dyDescent="0.25">
      <c r="B11822"/>
      <c r="Z11822"/>
    </row>
    <row r="11823" spans="2:26" x14ac:dyDescent="0.25">
      <c r="B11823"/>
      <c r="Z11823"/>
    </row>
    <row r="11824" spans="2:26" x14ac:dyDescent="0.25">
      <c r="B11824"/>
      <c r="Z11824"/>
    </row>
    <row r="11825" spans="2:26" x14ac:dyDescent="0.25">
      <c r="B11825"/>
      <c r="Z11825"/>
    </row>
    <row r="11826" spans="2:26" x14ac:dyDescent="0.25">
      <c r="B11826"/>
      <c r="Z11826"/>
    </row>
    <row r="11827" spans="2:26" x14ac:dyDescent="0.25">
      <c r="B11827"/>
      <c r="Z11827"/>
    </row>
    <row r="11828" spans="2:26" x14ac:dyDescent="0.25">
      <c r="B11828"/>
      <c r="Z11828"/>
    </row>
    <row r="11829" spans="2:26" x14ac:dyDescent="0.25">
      <c r="B11829"/>
      <c r="Z11829"/>
    </row>
    <row r="11830" spans="2:26" x14ac:dyDescent="0.25">
      <c r="B11830"/>
      <c r="Z11830"/>
    </row>
    <row r="11831" spans="2:26" x14ac:dyDescent="0.25">
      <c r="B11831"/>
      <c r="Z11831"/>
    </row>
    <row r="11832" spans="2:26" x14ac:dyDescent="0.25">
      <c r="B11832"/>
      <c r="Z11832"/>
    </row>
    <row r="11833" spans="2:26" x14ac:dyDescent="0.25">
      <c r="B11833"/>
      <c r="Z11833"/>
    </row>
    <row r="11834" spans="2:26" x14ac:dyDescent="0.25">
      <c r="B11834"/>
      <c r="Z11834"/>
    </row>
    <row r="11835" spans="2:26" x14ac:dyDescent="0.25">
      <c r="B11835"/>
      <c r="Z11835"/>
    </row>
    <row r="11836" spans="2:26" x14ac:dyDescent="0.25">
      <c r="B11836"/>
      <c r="Z11836"/>
    </row>
    <row r="11837" spans="2:26" x14ac:dyDescent="0.25">
      <c r="B11837"/>
      <c r="Z11837"/>
    </row>
    <row r="11838" spans="2:26" x14ac:dyDescent="0.25">
      <c r="B11838"/>
      <c r="Z11838"/>
    </row>
    <row r="11839" spans="2:26" x14ac:dyDescent="0.25">
      <c r="B11839"/>
      <c r="Z11839"/>
    </row>
    <row r="11840" spans="2:26" x14ac:dyDescent="0.25">
      <c r="B11840"/>
      <c r="Z11840"/>
    </row>
    <row r="11841" spans="2:26" x14ac:dyDescent="0.25">
      <c r="B11841"/>
      <c r="Z11841"/>
    </row>
    <row r="11842" spans="2:26" x14ac:dyDescent="0.25">
      <c r="B11842"/>
      <c r="Z11842"/>
    </row>
    <row r="11843" spans="2:26" x14ac:dyDescent="0.25">
      <c r="B11843"/>
      <c r="Z11843"/>
    </row>
    <row r="11844" spans="2:26" x14ac:dyDescent="0.25">
      <c r="B11844"/>
      <c r="Z11844"/>
    </row>
    <row r="11845" spans="2:26" x14ac:dyDescent="0.25">
      <c r="B11845"/>
      <c r="Z11845"/>
    </row>
    <row r="11846" spans="2:26" x14ac:dyDescent="0.25">
      <c r="B11846"/>
      <c r="Z11846"/>
    </row>
    <row r="11847" spans="2:26" x14ac:dyDescent="0.25">
      <c r="B11847"/>
      <c r="Z11847"/>
    </row>
    <row r="11848" spans="2:26" x14ac:dyDescent="0.25">
      <c r="B11848"/>
      <c r="Z11848"/>
    </row>
    <row r="11849" spans="2:26" x14ac:dyDescent="0.25">
      <c r="B11849"/>
      <c r="Z11849"/>
    </row>
    <row r="11850" spans="2:26" x14ac:dyDescent="0.25">
      <c r="B11850"/>
      <c r="Z11850"/>
    </row>
    <row r="11851" spans="2:26" x14ac:dyDescent="0.25">
      <c r="B11851"/>
      <c r="Z11851"/>
    </row>
    <row r="11852" spans="2:26" x14ac:dyDescent="0.25">
      <c r="B11852"/>
      <c r="Z11852"/>
    </row>
    <row r="11853" spans="2:26" x14ac:dyDescent="0.25">
      <c r="B11853"/>
      <c r="Z11853"/>
    </row>
    <row r="11854" spans="2:26" x14ac:dyDescent="0.25">
      <c r="B11854"/>
      <c r="Z11854"/>
    </row>
    <row r="11855" spans="2:26" x14ac:dyDescent="0.25">
      <c r="B11855"/>
      <c r="Z11855"/>
    </row>
    <row r="11856" spans="2:26" x14ac:dyDescent="0.25">
      <c r="B11856"/>
      <c r="Z11856"/>
    </row>
    <row r="11857" spans="2:26" x14ac:dyDescent="0.25">
      <c r="B11857"/>
      <c r="Z11857"/>
    </row>
    <row r="11858" spans="2:26" x14ac:dyDescent="0.25">
      <c r="B11858"/>
      <c r="Z11858"/>
    </row>
    <row r="11859" spans="2:26" x14ac:dyDescent="0.25">
      <c r="B11859"/>
      <c r="Z11859"/>
    </row>
    <row r="11860" spans="2:26" x14ac:dyDescent="0.25">
      <c r="B11860"/>
      <c r="Z11860"/>
    </row>
    <row r="11861" spans="2:26" x14ac:dyDescent="0.25">
      <c r="B11861"/>
      <c r="Z11861"/>
    </row>
    <row r="11862" spans="2:26" x14ac:dyDescent="0.25">
      <c r="B11862"/>
      <c r="Z11862"/>
    </row>
    <row r="11863" spans="2:26" x14ac:dyDescent="0.25">
      <c r="B11863"/>
      <c r="Z11863"/>
    </row>
    <row r="11864" spans="2:26" x14ac:dyDescent="0.25">
      <c r="B11864"/>
      <c r="Z11864"/>
    </row>
    <row r="11865" spans="2:26" x14ac:dyDescent="0.25">
      <c r="B11865"/>
      <c r="Z11865"/>
    </row>
    <row r="11866" spans="2:26" x14ac:dyDescent="0.25">
      <c r="B11866"/>
      <c r="Z11866"/>
    </row>
    <row r="11867" spans="2:26" x14ac:dyDescent="0.25">
      <c r="B11867"/>
      <c r="Z11867"/>
    </row>
    <row r="11868" spans="2:26" x14ac:dyDescent="0.25">
      <c r="B11868"/>
      <c r="Z11868"/>
    </row>
    <row r="11869" spans="2:26" x14ac:dyDescent="0.25">
      <c r="B11869"/>
      <c r="Z11869"/>
    </row>
    <row r="11870" spans="2:26" x14ac:dyDescent="0.25">
      <c r="B11870"/>
      <c r="Z11870"/>
    </row>
    <row r="11871" spans="2:26" x14ac:dyDescent="0.25">
      <c r="B11871"/>
      <c r="Z11871"/>
    </row>
    <row r="11872" spans="2:26" x14ac:dyDescent="0.25">
      <c r="B11872"/>
      <c r="Z11872"/>
    </row>
    <row r="11873" spans="2:26" x14ac:dyDescent="0.25">
      <c r="B11873"/>
      <c r="K11873" s="6"/>
      <c r="Z11873"/>
    </row>
    <row r="11874" spans="2:26" x14ac:dyDescent="0.25">
      <c r="B11874"/>
      <c r="Z11874"/>
    </row>
    <row r="11875" spans="2:26" x14ac:dyDescent="0.25">
      <c r="B11875"/>
      <c r="Z11875"/>
    </row>
    <row r="11876" spans="2:26" x14ac:dyDescent="0.25">
      <c r="B11876"/>
      <c r="Z11876"/>
    </row>
    <row r="11877" spans="2:26" x14ac:dyDescent="0.25">
      <c r="B11877"/>
      <c r="Z11877"/>
    </row>
    <row r="11878" spans="2:26" x14ac:dyDescent="0.25">
      <c r="B11878"/>
      <c r="Z11878"/>
    </row>
    <row r="11879" spans="2:26" x14ac:dyDescent="0.25">
      <c r="B11879"/>
      <c r="Z11879"/>
    </row>
    <row r="11880" spans="2:26" x14ac:dyDescent="0.25">
      <c r="B11880"/>
      <c r="Z11880"/>
    </row>
    <row r="11881" spans="2:26" x14ac:dyDescent="0.25">
      <c r="B11881"/>
      <c r="Z11881"/>
    </row>
    <row r="11882" spans="2:26" x14ac:dyDescent="0.25">
      <c r="B11882"/>
      <c r="Z11882"/>
    </row>
    <row r="11883" spans="2:26" x14ac:dyDescent="0.25">
      <c r="B11883"/>
      <c r="Z11883"/>
    </row>
    <row r="11884" spans="2:26" x14ac:dyDescent="0.25">
      <c r="B11884"/>
      <c r="Z11884"/>
    </row>
    <row r="11885" spans="2:26" x14ac:dyDescent="0.25">
      <c r="B11885"/>
      <c r="Z11885"/>
    </row>
    <row r="11886" spans="2:26" x14ac:dyDescent="0.25">
      <c r="B11886"/>
      <c r="Z11886"/>
    </row>
    <row r="11887" spans="2:26" x14ac:dyDescent="0.25">
      <c r="B11887"/>
      <c r="Z11887"/>
    </row>
    <row r="11888" spans="2:26" x14ac:dyDescent="0.25">
      <c r="B11888"/>
      <c r="Z11888"/>
    </row>
    <row r="11889" spans="1:33" x14ac:dyDescent="0.25">
      <c r="B11889"/>
      <c r="Z11889"/>
    </row>
    <row r="11890" spans="1:33" x14ac:dyDescent="0.25">
      <c r="A11890" s="6"/>
      <c r="B11890" s="6"/>
      <c r="C11890" s="6"/>
      <c r="D11890" s="6"/>
      <c r="E11890" s="6"/>
      <c r="F11890" s="6"/>
      <c r="G11890" s="6"/>
      <c r="H11890" s="6"/>
      <c r="I11890" s="6"/>
      <c r="J11890" s="6"/>
      <c r="K11890" s="6"/>
      <c r="L11890" s="6"/>
      <c r="M11890" s="6"/>
      <c r="N11890" s="6"/>
      <c r="O11890" s="6"/>
      <c r="P11890" s="6"/>
      <c r="Q11890" s="6"/>
      <c r="R11890" s="6"/>
      <c r="S11890" s="6"/>
      <c r="T11890" s="6"/>
      <c r="U11890" s="6"/>
      <c r="V11890" s="6"/>
      <c r="W11890" s="6"/>
      <c r="X11890" s="6"/>
      <c r="Y11890" s="6"/>
      <c r="Z11890" s="6"/>
      <c r="AA11890" s="6"/>
      <c r="AB11890" s="6"/>
      <c r="AC11890" s="6"/>
      <c r="AD11890" s="6"/>
      <c r="AE11890" s="6"/>
      <c r="AF11890" s="6"/>
      <c r="AG11890" s="6"/>
    </row>
    <row r="11891" spans="1:33" x14ac:dyDescent="0.25">
      <c r="B11891"/>
      <c r="Z11891"/>
    </row>
    <row r="11892" spans="1:33" x14ac:dyDescent="0.25">
      <c r="B11892"/>
      <c r="Z11892"/>
    </row>
    <row r="11893" spans="1:33" x14ac:dyDescent="0.25">
      <c r="B11893"/>
      <c r="Z11893"/>
    </row>
    <row r="11894" spans="1:33" x14ac:dyDescent="0.25">
      <c r="B11894"/>
      <c r="Z11894"/>
    </row>
    <row r="11895" spans="1:33" x14ac:dyDescent="0.25">
      <c r="B11895"/>
      <c r="Z11895"/>
    </row>
    <row r="11896" spans="1:33" x14ac:dyDescent="0.25">
      <c r="B11896"/>
      <c r="Z11896"/>
    </row>
    <row r="11897" spans="1:33" x14ac:dyDescent="0.25">
      <c r="B11897"/>
      <c r="Z11897"/>
    </row>
    <row r="11898" spans="1:33" x14ac:dyDescent="0.25">
      <c r="B11898"/>
      <c r="Z11898"/>
    </row>
    <row r="11899" spans="1:33" x14ac:dyDescent="0.25">
      <c r="B11899"/>
      <c r="Z11899"/>
    </row>
    <row r="11900" spans="1:33" x14ac:dyDescent="0.25">
      <c r="B11900"/>
      <c r="Z11900"/>
    </row>
    <row r="11901" spans="1:33" x14ac:dyDescent="0.25">
      <c r="B11901"/>
      <c r="Z11901"/>
    </row>
    <row r="11902" spans="1:33" x14ac:dyDescent="0.25">
      <c r="B11902"/>
      <c r="Z11902"/>
    </row>
    <row r="11903" spans="1:33" x14ac:dyDescent="0.25">
      <c r="B11903"/>
      <c r="Z11903"/>
    </row>
    <row r="11904" spans="1:33" x14ac:dyDescent="0.25">
      <c r="B11904"/>
      <c r="Z11904"/>
    </row>
    <row r="11905" spans="2:26" x14ac:dyDescent="0.25">
      <c r="B11905"/>
      <c r="Z11905"/>
    </row>
    <row r="11906" spans="2:26" x14ac:dyDescent="0.25">
      <c r="B11906"/>
      <c r="Z11906"/>
    </row>
    <row r="11907" spans="2:26" x14ac:dyDescent="0.25">
      <c r="B11907"/>
      <c r="Z11907"/>
    </row>
    <row r="11908" spans="2:26" x14ac:dyDescent="0.25">
      <c r="B11908"/>
      <c r="Z11908"/>
    </row>
    <row r="11909" spans="2:26" x14ac:dyDescent="0.25">
      <c r="B11909"/>
      <c r="Z11909"/>
    </row>
    <row r="11910" spans="2:26" x14ac:dyDescent="0.25">
      <c r="B11910"/>
      <c r="Z11910"/>
    </row>
    <row r="11911" spans="2:26" x14ac:dyDescent="0.25">
      <c r="B11911"/>
      <c r="Z11911"/>
    </row>
    <row r="11912" spans="2:26" x14ac:dyDescent="0.25">
      <c r="B11912"/>
      <c r="Z11912"/>
    </row>
    <row r="11913" spans="2:26" x14ac:dyDescent="0.25">
      <c r="B11913"/>
      <c r="Z11913"/>
    </row>
    <row r="11914" spans="2:26" x14ac:dyDescent="0.25">
      <c r="B11914"/>
      <c r="Z11914"/>
    </row>
    <row r="11915" spans="2:26" x14ac:dyDescent="0.25">
      <c r="B11915"/>
      <c r="Z11915"/>
    </row>
    <row r="11916" spans="2:26" x14ac:dyDescent="0.25">
      <c r="B11916"/>
      <c r="Z11916"/>
    </row>
    <row r="11917" spans="2:26" x14ac:dyDescent="0.25">
      <c r="B11917"/>
      <c r="Z11917"/>
    </row>
    <row r="11918" spans="2:26" x14ac:dyDescent="0.25">
      <c r="B11918"/>
      <c r="Z11918"/>
    </row>
    <row r="11919" spans="2:26" x14ac:dyDescent="0.25">
      <c r="B11919"/>
      <c r="Z11919"/>
    </row>
    <row r="11920" spans="2:26" x14ac:dyDescent="0.25">
      <c r="B11920"/>
      <c r="Z11920"/>
    </row>
    <row r="11921" spans="2:26" x14ac:dyDescent="0.25">
      <c r="B11921"/>
      <c r="Z11921"/>
    </row>
    <row r="11922" spans="2:26" x14ac:dyDescent="0.25">
      <c r="B11922"/>
      <c r="Z11922"/>
    </row>
    <row r="11923" spans="2:26" x14ac:dyDescent="0.25">
      <c r="B11923"/>
      <c r="Z11923"/>
    </row>
    <row r="11924" spans="2:26" x14ac:dyDescent="0.25">
      <c r="B11924"/>
      <c r="Z11924"/>
    </row>
    <row r="11925" spans="2:26" x14ac:dyDescent="0.25">
      <c r="B11925"/>
      <c r="Z11925"/>
    </row>
    <row r="11926" spans="2:26" x14ac:dyDescent="0.25">
      <c r="B11926"/>
      <c r="Z11926"/>
    </row>
    <row r="11927" spans="2:26" x14ac:dyDescent="0.25">
      <c r="B11927"/>
      <c r="Z11927"/>
    </row>
    <row r="11928" spans="2:26" x14ac:dyDescent="0.25">
      <c r="B11928"/>
      <c r="Z11928"/>
    </row>
    <row r="11929" spans="2:26" x14ac:dyDescent="0.25">
      <c r="B11929"/>
      <c r="Z11929"/>
    </row>
    <row r="11930" spans="2:26" x14ac:dyDescent="0.25">
      <c r="B11930"/>
      <c r="Z11930"/>
    </row>
    <row r="11931" spans="2:26" x14ac:dyDescent="0.25">
      <c r="B11931"/>
      <c r="Z11931"/>
    </row>
    <row r="11932" spans="2:26" x14ac:dyDescent="0.25">
      <c r="B11932"/>
      <c r="Z11932"/>
    </row>
    <row r="11933" spans="2:26" x14ac:dyDescent="0.25">
      <c r="B11933"/>
      <c r="Z11933"/>
    </row>
    <row r="11934" spans="2:26" x14ac:dyDescent="0.25">
      <c r="B11934"/>
      <c r="Z11934"/>
    </row>
    <row r="11935" spans="2:26" x14ac:dyDescent="0.25">
      <c r="B11935"/>
      <c r="Z11935"/>
    </row>
    <row r="11936" spans="2:26" x14ac:dyDescent="0.25">
      <c r="B11936"/>
      <c r="Z11936"/>
    </row>
    <row r="11937" spans="2:26" x14ac:dyDescent="0.25">
      <c r="B11937"/>
      <c r="Z11937"/>
    </row>
    <row r="11938" spans="2:26" x14ac:dyDescent="0.25">
      <c r="B11938"/>
      <c r="Z11938"/>
    </row>
    <row r="11939" spans="2:26" x14ac:dyDescent="0.25">
      <c r="B11939"/>
      <c r="Z11939"/>
    </row>
    <row r="11940" spans="2:26" x14ac:dyDescent="0.25">
      <c r="B11940"/>
      <c r="Z11940"/>
    </row>
    <row r="11941" spans="2:26" x14ac:dyDescent="0.25">
      <c r="B11941"/>
      <c r="Z11941"/>
    </row>
    <row r="11942" spans="2:26" x14ac:dyDescent="0.25">
      <c r="B11942"/>
      <c r="Z11942"/>
    </row>
    <row r="11943" spans="2:26" x14ac:dyDescent="0.25">
      <c r="B11943"/>
      <c r="Z11943"/>
    </row>
    <row r="11944" spans="2:26" x14ac:dyDescent="0.25">
      <c r="B11944"/>
      <c r="Z11944"/>
    </row>
    <row r="11945" spans="2:26" x14ac:dyDescent="0.25">
      <c r="B11945"/>
      <c r="Z11945"/>
    </row>
    <row r="11946" spans="2:26" x14ac:dyDescent="0.25">
      <c r="B11946"/>
      <c r="Z11946"/>
    </row>
    <row r="11947" spans="2:26" x14ac:dyDescent="0.25">
      <c r="B11947"/>
      <c r="Z11947"/>
    </row>
    <row r="11948" spans="2:26" x14ac:dyDescent="0.25">
      <c r="B11948"/>
      <c r="Z11948"/>
    </row>
    <row r="11949" spans="2:26" x14ac:dyDescent="0.25">
      <c r="B11949"/>
      <c r="Z11949"/>
    </row>
    <row r="11950" spans="2:26" x14ac:dyDescent="0.25">
      <c r="B11950"/>
      <c r="Z11950"/>
    </row>
    <row r="11951" spans="2:26" x14ac:dyDescent="0.25">
      <c r="B11951"/>
      <c r="Z11951"/>
    </row>
    <row r="11952" spans="2:26" x14ac:dyDescent="0.25">
      <c r="B11952"/>
      <c r="Z11952"/>
    </row>
    <row r="11953" spans="2:26" x14ac:dyDescent="0.25">
      <c r="B11953"/>
      <c r="Z11953"/>
    </row>
    <row r="11954" spans="2:26" x14ac:dyDescent="0.25">
      <c r="B11954"/>
      <c r="Z11954"/>
    </row>
    <row r="11955" spans="2:26" x14ac:dyDescent="0.25">
      <c r="B11955"/>
      <c r="Z11955"/>
    </row>
    <row r="11956" spans="2:26" x14ac:dyDescent="0.25">
      <c r="B11956"/>
      <c r="Z11956"/>
    </row>
    <row r="11957" spans="2:26" x14ac:dyDescent="0.25">
      <c r="B11957"/>
      <c r="Z11957"/>
    </row>
    <row r="11958" spans="2:26" x14ac:dyDescent="0.25">
      <c r="B11958"/>
      <c r="Z11958"/>
    </row>
    <row r="11959" spans="2:26" x14ac:dyDescent="0.25">
      <c r="B11959"/>
      <c r="Z11959"/>
    </row>
    <row r="11960" spans="2:26" x14ac:dyDescent="0.25">
      <c r="B11960"/>
      <c r="Z11960"/>
    </row>
    <row r="11961" spans="2:26" x14ac:dyDescent="0.25">
      <c r="B11961"/>
      <c r="Z11961"/>
    </row>
    <row r="11962" spans="2:26" x14ac:dyDescent="0.25">
      <c r="B11962"/>
      <c r="Z11962"/>
    </row>
    <row r="11963" spans="2:26" x14ac:dyDescent="0.25">
      <c r="B11963"/>
      <c r="Z11963"/>
    </row>
    <row r="11964" spans="2:26" x14ac:dyDescent="0.25">
      <c r="B11964"/>
      <c r="Z11964"/>
    </row>
    <row r="11965" spans="2:26" x14ac:dyDescent="0.25">
      <c r="B11965"/>
      <c r="Z11965"/>
    </row>
    <row r="11966" spans="2:26" x14ac:dyDescent="0.25">
      <c r="B11966"/>
      <c r="Z11966"/>
    </row>
    <row r="11967" spans="2:26" x14ac:dyDescent="0.25">
      <c r="B11967"/>
      <c r="Z11967"/>
    </row>
    <row r="11968" spans="2:26" x14ac:dyDescent="0.25">
      <c r="B11968"/>
      <c r="Z11968"/>
    </row>
    <row r="11969" spans="2:26" x14ac:dyDescent="0.25">
      <c r="B11969"/>
      <c r="Z11969"/>
    </row>
    <row r="11970" spans="2:26" x14ac:dyDescent="0.25">
      <c r="B11970"/>
      <c r="Z11970"/>
    </row>
    <row r="11971" spans="2:26" x14ac:dyDescent="0.25">
      <c r="B11971"/>
      <c r="Z11971"/>
    </row>
    <row r="11972" spans="2:26" x14ac:dyDescent="0.25">
      <c r="B11972"/>
      <c r="Z11972"/>
    </row>
    <row r="11973" spans="2:26" x14ac:dyDescent="0.25">
      <c r="B11973"/>
      <c r="H11973" s="6"/>
      <c r="Z11973"/>
    </row>
    <row r="11974" spans="2:26" x14ac:dyDescent="0.25">
      <c r="B11974"/>
      <c r="Z11974"/>
    </row>
    <row r="11975" spans="2:26" x14ac:dyDescent="0.25">
      <c r="B11975"/>
      <c r="Z11975"/>
    </row>
    <row r="11976" spans="2:26" x14ac:dyDescent="0.25">
      <c r="B11976"/>
      <c r="Z11976"/>
    </row>
    <row r="11977" spans="2:26" x14ac:dyDescent="0.25">
      <c r="B11977"/>
      <c r="Z11977"/>
    </row>
    <row r="11978" spans="2:26" x14ac:dyDescent="0.25">
      <c r="B11978"/>
      <c r="Z11978"/>
    </row>
    <row r="11979" spans="2:26" x14ac:dyDescent="0.25">
      <c r="B11979"/>
      <c r="Z11979"/>
    </row>
    <row r="11980" spans="2:26" x14ac:dyDescent="0.25">
      <c r="B11980"/>
      <c r="Z11980"/>
    </row>
    <row r="11981" spans="2:26" x14ac:dyDescent="0.25">
      <c r="B11981"/>
      <c r="Z11981"/>
    </row>
    <row r="11982" spans="2:26" x14ac:dyDescent="0.25">
      <c r="B11982"/>
      <c r="Z11982"/>
    </row>
    <row r="11983" spans="2:26" x14ac:dyDescent="0.25">
      <c r="B11983"/>
      <c r="Z11983"/>
    </row>
    <row r="11984" spans="2:26" x14ac:dyDescent="0.25">
      <c r="B11984"/>
      <c r="Z11984"/>
    </row>
    <row r="11985" spans="1:33" x14ac:dyDescent="0.25">
      <c r="B11985"/>
      <c r="Z11985"/>
    </row>
    <row r="11986" spans="1:33" x14ac:dyDescent="0.25">
      <c r="B11986"/>
      <c r="Z11986"/>
    </row>
    <row r="11987" spans="1:33" x14ac:dyDescent="0.25">
      <c r="B11987"/>
      <c r="Z11987"/>
    </row>
    <row r="11988" spans="1:33" x14ac:dyDescent="0.25">
      <c r="B11988"/>
      <c r="Z11988"/>
    </row>
    <row r="11989" spans="1:33" x14ac:dyDescent="0.25">
      <c r="B11989"/>
      <c r="Z11989"/>
    </row>
    <row r="11990" spans="1:33" x14ac:dyDescent="0.25">
      <c r="B11990"/>
      <c r="Z11990"/>
    </row>
    <row r="11991" spans="1:33" x14ac:dyDescent="0.25">
      <c r="B11991"/>
      <c r="Z11991"/>
    </row>
    <row r="11992" spans="1:33" x14ac:dyDescent="0.25">
      <c r="A11992" s="6"/>
      <c r="B11992" s="6"/>
      <c r="C11992" s="6"/>
      <c r="D11992" s="6"/>
      <c r="E11992" s="6"/>
      <c r="F11992" s="6"/>
      <c r="G11992" s="6"/>
      <c r="H11992" s="6"/>
      <c r="I11992" s="6"/>
      <c r="J11992" s="6"/>
      <c r="K11992" s="6"/>
      <c r="L11992" s="6"/>
      <c r="M11992" s="6"/>
      <c r="N11992" s="6"/>
      <c r="O11992" s="6"/>
      <c r="P11992" s="6"/>
      <c r="Q11992" s="6"/>
      <c r="R11992" s="6"/>
      <c r="S11992" s="6"/>
      <c r="T11992" s="6"/>
      <c r="U11992" s="6"/>
      <c r="V11992" s="6"/>
      <c r="W11992" s="6"/>
      <c r="X11992" s="6"/>
      <c r="Y11992" s="6"/>
      <c r="Z11992" s="6"/>
      <c r="AA11992" s="6"/>
      <c r="AB11992" s="6"/>
      <c r="AC11992" s="6"/>
      <c r="AD11992" s="6"/>
      <c r="AE11992" s="6"/>
      <c r="AF11992" s="6"/>
      <c r="AG11992" s="6"/>
    </row>
    <row r="11993" spans="1:33" x14ac:dyDescent="0.25">
      <c r="B11993"/>
      <c r="Z11993"/>
    </row>
    <row r="11994" spans="1:33" x14ac:dyDescent="0.25">
      <c r="B11994"/>
      <c r="Z11994"/>
    </row>
    <row r="11995" spans="1:33" x14ac:dyDescent="0.25">
      <c r="B11995"/>
      <c r="Z11995"/>
    </row>
    <row r="11996" spans="1:33" x14ac:dyDescent="0.25">
      <c r="B11996"/>
      <c r="Z11996"/>
    </row>
    <row r="11997" spans="1:33" x14ac:dyDescent="0.25">
      <c r="B11997"/>
      <c r="Z11997"/>
    </row>
    <row r="11998" spans="1:33" x14ac:dyDescent="0.25">
      <c r="B11998"/>
      <c r="Z11998"/>
    </row>
    <row r="11999" spans="1:33" x14ac:dyDescent="0.25">
      <c r="B11999"/>
      <c r="Z11999"/>
    </row>
    <row r="12000" spans="1:33" x14ac:dyDescent="0.25">
      <c r="B12000"/>
      <c r="Z12000"/>
    </row>
    <row r="12001" spans="2:26" x14ac:dyDescent="0.25">
      <c r="B12001"/>
      <c r="Z12001"/>
    </row>
    <row r="12002" spans="2:26" x14ac:dyDescent="0.25">
      <c r="B12002"/>
      <c r="Z12002"/>
    </row>
    <row r="12003" spans="2:26" x14ac:dyDescent="0.25">
      <c r="B12003"/>
      <c r="Z12003"/>
    </row>
    <row r="12004" spans="2:26" x14ac:dyDescent="0.25">
      <c r="B12004"/>
      <c r="Z12004"/>
    </row>
    <row r="12005" spans="2:26" x14ac:dyDescent="0.25">
      <c r="B12005"/>
      <c r="Z12005"/>
    </row>
    <row r="12006" spans="2:26" x14ac:dyDescent="0.25">
      <c r="B12006"/>
      <c r="Z12006"/>
    </row>
    <row r="12007" spans="2:26" x14ac:dyDescent="0.25">
      <c r="B12007"/>
      <c r="Z12007"/>
    </row>
    <row r="12008" spans="2:26" x14ac:dyDescent="0.25">
      <c r="B12008"/>
      <c r="Z12008"/>
    </row>
    <row r="12009" spans="2:26" x14ac:dyDescent="0.25">
      <c r="B12009"/>
      <c r="Z12009"/>
    </row>
    <row r="12010" spans="2:26" x14ac:dyDescent="0.25">
      <c r="B12010"/>
      <c r="Z12010"/>
    </row>
    <row r="12011" spans="2:26" x14ac:dyDescent="0.25">
      <c r="B12011"/>
      <c r="Z12011"/>
    </row>
    <row r="12012" spans="2:26" x14ac:dyDescent="0.25">
      <c r="B12012"/>
      <c r="Z12012"/>
    </row>
    <row r="12013" spans="2:26" x14ac:dyDescent="0.25">
      <c r="B12013"/>
      <c r="Z12013"/>
    </row>
    <row r="12014" spans="2:26" x14ac:dyDescent="0.25">
      <c r="B12014"/>
      <c r="Z12014"/>
    </row>
    <row r="12015" spans="2:26" x14ac:dyDescent="0.25">
      <c r="B12015"/>
      <c r="Z12015"/>
    </row>
    <row r="12016" spans="2:26" x14ac:dyDescent="0.25">
      <c r="B12016"/>
      <c r="Z12016"/>
    </row>
    <row r="12017" spans="2:26" x14ac:dyDescent="0.25">
      <c r="B12017"/>
      <c r="Z12017"/>
    </row>
    <row r="12018" spans="2:26" x14ac:dyDescent="0.25">
      <c r="B12018"/>
      <c r="Z12018"/>
    </row>
    <row r="12019" spans="2:26" x14ac:dyDescent="0.25">
      <c r="B12019"/>
      <c r="Z12019"/>
    </row>
    <row r="12020" spans="2:26" x14ac:dyDescent="0.25">
      <c r="B12020"/>
      <c r="Z12020"/>
    </row>
    <row r="12021" spans="2:26" x14ac:dyDescent="0.25">
      <c r="B12021"/>
      <c r="Z12021"/>
    </row>
    <row r="12022" spans="2:26" x14ac:dyDescent="0.25">
      <c r="B12022"/>
      <c r="Z12022"/>
    </row>
    <row r="12023" spans="2:26" x14ac:dyDescent="0.25">
      <c r="B12023"/>
      <c r="Z12023"/>
    </row>
    <row r="12024" spans="2:26" x14ac:dyDescent="0.25">
      <c r="B12024"/>
      <c r="Z12024"/>
    </row>
    <row r="12025" spans="2:26" x14ac:dyDescent="0.25">
      <c r="B12025"/>
      <c r="Z12025"/>
    </row>
    <row r="12026" spans="2:26" x14ac:dyDescent="0.25">
      <c r="B12026"/>
      <c r="Z12026"/>
    </row>
    <row r="12027" spans="2:26" x14ac:dyDescent="0.25">
      <c r="B12027"/>
      <c r="Z12027"/>
    </row>
    <row r="12028" spans="2:26" x14ac:dyDescent="0.25">
      <c r="B12028"/>
      <c r="Z12028"/>
    </row>
    <row r="12029" spans="2:26" x14ac:dyDescent="0.25">
      <c r="B12029"/>
      <c r="Z12029"/>
    </row>
    <row r="12030" spans="2:26" x14ac:dyDescent="0.25">
      <c r="B12030"/>
      <c r="Z12030"/>
    </row>
    <row r="12031" spans="2:26" x14ac:dyDescent="0.25">
      <c r="B12031"/>
      <c r="Z12031"/>
    </row>
    <row r="12032" spans="2:26" x14ac:dyDescent="0.25">
      <c r="B12032"/>
      <c r="Z12032"/>
    </row>
    <row r="12033" spans="2:26" x14ac:dyDescent="0.25">
      <c r="B12033"/>
      <c r="Z12033"/>
    </row>
    <row r="12034" spans="2:26" x14ac:dyDescent="0.25">
      <c r="B12034"/>
      <c r="Z12034"/>
    </row>
    <row r="12035" spans="2:26" x14ac:dyDescent="0.25">
      <c r="B12035"/>
      <c r="Z12035"/>
    </row>
    <row r="12036" spans="2:26" x14ac:dyDescent="0.25">
      <c r="B12036"/>
      <c r="Z12036"/>
    </row>
    <row r="12037" spans="2:26" x14ac:dyDescent="0.25">
      <c r="B12037"/>
      <c r="Z12037"/>
    </row>
    <row r="12038" spans="2:26" x14ac:dyDescent="0.25">
      <c r="B12038"/>
      <c r="Z12038"/>
    </row>
    <row r="12039" spans="2:26" x14ac:dyDescent="0.25">
      <c r="B12039"/>
      <c r="Z12039"/>
    </row>
    <row r="12040" spans="2:26" x14ac:dyDescent="0.25">
      <c r="B12040"/>
      <c r="Z12040"/>
    </row>
    <row r="12041" spans="2:26" x14ac:dyDescent="0.25">
      <c r="B12041"/>
      <c r="Z12041"/>
    </row>
    <row r="12042" spans="2:26" x14ac:dyDescent="0.25">
      <c r="B12042"/>
      <c r="Z12042"/>
    </row>
    <row r="12043" spans="2:26" x14ac:dyDescent="0.25">
      <c r="B12043"/>
      <c r="Z12043"/>
    </row>
    <row r="12044" spans="2:26" x14ac:dyDescent="0.25">
      <c r="B12044"/>
      <c r="Z12044"/>
    </row>
    <row r="12045" spans="2:26" x14ac:dyDescent="0.25">
      <c r="B12045"/>
      <c r="Z12045"/>
    </row>
    <row r="12046" spans="2:26" x14ac:dyDescent="0.25">
      <c r="B12046"/>
      <c r="Z12046"/>
    </row>
    <row r="12047" spans="2:26" x14ac:dyDescent="0.25">
      <c r="B12047"/>
      <c r="Z12047"/>
    </row>
    <row r="12048" spans="2:26" x14ac:dyDescent="0.25">
      <c r="B12048"/>
      <c r="Z12048"/>
    </row>
    <row r="12049" spans="2:26" x14ac:dyDescent="0.25">
      <c r="B12049"/>
      <c r="Z12049"/>
    </row>
    <row r="12050" spans="2:26" x14ac:dyDescent="0.25">
      <c r="B12050"/>
      <c r="Z12050"/>
    </row>
    <row r="12051" spans="2:26" x14ac:dyDescent="0.25">
      <c r="B12051"/>
      <c r="Z12051"/>
    </row>
    <row r="12052" spans="2:26" x14ac:dyDescent="0.25">
      <c r="B12052"/>
      <c r="Z12052"/>
    </row>
    <row r="12053" spans="2:26" x14ac:dyDescent="0.25">
      <c r="B12053"/>
      <c r="Z12053"/>
    </row>
    <row r="12054" spans="2:26" x14ac:dyDescent="0.25">
      <c r="B12054"/>
      <c r="Z12054"/>
    </row>
    <row r="12055" spans="2:26" x14ac:dyDescent="0.25">
      <c r="B12055"/>
      <c r="Z12055"/>
    </row>
    <row r="12056" spans="2:26" x14ac:dyDescent="0.25">
      <c r="B12056"/>
      <c r="Z12056"/>
    </row>
    <row r="12057" spans="2:26" x14ac:dyDescent="0.25">
      <c r="B12057"/>
      <c r="Z12057"/>
    </row>
    <row r="12058" spans="2:26" x14ac:dyDescent="0.25">
      <c r="B12058"/>
      <c r="Z12058"/>
    </row>
    <row r="12059" spans="2:26" x14ac:dyDescent="0.25">
      <c r="B12059"/>
      <c r="Z12059"/>
    </row>
    <row r="12060" spans="2:26" x14ac:dyDescent="0.25">
      <c r="B12060"/>
      <c r="Z12060"/>
    </row>
    <row r="12061" spans="2:26" x14ac:dyDescent="0.25">
      <c r="B12061"/>
      <c r="Z12061"/>
    </row>
    <row r="12062" spans="2:26" x14ac:dyDescent="0.25">
      <c r="B12062"/>
      <c r="Z12062"/>
    </row>
    <row r="12063" spans="2:26" x14ac:dyDescent="0.25">
      <c r="B12063"/>
      <c r="Z12063"/>
    </row>
    <row r="12064" spans="2:26" x14ac:dyDescent="0.25">
      <c r="B12064"/>
      <c r="Z12064"/>
    </row>
    <row r="12065" spans="2:26" x14ac:dyDescent="0.25">
      <c r="B12065"/>
      <c r="Z12065"/>
    </row>
    <row r="12066" spans="2:26" x14ac:dyDescent="0.25">
      <c r="B12066"/>
      <c r="Z12066"/>
    </row>
    <row r="12067" spans="2:26" x14ac:dyDescent="0.25">
      <c r="B12067"/>
      <c r="Z12067"/>
    </row>
    <row r="12068" spans="2:26" x14ac:dyDescent="0.25">
      <c r="B12068"/>
      <c r="Z12068"/>
    </row>
    <row r="12069" spans="2:26" x14ac:dyDescent="0.25">
      <c r="B12069"/>
      <c r="Z12069"/>
    </row>
    <row r="12070" spans="2:26" x14ac:dyDescent="0.25">
      <c r="B12070"/>
      <c r="Z12070"/>
    </row>
    <row r="12071" spans="2:26" x14ac:dyDescent="0.25">
      <c r="B12071"/>
      <c r="Z12071"/>
    </row>
    <row r="12072" spans="2:26" x14ac:dyDescent="0.25">
      <c r="B12072"/>
      <c r="Z12072"/>
    </row>
    <row r="12073" spans="2:26" x14ac:dyDescent="0.25">
      <c r="B12073"/>
      <c r="Z12073"/>
    </row>
    <row r="12074" spans="2:26" x14ac:dyDescent="0.25">
      <c r="B12074"/>
      <c r="Z12074"/>
    </row>
    <row r="12075" spans="2:26" x14ac:dyDescent="0.25">
      <c r="B12075"/>
      <c r="Z12075"/>
    </row>
    <row r="12076" spans="2:26" x14ac:dyDescent="0.25">
      <c r="B12076"/>
      <c r="Z12076"/>
    </row>
    <row r="12077" spans="2:26" x14ac:dyDescent="0.25">
      <c r="B12077"/>
      <c r="Z12077"/>
    </row>
    <row r="12078" spans="2:26" x14ac:dyDescent="0.25">
      <c r="B12078"/>
      <c r="Z12078"/>
    </row>
    <row r="12079" spans="2:26" x14ac:dyDescent="0.25">
      <c r="B12079"/>
      <c r="Z12079"/>
    </row>
    <row r="12080" spans="2:26" x14ac:dyDescent="0.25">
      <c r="B12080"/>
      <c r="Z12080"/>
    </row>
    <row r="12081" spans="2:26" x14ac:dyDescent="0.25">
      <c r="B12081"/>
      <c r="Z12081"/>
    </row>
    <row r="12082" spans="2:26" x14ac:dyDescent="0.25">
      <c r="B12082"/>
      <c r="Z12082"/>
    </row>
    <row r="12083" spans="2:26" x14ac:dyDescent="0.25">
      <c r="B12083"/>
      <c r="Z12083"/>
    </row>
    <row r="12084" spans="2:26" x14ac:dyDescent="0.25">
      <c r="B12084"/>
      <c r="Z12084"/>
    </row>
    <row r="12085" spans="2:26" x14ac:dyDescent="0.25">
      <c r="B12085"/>
      <c r="Z12085"/>
    </row>
    <row r="12086" spans="2:26" x14ac:dyDescent="0.25">
      <c r="B12086"/>
      <c r="Z12086"/>
    </row>
    <row r="12087" spans="2:26" x14ac:dyDescent="0.25">
      <c r="B12087"/>
      <c r="Z12087"/>
    </row>
    <row r="12088" spans="2:26" x14ac:dyDescent="0.25">
      <c r="B12088"/>
      <c r="Z12088"/>
    </row>
    <row r="12089" spans="2:26" x14ac:dyDescent="0.25">
      <c r="B12089"/>
      <c r="Z12089"/>
    </row>
    <row r="12090" spans="2:26" x14ac:dyDescent="0.25">
      <c r="B12090"/>
      <c r="Z12090"/>
    </row>
    <row r="12091" spans="2:26" x14ac:dyDescent="0.25">
      <c r="B12091"/>
      <c r="Z12091"/>
    </row>
    <row r="12092" spans="2:26" x14ac:dyDescent="0.25">
      <c r="B12092"/>
      <c r="Z12092"/>
    </row>
    <row r="12093" spans="2:26" x14ac:dyDescent="0.25">
      <c r="B12093"/>
      <c r="Z12093"/>
    </row>
    <row r="12094" spans="2:26" x14ac:dyDescent="0.25">
      <c r="B12094"/>
      <c r="Z12094"/>
    </row>
    <row r="12095" spans="2:26" x14ac:dyDescent="0.25">
      <c r="B12095"/>
      <c r="Z12095"/>
    </row>
    <row r="12096" spans="2:26" x14ac:dyDescent="0.25">
      <c r="B12096" s="6"/>
      <c r="Z12096"/>
    </row>
    <row r="12097" spans="2:26" x14ac:dyDescent="0.25">
      <c r="B12097"/>
      <c r="Z12097"/>
    </row>
    <row r="12098" spans="2:26" x14ac:dyDescent="0.25">
      <c r="B12098"/>
      <c r="Z12098"/>
    </row>
    <row r="12099" spans="2:26" x14ac:dyDescent="0.25">
      <c r="B12099"/>
      <c r="Z12099"/>
    </row>
    <row r="12100" spans="2:26" x14ac:dyDescent="0.25">
      <c r="B12100"/>
      <c r="Z12100"/>
    </row>
    <row r="12101" spans="2:26" x14ac:dyDescent="0.25">
      <c r="B12101"/>
      <c r="Z12101"/>
    </row>
    <row r="12102" spans="2:26" x14ac:dyDescent="0.25">
      <c r="B12102"/>
      <c r="Z12102"/>
    </row>
    <row r="12103" spans="2:26" x14ac:dyDescent="0.25">
      <c r="B12103"/>
      <c r="Z12103"/>
    </row>
    <row r="12104" spans="2:26" x14ac:dyDescent="0.25">
      <c r="B12104"/>
      <c r="Z12104"/>
    </row>
    <row r="12105" spans="2:26" x14ac:dyDescent="0.25">
      <c r="B12105"/>
      <c r="Z12105"/>
    </row>
    <row r="12106" spans="2:26" x14ac:dyDescent="0.25">
      <c r="B12106"/>
      <c r="Z12106"/>
    </row>
    <row r="12107" spans="2:26" x14ac:dyDescent="0.25">
      <c r="B12107"/>
      <c r="Z12107"/>
    </row>
    <row r="12108" spans="2:26" x14ac:dyDescent="0.25">
      <c r="B12108"/>
      <c r="Z12108"/>
    </row>
    <row r="12109" spans="2:26" x14ac:dyDescent="0.25">
      <c r="B12109"/>
      <c r="Z12109"/>
    </row>
    <row r="12110" spans="2:26" x14ac:dyDescent="0.25">
      <c r="B12110"/>
      <c r="Z12110"/>
    </row>
    <row r="12111" spans="2:26" x14ac:dyDescent="0.25">
      <c r="B12111"/>
      <c r="Z12111"/>
    </row>
    <row r="12112" spans="2:26" x14ac:dyDescent="0.25">
      <c r="B12112"/>
      <c r="Z12112"/>
    </row>
    <row r="12113" spans="1:33" x14ac:dyDescent="0.25">
      <c r="B12113"/>
      <c r="Z12113"/>
    </row>
    <row r="12114" spans="1:33" x14ac:dyDescent="0.25">
      <c r="B12114"/>
      <c r="Z12114"/>
    </row>
    <row r="12115" spans="1:33" x14ac:dyDescent="0.25">
      <c r="B12115"/>
      <c r="Z12115"/>
    </row>
    <row r="12116" spans="1:33" x14ac:dyDescent="0.25">
      <c r="B12116"/>
      <c r="Z12116"/>
    </row>
    <row r="12117" spans="1:33" x14ac:dyDescent="0.25">
      <c r="A12117" s="6"/>
      <c r="C12117" s="6"/>
      <c r="D12117" s="6"/>
      <c r="E12117" s="6"/>
      <c r="F12117" s="6"/>
      <c r="G12117" s="6"/>
      <c r="H12117" s="6"/>
      <c r="I12117" s="6"/>
      <c r="J12117" s="6"/>
      <c r="K12117" s="6"/>
      <c r="L12117" s="6"/>
      <c r="M12117" s="6"/>
      <c r="N12117" s="6"/>
      <c r="O12117" s="6"/>
      <c r="P12117" s="6"/>
      <c r="Q12117" s="6"/>
      <c r="R12117" s="6"/>
      <c r="S12117" s="6"/>
      <c r="T12117" s="6"/>
      <c r="U12117" s="6"/>
      <c r="V12117" s="6"/>
      <c r="W12117" s="6"/>
      <c r="X12117" s="6"/>
      <c r="Y12117" s="6"/>
      <c r="Z12117" s="6"/>
      <c r="AA12117" s="6"/>
      <c r="AB12117" s="6"/>
      <c r="AC12117" s="6"/>
      <c r="AD12117" s="6"/>
      <c r="AE12117" s="6"/>
      <c r="AF12117" s="6"/>
      <c r="AG12117" s="6"/>
    </row>
    <row r="12118" spans="1:33" x14ac:dyDescent="0.25">
      <c r="Z12118"/>
    </row>
    <row r="12119" spans="1:33" x14ac:dyDescent="0.25">
      <c r="Z12119"/>
    </row>
    <row r="12120" spans="1:33" x14ac:dyDescent="0.25">
      <c r="Z12120"/>
    </row>
    <row r="12121" spans="1:33" x14ac:dyDescent="0.25">
      <c r="Z12121"/>
    </row>
    <row r="12122" spans="1:33" x14ac:dyDescent="0.25">
      <c r="Z12122"/>
    </row>
    <row r="12123" spans="1:33" x14ac:dyDescent="0.25">
      <c r="Z12123"/>
    </row>
    <row r="12124" spans="1:33" x14ac:dyDescent="0.25">
      <c r="Z12124"/>
    </row>
    <row r="12125" spans="1:33" x14ac:dyDescent="0.25">
      <c r="Z12125"/>
    </row>
    <row r="12126" spans="1:33" x14ac:dyDescent="0.25">
      <c r="Z12126"/>
    </row>
    <row r="12127" spans="1:33" x14ac:dyDescent="0.25">
      <c r="Z12127"/>
    </row>
    <row r="12128" spans="1:33" x14ac:dyDescent="0.25">
      <c r="Z12128"/>
    </row>
    <row r="12129" spans="26:26" x14ac:dyDescent="0.25">
      <c r="Z12129"/>
    </row>
    <row r="12130" spans="26:26" x14ac:dyDescent="0.25">
      <c r="Z12130"/>
    </row>
    <row r="12131" spans="26:26" x14ac:dyDescent="0.25">
      <c r="Z12131"/>
    </row>
    <row r="12132" spans="26:26" x14ac:dyDescent="0.25">
      <c r="Z12132"/>
    </row>
    <row r="12133" spans="26:26" x14ac:dyDescent="0.25">
      <c r="Z12133"/>
    </row>
    <row r="12134" spans="26:26" x14ac:dyDescent="0.25">
      <c r="Z12134"/>
    </row>
    <row r="12135" spans="26:26" x14ac:dyDescent="0.25">
      <c r="Z12135"/>
    </row>
    <row r="12136" spans="26:26" x14ac:dyDescent="0.25">
      <c r="Z12136"/>
    </row>
    <row r="12137" spans="26:26" x14ac:dyDescent="0.25">
      <c r="Z12137"/>
    </row>
    <row r="12138" spans="26:26" x14ac:dyDescent="0.25">
      <c r="Z12138"/>
    </row>
    <row r="12139" spans="26:26" x14ac:dyDescent="0.25">
      <c r="Z12139"/>
    </row>
    <row r="12140" spans="26:26" x14ac:dyDescent="0.25">
      <c r="Z12140"/>
    </row>
    <row r="12141" spans="26:26" x14ac:dyDescent="0.25">
      <c r="Z12141"/>
    </row>
    <row r="12142" spans="26:26" x14ac:dyDescent="0.25">
      <c r="Z12142"/>
    </row>
    <row r="12143" spans="26:26" x14ac:dyDescent="0.25">
      <c r="Z12143"/>
    </row>
    <row r="12144" spans="26:26" x14ac:dyDescent="0.25">
      <c r="Z12144"/>
    </row>
    <row r="12145" spans="26:26" x14ac:dyDescent="0.25">
      <c r="Z12145"/>
    </row>
    <row r="12146" spans="26:26" x14ac:dyDescent="0.25">
      <c r="Z12146"/>
    </row>
    <row r="12147" spans="26:26" x14ac:dyDescent="0.25">
      <c r="Z12147"/>
    </row>
    <row r="12148" spans="26:26" x14ac:dyDescent="0.25">
      <c r="Z12148"/>
    </row>
    <row r="12149" spans="26:26" x14ac:dyDescent="0.25">
      <c r="Z12149"/>
    </row>
    <row r="12150" spans="26:26" x14ac:dyDescent="0.25">
      <c r="Z12150"/>
    </row>
    <row r="12151" spans="26:26" x14ac:dyDescent="0.25">
      <c r="Z12151"/>
    </row>
    <row r="12152" spans="26:26" x14ac:dyDescent="0.25">
      <c r="Z12152"/>
    </row>
    <row r="12153" spans="26:26" x14ac:dyDescent="0.25">
      <c r="Z12153"/>
    </row>
    <row r="12154" spans="26:26" x14ac:dyDescent="0.25">
      <c r="Z12154"/>
    </row>
    <row r="12155" spans="26:26" x14ac:dyDescent="0.25">
      <c r="Z12155"/>
    </row>
    <row r="12156" spans="26:26" x14ac:dyDescent="0.25">
      <c r="Z12156"/>
    </row>
    <row r="12157" spans="26:26" x14ac:dyDescent="0.25">
      <c r="Z12157"/>
    </row>
    <row r="12158" spans="26:26" x14ac:dyDescent="0.25">
      <c r="Z12158"/>
    </row>
    <row r="12159" spans="26:26" x14ac:dyDescent="0.25">
      <c r="Z12159"/>
    </row>
    <row r="12160" spans="26:26" x14ac:dyDescent="0.25">
      <c r="Z12160"/>
    </row>
    <row r="12161" spans="26:26" x14ac:dyDescent="0.25">
      <c r="Z12161"/>
    </row>
    <row r="12162" spans="26:26" x14ac:dyDescent="0.25">
      <c r="Z12162"/>
    </row>
    <row r="12163" spans="26:26" x14ac:dyDescent="0.25">
      <c r="Z12163"/>
    </row>
    <row r="12164" spans="26:26" x14ac:dyDescent="0.25">
      <c r="Z12164"/>
    </row>
    <row r="12165" spans="26:26" x14ac:dyDescent="0.25">
      <c r="Z12165"/>
    </row>
    <row r="12166" spans="26:26" x14ac:dyDescent="0.25">
      <c r="Z12166"/>
    </row>
    <row r="12167" spans="26:26" x14ac:dyDescent="0.25">
      <c r="Z12167"/>
    </row>
    <row r="12168" spans="26:26" x14ac:dyDescent="0.25">
      <c r="Z12168"/>
    </row>
    <row r="12169" spans="26:26" x14ac:dyDescent="0.25">
      <c r="Z12169"/>
    </row>
    <row r="12170" spans="26:26" x14ac:dyDescent="0.25">
      <c r="Z12170"/>
    </row>
    <row r="12171" spans="26:26" x14ac:dyDescent="0.25">
      <c r="Z12171"/>
    </row>
    <row r="12172" spans="26:26" x14ac:dyDescent="0.25">
      <c r="Z12172"/>
    </row>
    <row r="12173" spans="26:26" x14ac:dyDescent="0.25">
      <c r="Z12173"/>
    </row>
    <row r="12174" spans="26:26" x14ac:dyDescent="0.25">
      <c r="Z12174"/>
    </row>
    <row r="12175" spans="26:26" x14ac:dyDescent="0.25">
      <c r="Z12175"/>
    </row>
    <row r="12176" spans="26:26" x14ac:dyDescent="0.25">
      <c r="Z12176"/>
    </row>
    <row r="12177" spans="26:26" x14ac:dyDescent="0.25">
      <c r="Z12177"/>
    </row>
    <row r="12178" spans="26:26" x14ac:dyDescent="0.25">
      <c r="Z12178"/>
    </row>
    <row r="12179" spans="26:26" x14ac:dyDescent="0.25">
      <c r="Z12179"/>
    </row>
    <row r="12180" spans="26:26" x14ac:dyDescent="0.25">
      <c r="Z12180"/>
    </row>
    <row r="12181" spans="26:26" x14ac:dyDescent="0.25">
      <c r="Z12181"/>
    </row>
    <row r="12182" spans="26:26" x14ac:dyDescent="0.25">
      <c r="Z12182"/>
    </row>
    <row r="12183" spans="26:26" x14ac:dyDescent="0.25">
      <c r="Z12183"/>
    </row>
    <row r="12184" spans="26:26" x14ac:dyDescent="0.25">
      <c r="Z12184"/>
    </row>
    <row r="12185" spans="26:26" x14ac:dyDescent="0.25">
      <c r="Z12185"/>
    </row>
    <row r="12186" spans="26:26" x14ac:dyDescent="0.25">
      <c r="Z12186"/>
    </row>
    <row r="12187" spans="26:26" x14ac:dyDescent="0.25">
      <c r="Z12187"/>
    </row>
    <row r="12188" spans="26:26" x14ac:dyDescent="0.25">
      <c r="Z12188"/>
    </row>
    <row r="12189" spans="26:26" x14ac:dyDescent="0.25">
      <c r="Z12189"/>
    </row>
    <row r="12190" spans="26:26" x14ac:dyDescent="0.25">
      <c r="Z12190"/>
    </row>
    <row r="12191" spans="26:26" x14ac:dyDescent="0.25">
      <c r="Z12191"/>
    </row>
    <row r="12192" spans="26:26" x14ac:dyDescent="0.25">
      <c r="Z12192"/>
    </row>
    <row r="12193" spans="26:26" x14ac:dyDescent="0.25">
      <c r="Z12193"/>
    </row>
    <row r="12194" spans="26:26" x14ac:dyDescent="0.25">
      <c r="Z12194"/>
    </row>
    <row r="12195" spans="26:26" x14ac:dyDescent="0.25">
      <c r="Z12195"/>
    </row>
    <row r="12196" spans="26:26" x14ac:dyDescent="0.25">
      <c r="Z12196"/>
    </row>
    <row r="12197" spans="26:26" x14ac:dyDescent="0.25">
      <c r="Z12197"/>
    </row>
    <row r="12198" spans="26:26" x14ac:dyDescent="0.25">
      <c r="Z12198"/>
    </row>
    <row r="12199" spans="26:26" x14ac:dyDescent="0.25">
      <c r="Z12199"/>
    </row>
    <row r="12200" spans="26:26" x14ac:dyDescent="0.25">
      <c r="Z12200"/>
    </row>
    <row r="12201" spans="26:26" x14ac:dyDescent="0.25">
      <c r="Z12201"/>
    </row>
    <row r="12202" spans="26:26" x14ac:dyDescent="0.25">
      <c r="Z12202"/>
    </row>
    <row r="12203" spans="26:26" x14ac:dyDescent="0.25">
      <c r="Z12203"/>
    </row>
    <row r="12204" spans="26:26" x14ac:dyDescent="0.25">
      <c r="Z12204"/>
    </row>
    <row r="12205" spans="26:26" x14ac:dyDescent="0.25">
      <c r="Z12205"/>
    </row>
    <row r="12206" spans="26:26" x14ac:dyDescent="0.25">
      <c r="Z12206"/>
    </row>
    <row r="12207" spans="26:26" x14ac:dyDescent="0.25">
      <c r="Z12207"/>
    </row>
    <row r="12208" spans="26:26" x14ac:dyDescent="0.25">
      <c r="Z12208"/>
    </row>
    <row r="12209" spans="1:33" x14ac:dyDescent="0.25">
      <c r="Z12209"/>
    </row>
    <row r="12210" spans="1:33" x14ac:dyDescent="0.25">
      <c r="L12210" s="6"/>
      <c r="Z12210"/>
    </row>
    <row r="12211" spans="1:33" x14ac:dyDescent="0.25">
      <c r="Z12211"/>
    </row>
    <row r="12212" spans="1:33" x14ac:dyDescent="0.25">
      <c r="Z12212"/>
    </row>
    <row r="12213" spans="1:33" x14ac:dyDescent="0.25">
      <c r="Z12213"/>
    </row>
    <row r="12214" spans="1:33" x14ac:dyDescent="0.25">
      <c r="Z12214"/>
    </row>
    <row r="12215" spans="1:33" x14ac:dyDescent="0.25">
      <c r="Z12215"/>
    </row>
    <row r="12216" spans="1:33" x14ac:dyDescent="0.25">
      <c r="Z12216"/>
    </row>
    <row r="12217" spans="1:33" x14ac:dyDescent="0.25">
      <c r="Z12217"/>
    </row>
    <row r="12218" spans="1:33" x14ac:dyDescent="0.25">
      <c r="Z12218"/>
    </row>
    <row r="12219" spans="1:33" x14ac:dyDescent="0.25">
      <c r="Z12219"/>
    </row>
    <row r="12220" spans="1:33" x14ac:dyDescent="0.25">
      <c r="A12220" s="6"/>
      <c r="C12220" s="6"/>
      <c r="D12220" s="6"/>
      <c r="E12220" s="6"/>
      <c r="F12220" s="6"/>
      <c r="G12220" s="6"/>
      <c r="H12220" s="6"/>
      <c r="I12220" s="6"/>
      <c r="J12220" s="6"/>
      <c r="K12220" s="6"/>
      <c r="L12220" s="6"/>
      <c r="M12220" s="6"/>
      <c r="N12220" s="6"/>
      <c r="O12220" s="6"/>
      <c r="P12220" s="6"/>
      <c r="Q12220" s="6"/>
      <c r="R12220" s="6"/>
      <c r="S12220" s="6"/>
      <c r="T12220" s="6"/>
      <c r="U12220" s="6"/>
      <c r="V12220" s="6"/>
      <c r="W12220" s="6"/>
      <c r="X12220" s="6"/>
      <c r="Y12220" s="6"/>
      <c r="Z12220" s="6"/>
      <c r="AA12220" s="6"/>
      <c r="AB12220" s="6"/>
      <c r="AC12220" s="6"/>
      <c r="AD12220" s="6"/>
      <c r="AE12220" s="6"/>
      <c r="AF12220" s="6"/>
      <c r="AG12220" s="6"/>
    </row>
    <row r="12221" spans="1:33" x14ac:dyDescent="0.25">
      <c r="Z12221"/>
    </row>
    <row r="12222" spans="1:33" x14ac:dyDescent="0.25">
      <c r="Z12222"/>
    </row>
    <row r="12223" spans="1:33" x14ac:dyDescent="0.25">
      <c r="Z12223"/>
    </row>
    <row r="12224" spans="1:33" x14ac:dyDescent="0.25">
      <c r="Z12224"/>
    </row>
    <row r="12225" spans="26:26" x14ac:dyDescent="0.25">
      <c r="Z12225"/>
    </row>
    <row r="12226" spans="26:26" x14ac:dyDescent="0.25">
      <c r="Z12226"/>
    </row>
    <row r="12227" spans="26:26" x14ac:dyDescent="0.25">
      <c r="Z12227"/>
    </row>
    <row r="12228" spans="26:26" x14ac:dyDescent="0.25">
      <c r="Z12228"/>
    </row>
    <row r="12229" spans="26:26" x14ac:dyDescent="0.25">
      <c r="Z12229"/>
    </row>
    <row r="12230" spans="26:26" x14ac:dyDescent="0.25">
      <c r="Z12230"/>
    </row>
    <row r="12231" spans="26:26" x14ac:dyDescent="0.25">
      <c r="Z12231"/>
    </row>
    <row r="12232" spans="26:26" x14ac:dyDescent="0.25">
      <c r="Z12232"/>
    </row>
    <row r="12233" spans="26:26" x14ac:dyDescent="0.25">
      <c r="Z12233"/>
    </row>
    <row r="12234" spans="26:26" x14ac:dyDescent="0.25">
      <c r="Z12234"/>
    </row>
    <row r="12235" spans="26:26" x14ac:dyDescent="0.25">
      <c r="Z12235"/>
    </row>
    <row r="12236" spans="26:26" x14ac:dyDescent="0.25">
      <c r="Z12236"/>
    </row>
    <row r="12237" spans="26:26" x14ac:dyDescent="0.25">
      <c r="Z12237"/>
    </row>
    <row r="12238" spans="26:26" x14ac:dyDescent="0.25">
      <c r="Z12238"/>
    </row>
    <row r="12239" spans="26:26" x14ac:dyDescent="0.25">
      <c r="Z12239"/>
    </row>
    <row r="12240" spans="26:26" x14ac:dyDescent="0.25">
      <c r="Z12240"/>
    </row>
    <row r="12241" spans="26:26" x14ac:dyDescent="0.25">
      <c r="Z12241"/>
    </row>
    <row r="12242" spans="26:26" x14ac:dyDescent="0.25">
      <c r="Z12242"/>
    </row>
    <row r="12243" spans="26:26" x14ac:dyDescent="0.25">
      <c r="Z12243"/>
    </row>
    <row r="12244" spans="26:26" x14ac:dyDescent="0.25">
      <c r="Z12244"/>
    </row>
    <row r="12245" spans="26:26" x14ac:dyDescent="0.25">
      <c r="Z12245"/>
    </row>
    <row r="12246" spans="26:26" x14ac:dyDescent="0.25">
      <c r="Z12246"/>
    </row>
    <row r="12247" spans="26:26" x14ac:dyDescent="0.25">
      <c r="Z12247"/>
    </row>
    <row r="12248" spans="26:26" x14ac:dyDescent="0.25">
      <c r="Z12248"/>
    </row>
    <row r="12249" spans="26:26" x14ac:dyDescent="0.25">
      <c r="Z12249"/>
    </row>
    <row r="12250" spans="26:26" x14ac:dyDescent="0.25">
      <c r="Z12250"/>
    </row>
    <row r="12251" spans="26:26" x14ac:dyDescent="0.25">
      <c r="Z12251"/>
    </row>
    <row r="12252" spans="26:26" x14ac:dyDescent="0.25">
      <c r="Z12252"/>
    </row>
    <row r="12253" spans="26:26" x14ac:dyDescent="0.25">
      <c r="Z12253"/>
    </row>
    <row r="12254" spans="26:26" x14ac:dyDescent="0.25">
      <c r="Z12254"/>
    </row>
    <row r="12255" spans="26:26" x14ac:dyDescent="0.25">
      <c r="Z12255"/>
    </row>
    <row r="12256" spans="26:26" x14ac:dyDescent="0.25">
      <c r="Z12256"/>
    </row>
    <row r="12257" spans="26:26" x14ac:dyDescent="0.25">
      <c r="Z12257"/>
    </row>
    <row r="12258" spans="26:26" x14ac:dyDescent="0.25">
      <c r="Z12258"/>
    </row>
    <row r="12259" spans="26:26" x14ac:dyDescent="0.25">
      <c r="Z12259"/>
    </row>
    <row r="12260" spans="26:26" x14ac:dyDescent="0.25">
      <c r="Z12260"/>
    </row>
    <row r="12261" spans="26:26" x14ac:dyDescent="0.25">
      <c r="Z12261"/>
    </row>
    <row r="12262" spans="26:26" x14ac:dyDescent="0.25">
      <c r="Z12262"/>
    </row>
    <row r="12263" spans="26:26" x14ac:dyDescent="0.25">
      <c r="Z12263"/>
    </row>
    <row r="12264" spans="26:26" x14ac:dyDescent="0.25">
      <c r="Z12264"/>
    </row>
    <row r="12265" spans="26:26" x14ac:dyDescent="0.25">
      <c r="Z12265"/>
    </row>
    <row r="12266" spans="26:26" x14ac:dyDescent="0.25">
      <c r="Z12266"/>
    </row>
    <row r="12267" spans="26:26" x14ac:dyDescent="0.25">
      <c r="Z12267"/>
    </row>
    <row r="12268" spans="26:26" x14ac:dyDescent="0.25">
      <c r="Z12268"/>
    </row>
    <row r="12269" spans="26:26" x14ac:dyDescent="0.25">
      <c r="Z12269"/>
    </row>
    <row r="12270" spans="26:26" x14ac:dyDescent="0.25">
      <c r="Z12270"/>
    </row>
    <row r="12271" spans="26:26" x14ac:dyDescent="0.25">
      <c r="Z12271"/>
    </row>
    <row r="12272" spans="26:26" x14ac:dyDescent="0.25">
      <c r="Z12272"/>
    </row>
    <row r="12273" spans="26:26" x14ac:dyDescent="0.25">
      <c r="Z12273"/>
    </row>
    <row r="12274" spans="26:26" x14ac:dyDescent="0.25">
      <c r="Z12274"/>
    </row>
    <row r="12275" spans="26:26" x14ac:dyDescent="0.25">
      <c r="Z12275"/>
    </row>
    <row r="12276" spans="26:26" x14ac:dyDescent="0.25">
      <c r="Z12276"/>
    </row>
    <row r="12277" spans="26:26" x14ac:dyDescent="0.25">
      <c r="Z12277"/>
    </row>
    <row r="12278" spans="26:26" x14ac:dyDescent="0.25">
      <c r="Z12278"/>
    </row>
    <row r="12279" spans="26:26" x14ac:dyDescent="0.25">
      <c r="Z12279"/>
    </row>
    <row r="12280" spans="26:26" x14ac:dyDescent="0.25">
      <c r="Z12280"/>
    </row>
    <row r="12281" spans="26:26" x14ac:dyDescent="0.25">
      <c r="Z12281"/>
    </row>
    <row r="12282" spans="26:26" x14ac:dyDescent="0.25">
      <c r="Z12282"/>
    </row>
    <row r="12283" spans="26:26" x14ac:dyDescent="0.25">
      <c r="Z12283"/>
    </row>
    <row r="12284" spans="26:26" x14ac:dyDescent="0.25">
      <c r="Z12284"/>
    </row>
    <row r="12285" spans="26:26" x14ac:dyDescent="0.25">
      <c r="Z12285"/>
    </row>
    <row r="12286" spans="26:26" x14ac:dyDescent="0.25">
      <c r="Z12286"/>
    </row>
    <row r="12287" spans="26:26" x14ac:dyDescent="0.25">
      <c r="Z12287"/>
    </row>
    <row r="12288" spans="26:26" x14ac:dyDescent="0.25">
      <c r="Z12288"/>
    </row>
    <row r="12289" spans="26:26" x14ac:dyDescent="0.25">
      <c r="Z12289"/>
    </row>
    <row r="12290" spans="26:26" x14ac:dyDescent="0.25">
      <c r="Z12290"/>
    </row>
    <row r="12291" spans="26:26" x14ac:dyDescent="0.25">
      <c r="Z12291"/>
    </row>
    <row r="12292" spans="26:26" x14ac:dyDescent="0.25">
      <c r="Z12292"/>
    </row>
    <row r="12293" spans="26:26" x14ac:dyDescent="0.25">
      <c r="Z12293"/>
    </row>
    <row r="12294" spans="26:26" x14ac:dyDescent="0.25">
      <c r="Z12294"/>
    </row>
    <row r="12295" spans="26:26" x14ac:dyDescent="0.25">
      <c r="Z12295"/>
    </row>
    <row r="12296" spans="26:26" x14ac:dyDescent="0.25">
      <c r="Z12296"/>
    </row>
    <row r="12297" spans="26:26" x14ac:dyDescent="0.25">
      <c r="Z12297"/>
    </row>
    <row r="12298" spans="26:26" x14ac:dyDescent="0.25">
      <c r="Z12298"/>
    </row>
    <row r="12299" spans="26:26" x14ac:dyDescent="0.25">
      <c r="Z12299"/>
    </row>
    <row r="12300" spans="26:26" x14ac:dyDescent="0.25">
      <c r="Z12300"/>
    </row>
    <row r="12301" spans="26:26" x14ac:dyDescent="0.25">
      <c r="Z12301"/>
    </row>
    <row r="12302" spans="26:26" x14ac:dyDescent="0.25">
      <c r="Z12302"/>
    </row>
    <row r="12303" spans="26:26" x14ac:dyDescent="0.25">
      <c r="Z12303"/>
    </row>
    <row r="12304" spans="26:26" x14ac:dyDescent="0.25">
      <c r="Z12304"/>
    </row>
    <row r="12305" spans="9:26" x14ac:dyDescent="0.25">
      <c r="Z12305"/>
    </row>
    <row r="12306" spans="9:26" x14ac:dyDescent="0.25">
      <c r="Z12306"/>
    </row>
    <row r="12307" spans="9:26" x14ac:dyDescent="0.25">
      <c r="Z12307"/>
    </row>
    <row r="12308" spans="9:26" x14ac:dyDescent="0.25">
      <c r="Z12308"/>
    </row>
    <row r="12309" spans="9:26" x14ac:dyDescent="0.25">
      <c r="Z12309"/>
    </row>
    <row r="12310" spans="9:26" x14ac:dyDescent="0.25">
      <c r="Z12310"/>
    </row>
    <row r="12311" spans="9:26" x14ac:dyDescent="0.25">
      <c r="Z12311"/>
    </row>
    <row r="12312" spans="9:26" x14ac:dyDescent="0.25">
      <c r="Z12312"/>
    </row>
    <row r="12313" spans="9:26" x14ac:dyDescent="0.25">
      <c r="Z12313"/>
    </row>
    <row r="12314" spans="9:26" x14ac:dyDescent="0.25">
      <c r="Z12314"/>
    </row>
    <row r="12315" spans="9:26" x14ac:dyDescent="0.25">
      <c r="Z12315"/>
    </row>
    <row r="12316" spans="9:26" x14ac:dyDescent="0.25">
      <c r="Z12316"/>
    </row>
    <row r="12317" spans="9:26" x14ac:dyDescent="0.25">
      <c r="Z12317"/>
    </row>
    <row r="12318" spans="9:26" x14ac:dyDescent="0.25">
      <c r="Z12318"/>
    </row>
    <row r="12319" spans="9:26" x14ac:dyDescent="0.25">
      <c r="I12319" s="6"/>
      <c r="Z12319"/>
    </row>
    <row r="12320" spans="9:26" x14ac:dyDescent="0.25">
      <c r="Z12320"/>
    </row>
    <row r="12321" spans="1:33" x14ac:dyDescent="0.25">
      <c r="Z12321"/>
    </row>
    <row r="12322" spans="1:33" x14ac:dyDescent="0.25">
      <c r="A12322" s="6"/>
      <c r="C12322" s="6"/>
      <c r="D12322" s="6"/>
      <c r="E12322" s="6"/>
      <c r="F12322" s="6"/>
      <c r="G12322" s="6"/>
      <c r="H12322" s="6"/>
      <c r="I12322" s="6"/>
      <c r="J12322" s="6"/>
      <c r="K12322" s="6"/>
      <c r="L12322" s="6"/>
      <c r="M12322" s="6"/>
      <c r="N12322" s="6"/>
      <c r="O12322" s="6"/>
      <c r="P12322" s="6"/>
      <c r="Q12322" s="6"/>
      <c r="R12322" s="6"/>
      <c r="S12322" s="6"/>
      <c r="T12322" s="6"/>
      <c r="U12322" s="6"/>
      <c r="V12322" s="6"/>
      <c r="W12322" s="6"/>
      <c r="X12322" s="6"/>
      <c r="Y12322" s="6"/>
      <c r="Z12322" s="6"/>
      <c r="AA12322" s="6"/>
      <c r="AB12322" s="6"/>
      <c r="AC12322" s="6"/>
      <c r="AD12322" s="6"/>
      <c r="AE12322" s="6"/>
      <c r="AF12322" s="6"/>
      <c r="AG12322" s="6"/>
    </row>
    <row r="12323" spans="1:33" x14ac:dyDescent="0.25">
      <c r="Z12323"/>
    </row>
    <row r="12324" spans="1:33" x14ac:dyDescent="0.25">
      <c r="Z12324"/>
    </row>
    <row r="12325" spans="1:33" x14ac:dyDescent="0.25">
      <c r="Z12325"/>
    </row>
    <row r="12326" spans="1:33" x14ac:dyDescent="0.25">
      <c r="Z12326"/>
    </row>
    <row r="12327" spans="1:33" x14ac:dyDescent="0.25">
      <c r="Z12327"/>
    </row>
    <row r="12328" spans="1:33" x14ac:dyDescent="0.25">
      <c r="Z12328"/>
    </row>
    <row r="12329" spans="1:33" x14ac:dyDescent="0.25">
      <c r="Z12329"/>
    </row>
    <row r="12330" spans="1:33" x14ac:dyDescent="0.25">
      <c r="Z12330"/>
    </row>
    <row r="12331" spans="1:33" x14ac:dyDescent="0.25">
      <c r="Z12331"/>
    </row>
    <row r="12332" spans="1:33" x14ac:dyDescent="0.25">
      <c r="Z12332"/>
    </row>
    <row r="12333" spans="1:33" x14ac:dyDescent="0.25">
      <c r="Z12333"/>
    </row>
    <row r="12334" spans="1:33" x14ac:dyDescent="0.25">
      <c r="Z12334"/>
    </row>
    <row r="12335" spans="1:33" x14ac:dyDescent="0.25">
      <c r="Z12335"/>
    </row>
    <row r="12336" spans="1:33" x14ac:dyDescent="0.25">
      <c r="Z12336"/>
    </row>
    <row r="12337" spans="26:26" x14ac:dyDescent="0.25">
      <c r="Z12337"/>
    </row>
    <row r="12338" spans="26:26" x14ac:dyDescent="0.25">
      <c r="Z12338"/>
    </row>
    <row r="12339" spans="26:26" x14ac:dyDescent="0.25">
      <c r="Z12339"/>
    </row>
    <row r="12340" spans="26:26" x14ac:dyDescent="0.25">
      <c r="Z12340"/>
    </row>
    <row r="12341" spans="26:26" x14ac:dyDescent="0.25">
      <c r="Z12341"/>
    </row>
    <row r="12342" spans="26:26" x14ac:dyDescent="0.25">
      <c r="Z12342"/>
    </row>
    <row r="12343" spans="26:26" x14ac:dyDescent="0.25">
      <c r="Z12343"/>
    </row>
    <row r="12344" spans="26:26" x14ac:dyDescent="0.25">
      <c r="Z12344"/>
    </row>
    <row r="12345" spans="26:26" x14ac:dyDescent="0.25">
      <c r="Z12345"/>
    </row>
    <row r="12346" spans="26:26" x14ac:dyDescent="0.25">
      <c r="Z12346"/>
    </row>
    <row r="12347" spans="26:26" x14ac:dyDescent="0.25">
      <c r="Z12347"/>
    </row>
    <row r="12348" spans="26:26" x14ac:dyDescent="0.25">
      <c r="Z12348"/>
    </row>
    <row r="12349" spans="26:26" x14ac:dyDescent="0.25">
      <c r="Z12349"/>
    </row>
    <row r="12350" spans="26:26" x14ac:dyDescent="0.25">
      <c r="Z12350"/>
    </row>
    <row r="12351" spans="26:26" x14ac:dyDescent="0.25">
      <c r="Z12351"/>
    </row>
    <row r="12352" spans="26:26" x14ac:dyDescent="0.25">
      <c r="Z12352"/>
    </row>
    <row r="12353" spans="26:26" x14ac:dyDescent="0.25">
      <c r="Z12353"/>
    </row>
    <row r="12354" spans="26:26" x14ac:dyDescent="0.25">
      <c r="Z12354"/>
    </row>
    <row r="12355" spans="26:26" x14ac:dyDescent="0.25">
      <c r="Z12355"/>
    </row>
    <row r="12356" spans="26:26" x14ac:dyDescent="0.25">
      <c r="Z12356"/>
    </row>
    <row r="12357" spans="26:26" x14ac:dyDescent="0.25">
      <c r="Z12357"/>
    </row>
    <row r="12358" spans="26:26" x14ac:dyDescent="0.25">
      <c r="Z12358"/>
    </row>
    <row r="12359" spans="26:26" x14ac:dyDescent="0.25">
      <c r="Z12359"/>
    </row>
    <row r="12360" spans="26:26" x14ac:dyDescent="0.25">
      <c r="Z12360"/>
    </row>
    <row r="12361" spans="26:26" x14ac:dyDescent="0.25">
      <c r="Z12361"/>
    </row>
    <row r="12362" spans="26:26" x14ac:dyDescent="0.25">
      <c r="Z12362"/>
    </row>
    <row r="12363" spans="26:26" x14ac:dyDescent="0.25">
      <c r="Z12363"/>
    </row>
    <row r="12364" spans="26:26" x14ac:dyDescent="0.25">
      <c r="Z12364"/>
    </row>
    <row r="12365" spans="26:26" x14ac:dyDescent="0.25">
      <c r="Z12365"/>
    </row>
    <row r="12366" spans="26:26" x14ac:dyDescent="0.25">
      <c r="Z12366"/>
    </row>
    <row r="12367" spans="26:26" x14ac:dyDescent="0.25">
      <c r="Z12367"/>
    </row>
    <row r="12368" spans="26:26" x14ac:dyDescent="0.25">
      <c r="Z12368"/>
    </row>
    <row r="12369" spans="26:26" x14ac:dyDescent="0.25">
      <c r="Z12369"/>
    </row>
    <row r="12370" spans="26:26" x14ac:dyDescent="0.25">
      <c r="Z12370"/>
    </row>
    <row r="12371" spans="26:26" x14ac:dyDescent="0.25">
      <c r="Z12371"/>
    </row>
    <row r="12372" spans="26:26" x14ac:dyDescent="0.25">
      <c r="Z12372"/>
    </row>
    <row r="12373" spans="26:26" x14ac:dyDescent="0.25">
      <c r="Z12373"/>
    </row>
    <row r="12374" spans="26:26" x14ac:dyDescent="0.25">
      <c r="Z12374"/>
    </row>
    <row r="12375" spans="26:26" x14ac:dyDescent="0.25">
      <c r="Z12375"/>
    </row>
    <row r="12376" spans="26:26" x14ac:dyDescent="0.25">
      <c r="Z12376"/>
    </row>
    <row r="12377" spans="26:26" x14ac:dyDescent="0.25">
      <c r="Z12377"/>
    </row>
    <row r="12378" spans="26:26" x14ac:dyDescent="0.25">
      <c r="Z12378"/>
    </row>
    <row r="12379" spans="26:26" x14ac:dyDescent="0.25">
      <c r="Z12379"/>
    </row>
    <row r="12380" spans="26:26" x14ac:dyDescent="0.25">
      <c r="Z12380"/>
    </row>
    <row r="12381" spans="26:26" x14ac:dyDescent="0.25">
      <c r="Z12381"/>
    </row>
    <row r="12382" spans="26:26" x14ac:dyDescent="0.25">
      <c r="Z12382"/>
    </row>
    <row r="12383" spans="26:26" x14ac:dyDescent="0.25">
      <c r="Z12383"/>
    </row>
    <row r="12384" spans="26:26" x14ac:dyDescent="0.25">
      <c r="Z12384"/>
    </row>
    <row r="12385" spans="26:26" x14ac:dyDescent="0.25">
      <c r="Z12385"/>
    </row>
    <row r="12386" spans="26:26" x14ac:dyDescent="0.25">
      <c r="Z12386"/>
    </row>
    <row r="12387" spans="26:26" x14ac:dyDescent="0.25">
      <c r="Z12387"/>
    </row>
    <row r="12388" spans="26:26" x14ac:dyDescent="0.25">
      <c r="Z12388"/>
    </row>
    <row r="12389" spans="26:26" x14ac:dyDescent="0.25">
      <c r="Z12389"/>
    </row>
    <row r="12390" spans="26:26" x14ac:dyDescent="0.25">
      <c r="Z12390"/>
    </row>
    <row r="12391" spans="26:26" x14ac:dyDescent="0.25">
      <c r="Z12391"/>
    </row>
    <row r="12392" spans="26:26" x14ac:dyDescent="0.25">
      <c r="Z12392"/>
    </row>
    <row r="12393" spans="26:26" x14ac:dyDescent="0.25">
      <c r="Z12393"/>
    </row>
    <row r="12394" spans="26:26" x14ac:dyDescent="0.25">
      <c r="Z12394"/>
    </row>
    <row r="12395" spans="26:26" x14ac:dyDescent="0.25">
      <c r="Z12395"/>
    </row>
    <row r="12396" spans="26:26" x14ac:dyDescent="0.25">
      <c r="Z12396"/>
    </row>
    <row r="12397" spans="26:26" x14ac:dyDescent="0.25">
      <c r="Z12397"/>
    </row>
    <row r="12398" spans="26:26" x14ac:dyDescent="0.25">
      <c r="Z12398"/>
    </row>
    <row r="12399" spans="26:26" x14ac:dyDescent="0.25">
      <c r="Z12399"/>
    </row>
    <row r="12400" spans="26:26" x14ac:dyDescent="0.25">
      <c r="Z12400"/>
    </row>
    <row r="12401" spans="7:26" x14ac:dyDescent="0.25">
      <c r="Z12401"/>
    </row>
    <row r="12402" spans="7:26" x14ac:dyDescent="0.25">
      <c r="Z12402"/>
    </row>
    <row r="12403" spans="7:26" x14ac:dyDescent="0.25">
      <c r="Z12403"/>
    </row>
    <row r="12404" spans="7:26" x14ac:dyDescent="0.25">
      <c r="Z12404"/>
    </row>
    <row r="12405" spans="7:26" x14ac:dyDescent="0.25">
      <c r="Z12405"/>
    </row>
    <row r="12406" spans="7:26" x14ac:dyDescent="0.25">
      <c r="Z12406"/>
    </row>
    <row r="12407" spans="7:26" x14ac:dyDescent="0.25">
      <c r="Z12407"/>
    </row>
    <row r="12408" spans="7:26" x14ac:dyDescent="0.25">
      <c r="Z12408"/>
    </row>
    <row r="12409" spans="7:26" x14ac:dyDescent="0.25">
      <c r="Z12409"/>
    </row>
    <row r="12410" spans="7:26" x14ac:dyDescent="0.25">
      <c r="Z12410"/>
    </row>
    <row r="12411" spans="7:26" x14ac:dyDescent="0.25">
      <c r="Z12411"/>
    </row>
    <row r="12412" spans="7:26" x14ac:dyDescent="0.25">
      <c r="Z12412"/>
    </row>
    <row r="12413" spans="7:26" x14ac:dyDescent="0.25">
      <c r="Z12413"/>
    </row>
    <row r="12414" spans="7:26" x14ac:dyDescent="0.25">
      <c r="Z12414"/>
    </row>
    <row r="12415" spans="7:26" x14ac:dyDescent="0.25">
      <c r="Z12415"/>
    </row>
    <row r="12416" spans="7:26" x14ac:dyDescent="0.25">
      <c r="G12416" s="6"/>
      <c r="Z12416"/>
    </row>
    <row r="12417" spans="1:33" x14ac:dyDescent="0.25">
      <c r="Z12417"/>
    </row>
    <row r="12418" spans="1:33" x14ac:dyDescent="0.25">
      <c r="Z12418"/>
    </row>
    <row r="12419" spans="1:33" x14ac:dyDescent="0.25">
      <c r="Z12419"/>
    </row>
    <row r="12420" spans="1:33" x14ac:dyDescent="0.25">
      <c r="Z12420"/>
    </row>
    <row r="12421" spans="1:33" x14ac:dyDescent="0.25">
      <c r="Z12421"/>
    </row>
    <row r="12422" spans="1:33" x14ac:dyDescent="0.25">
      <c r="Z12422"/>
    </row>
    <row r="12423" spans="1:33" x14ac:dyDescent="0.25">
      <c r="Z12423"/>
    </row>
    <row r="12424" spans="1:33" x14ac:dyDescent="0.25">
      <c r="A12424" s="6"/>
      <c r="C12424" s="6"/>
      <c r="D12424" s="6"/>
      <c r="E12424" s="6"/>
      <c r="F12424" s="6"/>
      <c r="G12424" s="6"/>
      <c r="H12424" s="6"/>
      <c r="I12424" s="6"/>
      <c r="J12424" s="6"/>
      <c r="K12424" s="6"/>
      <c r="L12424" s="6"/>
      <c r="M12424" s="6"/>
      <c r="N12424" s="6"/>
      <c r="O12424" s="6"/>
      <c r="P12424" s="6"/>
      <c r="Q12424" s="6"/>
      <c r="R12424" s="6"/>
      <c r="S12424" s="6"/>
      <c r="T12424" s="6"/>
      <c r="U12424" s="6"/>
      <c r="V12424" s="6"/>
      <c r="W12424" s="6"/>
      <c r="X12424" s="6"/>
      <c r="Y12424" s="6"/>
      <c r="Z12424" s="6"/>
      <c r="AA12424" s="6"/>
      <c r="AB12424" s="6"/>
      <c r="AC12424" s="6"/>
      <c r="AD12424" s="6"/>
      <c r="AE12424" s="6"/>
      <c r="AF12424" s="6"/>
      <c r="AG12424" s="6"/>
    </row>
    <row r="12425" spans="1:33" x14ac:dyDescent="0.25">
      <c r="Z12425"/>
    </row>
    <row r="12426" spans="1:33" x14ac:dyDescent="0.25">
      <c r="Z12426"/>
    </row>
    <row r="12427" spans="1:33" x14ac:dyDescent="0.25">
      <c r="Z12427"/>
    </row>
    <row r="12428" spans="1:33" x14ac:dyDescent="0.25">
      <c r="Z12428"/>
    </row>
    <row r="12429" spans="1:33" x14ac:dyDescent="0.25">
      <c r="Z12429"/>
    </row>
    <row r="12430" spans="1:33" x14ac:dyDescent="0.25">
      <c r="Z12430"/>
    </row>
    <row r="12431" spans="1:33" x14ac:dyDescent="0.25">
      <c r="Z12431"/>
    </row>
    <row r="12432" spans="1:33" x14ac:dyDescent="0.25">
      <c r="Z12432"/>
    </row>
    <row r="12433" spans="26:26" x14ac:dyDescent="0.25">
      <c r="Z12433"/>
    </row>
    <row r="12434" spans="26:26" x14ac:dyDescent="0.25">
      <c r="Z12434"/>
    </row>
    <row r="12435" spans="26:26" x14ac:dyDescent="0.25">
      <c r="Z12435"/>
    </row>
    <row r="12436" spans="26:26" x14ac:dyDescent="0.25">
      <c r="Z12436"/>
    </row>
    <row r="12437" spans="26:26" x14ac:dyDescent="0.25">
      <c r="Z12437"/>
    </row>
    <row r="12438" spans="26:26" x14ac:dyDescent="0.25">
      <c r="Z12438"/>
    </row>
    <row r="12439" spans="26:26" x14ac:dyDescent="0.25">
      <c r="Z12439"/>
    </row>
    <row r="12440" spans="26:26" x14ac:dyDescent="0.25">
      <c r="Z12440"/>
    </row>
    <row r="12441" spans="26:26" x14ac:dyDescent="0.25">
      <c r="Z12441"/>
    </row>
    <row r="12442" spans="26:26" x14ac:dyDescent="0.25">
      <c r="Z12442"/>
    </row>
    <row r="12443" spans="26:26" x14ac:dyDescent="0.25">
      <c r="Z12443"/>
    </row>
    <row r="12444" spans="26:26" x14ac:dyDescent="0.25">
      <c r="Z12444"/>
    </row>
    <row r="12445" spans="26:26" x14ac:dyDescent="0.25">
      <c r="Z12445"/>
    </row>
    <row r="12446" spans="26:26" x14ac:dyDescent="0.25">
      <c r="Z12446"/>
    </row>
    <row r="12447" spans="26:26" x14ac:dyDescent="0.25">
      <c r="Z12447"/>
    </row>
    <row r="12448" spans="26:26" x14ac:dyDescent="0.25">
      <c r="Z12448"/>
    </row>
    <row r="12449" spans="26:26" x14ac:dyDescent="0.25">
      <c r="Z12449"/>
    </row>
    <row r="12450" spans="26:26" x14ac:dyDescent="0.25">
      <c r="Z12450"/>
    </row>
    <row r="12451" spans="26:26" x14ac:dyDescent="0.25">
      <c r="Z12451"/>
    </row>
    <row r="12452" spans="26:26" x14ac:dyDescent="0.25">
      <c r="Z12452"/>
    </row>
    <row r="12453" spans="26:26" x14ac:dyDescent="0.25">
      <c r="Z12453"/>
    </row>
    <row r="12454" spans="26:26" x14ac:dyDescent="0.25">
      <c r="Z12454"/>
    </row>
    <row r="12455" spans="26:26" x14ac:dyDescent="0.25">
      <c r="Z12455"/>
    </row>
    <row r="12456" spans="26:26" x14ac:dyDescent="0.25">
      <c r="Z12456"/>
    </row>
    <row r="12457" spans="26:26" x14ac:dyDescent="0.25">
      <c r="Z12457"/>
    </row>
    <row r="12458" spans="26:26" x14ac:dyDescent="0.25">
      <c r="Z12458"/>
    </row>
    <row r="12459" spans="26:26" x14ac:dyDescent="0.25">
      <c r="Z12459"/>
    </row>
    <row r="12460" spans="26:26" x14ac:dyDescent="0.25">
      <c r="Z12460"/>
    </row>
    <row r="12461" spans="26:26" x14ac:dyDescent="0.25">
      <c r="Z12461"/>
    </row>
    <row r="12462" spans="26:26" x14ac:dyDescent="0.25">
      <c r="Z12462"/>
    </row>
    <row r="12463" spans="26:26" x14ac:dyDescent="0.25">
      <c r="Z12463"/>
    </row>
    <row r="12464" spans="26:26" x14ac:dyDescent="0.25">
      <c r="Z12464"/>
    </row>
    <row r="12465" spans="26:26" x14ac:dyDescent="0.25">
      <c r="Z12465"/>
    </row>
    <row r="12466" spans="26:26" x14ac:dyDescent="0.25">
      <c r="Z12466"/>
    </row>
    <row r="12467" spans="26:26" x14ac:dyDescent="0.25">
      <c r="Z12467"/>
    </row>
    <row r="12468" spans="26:26" x14ac:dyDescent="0.25">
      <c r="Z12468"/>
    </row>
    <row r="12469" spans="26:26" x14ac:dyDescent="0.25">
      <c r="Z12469"/>
    </row>
    <row r="12470" spans="26:26" x14ac:dyDescent="0.25">
      <c r="Z12470"/>
    </row>
    <row r="12471" spans="26:26" x14ac:dyDescent="0.25">
      <c r="Z12471"/>
    </row>
    <row r="12472" spans="26:26" x14ac:dyDescent="0.25">
      <c r="Z12472"/>
    </row>
    <row r="12473" spans="26:26" x14ac:dyDescent="0.25">
      <c r="Z12473"/>
    </row>
    <row r="12474" spans="26:26" x14ac:dyDescent="0.25">
      <c r="Z12474"/>
    </row>
    <row r="12475" spans="26:26" x14ac:dyDescent="0.25">
      <c r="Z12475"/>
    </row>
    <row r="12476" spans="26:26" x14ac:dyDescent="0.25">
      <c r="Z12476"/>
    </row>
    <row r="12477" spans="26:26" x14ac:dyDescent="0.25">
      <c r="Z12477"/>
    </row>
    <row r="12478" spans="26:26" x14ac:dyDescent="0.25">
      <c r="Z12478"/>
    </row>
    <row r="12479" spans="26:26" x14ac:dyDescent="0.25">
      <c r="Z12479"/>
    </row>
    <row r="12480" spans="26:26" x14ac:dyDescent="0.25">
      <c r="Z12480"/>
    </row>
    <row r="12481" spans="26:26" x14ac:dyDescent="0.25">
      <c r="Z12481"/>
    </row>
    <row r="12482" spans="26:26" x14ac:dyDescent="0.25">
      <c r="Z12482"/>
    </row>
    <row r="12483" spans="26:26" x14ac:dyDescent="0.25">
      <c r="Z12483"/>
    </row>
    <row r="12484" spans="26:26" x14ac:dyDescent="0.25">
      <c r="Z12484"/>
    </row>
    <row r="12485" spans="26:26" x14ac:dyDescent="0.25">
      <c r="Z12485"/>
    </row>
    <row r="12486" spans="26:26" x14ac:dyDescent="0.25">
      <c r="Z12486"/>
    </row>
    <row r="12487" spans="26:26" x14ac:dyDescent="0.25">
      <c r="Z12487"/>
    </row>
    <row r="12488" spans="26:26" x14ac:dyDescent="0.25">
      <c r="Z12488"/>
    </row>
    <row r="12489" spans="26:26" x14ac:dyDescent="0.25">
      <c r="Z12489"/>
    </row>
    <row r="12490" spans="26:26" x14ac:dyDescent="0.25">
      <c r="Z12490"/>
    </row>
    <row r="12491" spans="26:26" x14ac:dyDescent="0.25">
      <c r="Z12491"/>
    </row>
    <row r="12492" spans="26:26" x14ac:dyDescent="0.25">
      <c r="Z12492"/>
    </row>
    <row r="12493" spans="26:26" x14ac:dyDescent="0.25">
      <c r="Z12493"/>
    </row>
    <row r="12494" spans="26:26" x14ac:dyDescent="0.25">
      <c r="Z12494"/>
    </row>
    <row r="12495" spans="26:26" x14ac:dyDescent="0.25">
      <c r="Z12495"/>
    </row>
    <row r="12496" spans="26:26" x14ac:dyDescent="0.25">
      <c r="Z12496"/>
    </row>
    <row r="12497" spans="26:26" x14ac:dyDescent="0.25">
      <c r="Z12497"/>
    </row>
    <row r="12498" spans="26:26" x14ac:dyDescent="0.25">
      <c r="Z12498"/>
    </row>
    <row r="12499" spans="26:26" x14ac:dyDescent="0.25">
      <c r="Z12499"/>
    </row>
    <row r="12500" spans="26:26" x14ac:dyDescent="0.25">
      <c r="Z12500"/>
    </row>
    <row r="12501" spans="26:26" x14ac:dyDescent="0.25">
      <c r="Z12501"/>
    </row>
    <row r="12502" spans="26:26" x14ac:dyDescent="0.25">
      <c r="Z12502"/>
    </row>
    <row r="12503" spans="26:26" x14ac:dyDescent="0.25">
      <c r="Z12503"/>
    </row>
    <row r="12504" spans="26:26" x14ac:dyDescent="0.25">
      <c r="Z12504"/>
    </row>
    <row r="12505" spans="26:26" x14ac:dyDescent="0.25">
      <c r="Z12505"/>
    </row>
    <row r="12506" spans="26:26" x14ac:dyDescent="0.25">
      <c r="Z12506"/>
    </row>
    <row r="12507" spans="26:26" x14ac:dyDescent="0.25">
      <c r="Z12507"/>
    </row>
    <row r="12508" spans="26:26" x14ac:dyDescent="0.25">
      <c r="Z12508"/>
    </row>
    <row r="12509" spans="26:26" x14ac:dyDescent="0.25">
      <c r="Z12509"/>
    </row>
    <row r="12510" spans="26:26" x14ac:dyDescent="0.25">
      <c r="Z12510"/>
    </row>
    <row r="12511" spans="26:26" x14ac:dyDescent="0.25">
      <c r="Z12511"/>
    </row>
    <row r="12512" spans="26:26" x14ac:dyDescent="0.25">
      <c r="Z12512"/>
    </row>
    <row r="12513" spans="1:33" x14ac:dyDescent="0.25">
      <c r="Z12513"/>
    </row>
    <row r="12514" spans="1:33" x14ac:dyDescent="0.25">
      <c r="Z12514"/>
    </row>
    <row r="12515" spans="1:33" x14ac:dyDescent="0.25">
      <c r="Z12515"/>
    </row>
    <row r="12516" spans="1:33" x14ac:dyDescent="0.25">
      <c r="Z12516"/>
    </row>
    <row r="12517" spans="1:33" x14ac:dyDescent="0.25">
      <c r="Z12517"/>
    </row>
    <row r="12518" spans="1:33" x14ac:dyDescent="0.25">
      <c r="Z12518"/>
    </row>
    <row r="12519" spans="1:33" x14ac:dyDescent="0.25">
      <c r="G12519" s="6"/>
      <c r="Z12519"/>
    </row>
    <row r="12520" spans="1:33" x14ac:dyDescent="0.25">
      <c r="Z12520"/>
    </row>
    <row r="12521" spans="1:33" x14ac:dyDescent="0.25">
      <c r="Z12521"/>
    </row>
    <row r="12522" spans="1:33" x14ac:dyDescent="0.25">
      <c r="Z12522"/>
    </row>
    <row r="12523" spans="1:33" x14ac:dyDescent="0.25">
      <c r="Z12523"/>
    </row>
    <row r="12524" spans="1:33" x14ac:dyDescent="0.25">
      <c r="Z12524"/>
    </row>
    <row r="12525" spans="1:33" x14ac:dyDescent="0.25">
      <c r="Z12525"/>
    </row>
    <row r="12526" spans="1:33" x14ac:dyDescent="0.25">
      <c r="A12526" s="6"/>
      <c r="C12526" s="6"/>
      <c r="D12526" s="6"/>
      <c r="E12526" s="6"/>
      <c r="F12526" s="6"/>
      <c r="G12526" s="6"/>
      <c r="H12526" s="6"/>
      <c r="I12526" s="6"/>
      <c r="J12526" s="6"/>
      <c r="K12526" s="6"/>
      <c r="L12526" s="6"/>
      <c r="M12526" s="6"/>
      <c r="N12526" s="6"/>
      <c r="O12526" s="6"/>
      <c r="P12526" s="6"/>
      <c r="Q12526" s="6"/>
      <c r="R12526" s="6"/>
      <c r="S12526" s="6"/>
      <c r="T12526" s="6"/>
      <c r="U12526" s="6"/>
      <c r="V12526" s="6"/>
      <c r="W12526" s="6"/>
      <c r="X12526" s="6"/>
      <c r="Y12526" s="6"/>
      <c r="Z12526" s="6"/>
      <c r="AA12526" s="6"/>
      <c r="AB12526" s="6"/>
      <c r="AC12526" s="6"/>
      <c r="AD12526" s="6"/>
      <c r="AE12526" s="6"/>
      <c r="AF12526" s="6"/>
      <c r="AG12526" s="6"/>
    </row>
    <row r="12527" spans="1:33" x14ac:dyDescent="0.25">
      <c r="Z12527"/>
    </row>
    <row r="12528" spans="1:33" x14ac:dyDescent="0.25">
      <c r="Z12528"/>
    </row>
    <row r="12529" spans="26:26" x14ac:dyDescent="0.25">
      <c r="Z12529"/>
    </row>
    <row r="12530" spans="26:26" x14ac:dyDescent="0.25">
      <c r="Z12530"/>
    </row>
    <row r="12531" spans="26:26" x14ac:dyDescent="0.25">
      <c r="Z12531"/>
    </row>
    <row r="12532" spans="26:26" x14ac:dyDescent="0.25">
      <c r="Z12532"/>
    </row>
    <row r="12533" spans="26:26" x14ac:dyDescent="0.25">
      <c r="Z12533"/>
    </row>
    <row r="12534" spans="26:26" x14ac:dyDescent="0.25">
      <c r="Z12534"/>
    </row>
    <row r="12535" spans="26:26" x14ac:dyDescent="0.25">
      <c r="Z12535"/>
    </row>
    <row r="12536" spans="26:26" x14ac:dyDescent="0.25">
      <c r="Z12536"/>
    </row>
    <row r="12537" spans="26:26" x14ac:dyDescent="0.25">
      <c r="Z12537"/>
    </row>
    <row r="12538" spans="26:26" x14ac:dyDescent="0.25">
      <c r="Z12538"/>
    </row>
    <row r="12539" spans="26:26" x14ac:dyDescent="0.25">
      <c r="Z12539"/>
    </row>
    <row r="12540" spans="26:26" x14ac:dyDescent="0.25">
      <c r="Z12540"/>
    </row>
    <row r="12541" spans="26:26" x14ac:dyDescent="0.25">
      <c r="Z12541"/>
    </row>
    <row r="12542" spans="26:26" x14ac:dyDescent="0.25">
      <c r="Z12542"/>
    </row>
    <row r="12543" spans="26:26" x14ac:dyDescent="0.25">
      <c r="Z12543"/>
    </row>
    <row r="12544" spans="26:26" x14ac:dyDescent="0.25">
      <c r="Z12544"/>
    </row>
    <row r="12545" spans="26:26" x14ac:dyDescent="0.25">
      <c r="Z12545"/>
    </row>
    <row r="12546" spans="26:26" x14ac:dyDescent="0.25">
      <c r="Z12546"/>
    </row>
    <row r="12547" spans="26:26" x14ac:dyDescent="0.25">
      <c r="Z12547"/>
    </row>
    <row r="12548" spans="26:26" x14ac:dyDescent="0.25">
      <c r="Z12548"/>
    </row>
    <row r="12549" spans="26:26" x14ac:dyDescent="0.25">
      <c r="Z12549"/>
    </row>
    <row r="12550" spans="26:26" x14ac:dyDescent="0.25">
      <c r="Z12550"/>
    </row>
    <row r="12551" spans="26:26" x14ac:dyDescent="0.25">
      <c r="Z12551"/>
    </row>
    <row r="12552" spans="26:26" x14ac:dyDescent="0.25">
      <c r="Z12552"/>
    </row>
    <row r="12553" spans="26:26" x14ac:dyDescent="0.25">
      <c r="Z12553"/>
    </row>
    <row r="12554" spans="26:26" x14ac:dyDescent="0.25">
      <c r="Z12554"/>
    </row>
    <row r="12555" spans="26:26" x14ac:dyDescent="0.25">
      <c r="Z12555"/>
    </row>
    <row r="12556" spans="26:26" x14ac:dyDescent="0.25">
      <c r="Z12556"/>
    </row>
    <row r="12557" spans="26:26" x14ac:dyDescent="0.25">
      <c r="Z12557"/>
    </row>
    <row r="12558" spans="26:26" x14ac:dyDescent="0.25">
      <c r="Z12558"/>
    </row>
    <row r="12559" spans="26:26" x14ac:dyDescent="0.25">
      <c r="Z12559"/>
    </row>
    <row r="12560" spans="26:26" x14ac:dyDescent="0.25">
      <c r="Z12560"/>
    </row>
    <row r="12561" spans="26:26" x14ac:dyDescent="0.25">
      <c r="Z12561"/>
    </row>
    <row r="12562" spans="26:26" x14ac:dyDescent="0.25">
      <c r="Z12562"/>
    </row>
    <row r="12563" spans="26:26" x14ac:dyDescent="0.25">
      <c r="Z12563"/>
    </row>
    <row r="12564" spans="26:26" x14ac:dyDescent="0.25">
      <c r="Z12564"/>
    </row>
    <row r="12565" spans="26:26" x14ac:dyDescent="0.25">
      <c r="Z12565"/>
    </row>
    <row r="12566" spans="26:26" x14ac:dyDescent="0.25">
      <c r="Z12566"/>
    </row>
    <row r="12567" spans="26:26" x14ac:dyDescent="0.25">
      <c r="Z12567"/>
    </row>
    <row r="12568" spans="26:26" x14ac:dyDescent="0.25">
      <c r="Z12568"/>
    </row>
    <row r="12569" spans="26:26" x14ac:dyDescent="0.25">
      <c r="Z12569"/>
    </row>
    <row r="12570" spans="26:26" x14ac:dyDescent="0.25">
      <c r="Z12570"/>
    </row>
    <row r="12571" spans="26:26" x14ac:dyDescent="0.25">
      <c r="Z12571"/>
    </row>
    <row r="12572" spans="26:26" x14ac:dyDescent="0.25">
      <c r="Z12572"/>
    </row>
    <row r="12573" spans="26:26" x14ac:dyDescent="0.25">
      <c r="Z12573"/>
    </row>
    <row r="12574" spans="26:26" x14ac:dyDescent="0.25">
      <c r="Z12574"/>
    </row>
    <row r="12575" spans="26:26" x14ac:dyDescent="0.25">
      <c r="Z12575"/>
    </row>
    <row r="12576" spans="26:26" x14ac:dyDescent="0.25">
      <c r="Z12576"/>
    </row>
    <row r="12577" spans="26:26" x14ac:dyDescent="0.25">
      <c r="Z12577"/>
    </row>
    <row r="12578" spans="26:26" x14ac:dyDescent="0.25">
      <c r="Z12578"/>
    </row>
    <row r="12579" spans="26:26" x14ac:dyDescent="0.25">
      <c r="Z12579"/>
    </row>
    <row r="12580" spans="26:26" x14ac:dyDescent="0.25">
      <c r="Z12580"/>
    </row>
    <row r="12581" spans="26:26" x14ac:dyDescent="0.25">
      <c r="Z12581"/>
    </row>
    <row r="12582" spans="26:26" x14ac:dyDescent="0.25">
      <c r="Z12582"/>
    </row>
    <row r="12583" spans="26:26" x14ac:dyDescent="0.25">
      <c r="Z12583"/>
    </row>
    <row r="12584" spans="26:26" x14ac:dyDescent="0.25">
      <c r="Z12584"/>
    </row>
    <row r="12585" spans="26:26" x14ac:dyDescent="0.25">
      <c r="Z12585"/>
    </row>
    <row r="12586" spans="26:26" x14ac:dyDescent="0.25">
      <c r="Z12586"/>
    </row>
    <row r="12587" spans="26:26" x14ac:dyDescent="0.25">
      <c r="Z12587"/>
    </row>
    <row r="12588" spans="26:26" x14ac:dyDescent="0.25">
      <c r="Z12588"/>
    </row>
    <row r="12589" spans="26:26" x14ac:dyDescent="0.25">
      <c r="Z12589"/>
    </row>
    <row r="12590" spans="26:26" x14ac:dyDescent="0.25">
      <c r="Z12590"/>
    </row>
    <row r="12591" spans="26:26" x14ac:dyDescent="0.25">
      <c r="Z12591"/>
    </row>
    <row r="12592" spans="26:26" x14ac:dyDescent="0.25">
      <c r="Z12592"/>
    </row>
    <row r="12593" spans="26:26" x14ac:dyDescent="0.25">
      <c r="Z12593"/>
    </row>
    <row r="12594" spans="26:26" x14ac:dyDescent="0.25">
      <c r="Z12594"/>
    </row>
    <row r="12595" spans="26:26" x14ac:dyDescent="0.25">
      <c r="Z12595"/>
    </row>
    <row r="12596" spans="26:26" x14ac:dyDescent="0.25">
      <c r="Z12596"/>
    </row>
    <row r="12597" spans="26:26" x14ac:dyDescent="0.25">
      <c r="Z12597"/>
    </row>
    <row r="12598" spans="26:26" x14ac:dyDescent="0.25">
      <c r="Z12598"/>
    </row>
    <row r="12599" spans="26:26" x14ac:dyDescent="0.25">
      <c r="Z12599"/>
    </row>
    <row r="12600" spans="26:26" x14ac:dyDescent="0.25">
      <c r="Z12600"/>
    </row>
    <row r="12601" spans="26:26" x14ac:dyDescent="0.25">
      <c r="Z12601"/>
    </row>
    <row r="12602" spans="26:26" x14ac:dyDescent="0.25">
      <c r="Z12602"/>
    </row>
    <row r="12603" spans="26:26" x14ac:dyDescent="0.25">
      <c r="Z12603"/>
    </row>
    <row r="12604" spans="26:26" x14ac:dyDescent="0.25">
      <c r="Z12604"/>
    </row>
    <row r="12605" spans="26:26" x14ac:dyDescent="0.25">
      <c r="Z12605"/>
    </row>
    <row r="12606" spans="26:26" x14ac:dyDescent="0.25">
      <c r="Z12606"/>
    </row>
    <row r="12607" spans="26:26" x14ac:dyDescent="0.25">
      <c r="Z12607"/>
    </row>
    <row r="12608" spans="26:26" x14ac:dyDescent="0.25">
      <c r="Z12608"/>
    </row>
    <row r="12609" spans="7:26" x14ac:dyDescent="0.25">
      <c r="Z12609"/>
    </row>
    <row r="12610" spans="7:26" x14ac:dyDescent="0.25">
      <c r="Z12610"/>
    </row>
    <row r="12611" spans="7:26" x14ac:dyDescent="0.25">
      <c r="Z12611"/>
    </row>
    <row r="12612" spans="7:26" x14ac:dyDescent="0.25">
      <c r="Z12612"/>
    </row>
    <row r="12613" spans="7:26" x14ac:dyDescent="0.25">
      <c r="Z12613"/>
    </row>
    <row r="12614" spans="7:26" x14ac:dyDescent="0.25">
      <c r="Z12614"/>
    </row>
    <row r="12615" spans="7:26" x14ac:dyDescent="0.25">
      <c r="Z12615"/>
    </row>
    <row r="12616" spans="7:26" x14ac:dyDescent="0.25">
      <c r="Z12616"/>
    </row>
    <row r="12617" spans="7:26" x14ac:dyDescent="0.25">
      <c r="Z12617"/>
    </row>
    <row r="12618" spans="7:26" x14ac:dyDescent="0.25">
      <c r="Z12618"/>
    </row>
    <row r="12619" spans="7:26" x14ac:dyDescent="0.25">
      <c r="Z12619"/>
    </row>
    <row r="12620" spans="7:26" x14ac:dyDescent="0.25">
      <c r="Z12620"/>
    </row>
    <row r="12621" spans="7:26" x14ac:dyDescent="0.25">
      <c r="Z12621"/>
    </row>
    <row r="12622" spans="7:26" x14ac:dyDescent="0.25">
      <c r="G12622" s="6"/>
      <c r="Z12622"/>
    </row>
    <row r="12623" spans="7:26" x14ac:dyDescent="0.25">
      <c r="Z12623"/>
    </row>
    <row r="12624" spans="7:26" x14ac:dyDescent="0.25">
      <c r="Z12624"/>
    </row>
    <row r="12625" spans="1:33" x14ac:dyDescent="0.25">
      <c r="Z12625"/>
    </row>
    <row r="12626" spans="1:33" x14ac:dyDescent="0.25">
      <c r="Z12626"/>
    </row>
    <row r="12627" spans="1:33" x14ac:dyDescent="0.25">
      <c r="Z12627"/>
    </row>
    <row r="12628" spans="1:33" x14ac:dyDescent="0.25">
      <c r="A12628" s="6"/>
      <c r="C12628" s="6"/>
      <c r="D12628" s="6"/>
      <c r="E12628" s="6"/>
      <c r="F12628" s="6"/>
      <c r="G12628" s="6"/>
      <c r="H12628" s="6"/>
      <c r="I12628" s="6"/>
      <c r="J12628" s="6"/>
      <c r="K12628" s="6"/>
      <c r="L12628" s="6"/>
      <c r="M12628" s="6"/>
      <c r="N12628" s="6"/>
      <c r="O12628" s="6"/>
      <c r="P12628" s="6"/>
      <c r="Q12628" s="6"/>
      <c r="R12628" s="6"/>
      <c r="S12628" s="6"/>
      <c r="T12628" s="6"/>
      <c r="U12628" s="6"/>
      <c r="V12628" s="6"/>
      <c r="W12628" s="6"/>
      <c r="X12628" s="6"/>
      <c r="Y12628" s="6"/>
      <c r="Z12628" s="6"/>
      <c r="AA12628" s="6"/>
      <c r="AB12628" s="6"/>
      <c r="AC12628" s="6"/>
      <c r="AD12628" s="6"/>
      <c r="AE12628" s="6"/>
      <c r="AF12628" s="6"/>
      <c r="AG12628" s="6"/>
    </row>
    <row r="12629" spans="1:33" x14ac:dyDescent="0.25">
      <c r="Z12629"/>
    </row>
    <row r="12630" spans="1:33" x14ac:dyDescent="0.25">
      <c r="Z12630"/>
    </row>
    <row r="12631" spans="1:33" x14ac:dyDescent="0.25">
      <c r="Z12631"/>
    </row>
    <row r="12632" spans="1:33" x14ac:dyDescent="0.25">
      <c r="Z12632"/>
    </row>
    <row r="12633" spans="1:33" x14ac:dyDescent="0.25">
      <c r="Z12633"/>
    </row>
    <row r="12634" spans="1:33" x14ac:dyDescent="0.25">
      <c r="Z12634"/>
    </row>
    <row r="12635" spans="1:33" x14ac:dyDescent="0.25">
      <c r="Z12635"/>
    </row>
    <row r="12636" spans="1:33" x14ac:dyDescent="0.25">
      <c r="Z12636"/>
    </row>
    <row r="12637" spans="1:33" x14ac:dyDescent="0.25">
      <c r="Z12637"/>
    </row>
    <row r="12638" spans="1:33" x14ac:dyDescent="0.25">
      <c r="Z12638"/>
    </row>
    <row r="12639" spans="1:33" x14ac:dyDescent="0.25">
      <c r="Z12639"/>
    </row>
    <row r="12640" spans="1:33" x14ac:dyDescent="0.25">
      <c r="Z12640"/>
    </row>
    <row r="12641" spans="26:26" x14ac:dyDescent="0.25">
      <c r="Z12641"/>
    </row>
    <row r="12642" spans="26:26" x14ac:dyDescent="0.25">
      <c r="Z12642"/>
    </row>
    <row r="12643" spans="26:26" x14ac:dyDescent="0.25">
      <c r="Z12643"/>
    </row>
    <row r="12644" spans="26:26" x14ac:dyDescent="0.25">
      <c r="Z12644"/>
    </row>
    <row r="12645" spans="26:26" x14ac:dyDescent="0.25">
      <c r="Z12645"/>
    </row>
    <row r="12646" spans="26:26" x14ac:dyDescent="0.25">
      <c r="Z12646"/>
    </row>
    <row r="12647" spans="26:26" x14ac:dyDescent="0.25">
      <c r="Z12647"/>
    </row>
    <row r="12648" spans="26:26" x14ac:dyDescent="0.25">
      <c r="Z12648"/>
    </row>
    <row r="12649" spans="26:26" x14ac:dyDescent="0.25">
      <c r="Z12649"/>
    </row>
    <row r="12650" spans="26:26" x14ac:dyDescent="0.25">
      <c r="Z12650"/>
    </row>
    <row r="12651" spans="26:26" x14ac:dyDescent="0.25">
      <c r="Z12651"/>
    </row>
    <row r="12652" spans="26:26" x14ac:dyDescent="0.25">
      <c r="Z12652"/>
    </row>
    <row r="12653" spans="26:26" x14ac:dyDescent="0.25">
      <c r="Z12653"/>
    </row>
    <row r="12654" spans="26:26" x14ac:dyDescent="0.25">
      <c r="Z12654"/>
    </row>
    <row r="12655" spans="26:26" x14ac:dyDescent="0.25">
      <c r="Z12655"/>
    </row>
    <row r="12656" spans="26:26" x14ac:dyDescent="0.25">
      <c r="Z12656"/>
    </row>
    <row r="12657" spans="26:26" x14ac:dyDescent="0.25">
      <c r="Z12657"/>
    </row>
    <row r="12658" spans="26:26" x14ac:dyDescent="0.25">
      <c r="Z12658"/>
    </row>
    <row r="12659" spans="26:26" x14ac:dyDescent="0.25">
      <c r="Z12659"/>
    </row>
    <row r="12660" spans="26:26" x14ac:dyDescent="0.25">
      <c r="Z12660"/>
    </row>
    <row r="12661" spans="26:26" x14ac:dyDescent="0.25">
      <c r="Z12661"/>
    </row>
    <row r="12662" spans="26:26" x14ac:dyDescent="0.25">
      <c r="Z12662"/>
    </row>
    <row r="12663" spans="26:26" x14ac:dyDescent="0.25">
      <c r="Z12663"/>
    </row>
    <row r="12664" spans="26:26" x14ac:dyDescent="0.25">
      <c r="Z12664"/>
    </row>
    <row r="12665" spans="26:26" x14ac:dyDescent="0.25">
      <c r="Z12665"/>
    </row>
    <row r="12666" spans="26:26" x14ac:dyDescent="0.25">
      <c r="Z12666"/>
    </row>
    <row r="12667" spans="26:26" x14ac:dyDescent="0.25">
      <c r="Z12667"/>
    </row>
    <row r="12668" spans="26:26" x14ac:dyDescent="0.25">
      <c r="Z12668"/>
    </row>
    <row r="12669" spans="26:26" x14ac:dyDescent="0.25">
      <c r="Z12669"/>
    </row>
    <row r="12670" spans="26:26" x14ac:dyDescent="0.25">
      <c r="Z12670"/>
    </row>
    <row r="12671" spans="26:26" x14ac:dyDescent="0.25">
      <c r="Z12671"/>
    </row>
    <row r="12672" spans="26:26" x14ac:dyDescent="0.25">
      <c r="Z12672"/>
    </row>
    <row r="12673" spans="26:26" x14ac:dyDescent="0.25">
      <c r="Z12673"/>
    </row>
    <row r="12674" spans="26:26" x14ac:dyDescent="0.25">
      <c r="Z12674"/>
    </row>
    <row r="12675" spans="26:26" x14ac:dyDescent="0.25">
      <c r="Z12675"/>
    </row>
    <row r="12676" spans="26:26" x14ac:dyDescent="0.25">
      <c r="Z12676"/>
    </row>
    <row r="12677" spans="26:26" x14ac:dyDescent="0.25">
      <c r="Z12677"/>
    </row>
    <row r="12678" spans="26:26" x14ac:dyDescent="0.25">
      <c r="Z12678"/>
    </row>
    <row r="12679" spans="26:26" x14ac:dyDescent="0.25">
      <c r="Z12679"/>
    </row>
    <row r="12680" spans="26:26" x14ac:dyDescent="0.25">
      <c r="Z12680"/>
    </row>
    <row r="12681" spans="26:26" x14ac:dyDescent="0.25">
      <c r="Z12681"/>
    </row>
    <row r="12682" spans="26:26" x14ac:dyDescent="0.25">
      <c r="Z12682"/>
    </row>
    <row r="12683" spans="26:26" x14ac:dyDescent="0.25">
      <c r="Z12683"/>
    </row>
    <row r="12684" spans="26:26" x14ac:dyDescent="0.25">
      <c r="Z12684"/>
    </row>
    <row r="12685" spans="26:26" x14ac:dyDescent="0.25">
      <c r="Z12685"/>
    </row>
    <row r="12686" spans="26:26" x14ac:dyDescent="0.25">
      <c r="Z12686"/>
    </row>
    <row r="12687" spans="26:26" x14ac:dyDescent="0.25">
      <c r="Z12687"/>
    </row>
    <row r="12688" spans="26:26" x14ac:dyDescent="0.25">
      <c r="Z12688"/>
    </row>
    <row r="12689" spans="26:26" x14ac:dyDescent="0.25">
      <c r="Z12689"/>
    </row>
    <row r="12690" spans="26:26" x14ac:dyDescent="0.25">
      <c r="Z12690"/>
    </row>
    <row r="12691" spans="26:26" x14ac:dyDescent="0.25">
      <c r="Z12691"/>
    </row>
    <row r="12692" spans="26:26" x14ac:dyDescent="0.25">
      <c r="Z12692"/>
    </row>
    <row r="12693" spans="26:26" x14ac:dyDescent="0.25">
      <c r="Z12693"/>
    </row>
    <row r="12694" spans="26:26" x14ac:dyDescent="0.25">
      <c r="Z12694"/>
    </row>
    <row r="12695" spans="26:26" x14ac:dyDescent="0.25">
      <c r="Z12695"/>
    </row>
    <row r="12696" spans="26:26" x14ac:dyDescent="0.25">
      <c r="Z12696"/>
    </row>
    <row r="12697" spans="26:26" x14ac:dyDescent="0.25">
      <c r="Z12697"/>
    </row>
    <row r="12698" spans="26:26" x14ac:dyDescent="0.25">
      <c r="Z12698"/>
    </row>
    <row r="12699" spans="26:26" x14ac:dyDescent="0.25">
      <c r="Z12699"/>
    </row>
    <row r="12700" spans="26:26" x14ac:dyDescent="0.25">
      <c r="Z12700"/>
    </row>
    <row r="12701" spans="26:26" x14ac:dyDescent="0.25">
      <c r="Z12701"/>
    </row>
    <row r="12702" spans="26:26" x14ac:dyDescent="0.25">
      <c r="Z12702"/>
    </row>
    <row r="12703" spans="26:26" x14ac:dyDescent="0.25">
      <c r="Z12703"/>
    </row>
    <row r="12704" spans="26:26" x14ac:dyDescent="0.25">
      <c r="Z12704"/>
    </row>
    <row r="12705" spans="26:26" x14ac:dyDescent="0.25">
      <c r="Z12705"/>
    </row>
    <row r="12706" spans="26:26" x14ac:dyDescent="0.25">
      <c r="Z12706"/>
    </row>
    <row r="12707" spans="26:26" x14ac:dyDescent="0.25">
      <c r="Z12707"/>
    </row>
    <row r="12708" spans="26:26" x14ac:dyDescent="0.25">
      <c r="Z12708"/>
    </row>
    <row r="12709" spans="26:26" x14ac:dyDescent="0.25">
      <c r="Z12709"/>
    </row>
    <row r="12710" spans="26:26" x14ac:dyDescent="0.25">
      <c r="Z12710"/>
    </row>
    <row r="12711" spans="26:26" x14ac:dyDescent="0.25">
      <c r="Z12711"/>
    </row>
    <row r="12712" spans="26:26" x14ac:dyDescent="0.25">
      <c r="Z12712"/>
    </row>
    <row r="12713" spans="26:26" x14ac:dyDescent="0.25">
      <c r="Z12713"/>
    </row>
    <row r="12714" spans="26:26" x14ac:dyDescent="0.25">
      <c r="Z12714"/>
    </row>
    <row r="12715" spans="26:26" x14ac:dyDescent="0.25">
      <c r="Z12715"/>
    </row>
    <row r="12716" spans="26:26" x14ac:dyDescent="0.25">
      <c r="Z12716"/>
    </row>
    <row r="12717" spans="26:26" x14ac:dyDescent="0.25">
      <c r="Z12717"/>
    </row>
    <row r="12718" spans="26:26" x14ac:dyDescent="0.25">
      <c r="Z12718"/>
    </row>
    <row r="12719" spans="26:26" x14ac:dyDescent="0.25">
      <c r="Z12719"/>
    </row>
    <row r="12720" spans="26:26" x14ac:dyDescent="0.25">
      <c r="Z12720"/>
    </row>
    <row r="12721" spans="1:33" x14ac:dyDescent="0.25">
      <c r="Z12721"/>
    </row>
    <row r="12722" spans="1:33" x14ac:dyDescent="0.25">
      <c r="Z12722"/>
    </row>
    <row r="12723" spans="1:33" x14ac:dyDescent="0.25">
      <c r="Z12723"/>
    </row>
    <row r="12724" spans="1:33" x14ac:dyDescent="0.25">
      <c r="Z12724"/>
    </row>
    <row r="12725" spans="1:33" x14ac:dyDescent="0.25">
      <c r="G12725" s="6"/>
      <c r="Z12725"/>
    </row>
    <row r="12726" spans="1:33" x14ac:dyDescent="0.25">
      <c r="Z12726"/>
    </row>
    <row r="12727" spans="1:33" x14ac:dyDescent="0.25">
      <c r="Z12727"/>
    </row>
    <row r="12728" spans="1:33" x14ac:dyDescent="0.25">
      <c r="Z12728"/>
    </row>
    <row r="12729" spans="1:33" x14ac:dyDescent="0.25">
      <c r="Z12729"/>
    </row>
    <row r="12730" spans="1:33" x14ac:dyDescent="0.25">
      <c r="A12730" s="6"/>
      <c r="C12730" s="6"/>
      <c r="D12730" s="6"/>
      <c r="E12730" s="6"/>
      <c r="F12730" s="6"/>
      <c r="G12730" s="6"/>
      <c r="H12730" s="6"/>
      <c r="I12730" s="6"/>
      <c r="J12730" s="6"/>
      <c r="K12730" s="6"/>
      <c r="L12730" s="6"/>
      <c r="M12730" s="6"/>
      <c r="N12730" s="6"/>
      <c r="O12730" s="6"/>
      <c r="P12730" s="6"/>
      <c r="Q12730" s="6"/>
      <c r="R12730" s="6"/>
      <c r="S12730" s="6"/>
      <c r="T12730" s="6"/>
      <c r="U12730" s="6"/>
      <c r="V12730" s="6"/>
      <c r="W12730" s="6"/>
      <c r="X12730" s="6"/>
      <c r="Y12730" s="6"/>
      <c r="Z12730" s="6"/>
      <c r="AA12730" s="6"/>
      <c r="AB12730" s="6"/>
      <c r="AC12730" s="6"/>
      <c r="AD12730" s="6"/>
      <c r="AE12730" s="6"/>
      <c r="AF12730" s="6"/>
      <c r="AG12730" s="6"/>
    </row>
    <row r="12731" spans="1:33" x14ac:dyDescent="0.25">
      <c r="Z12731"/>
    </row>
    <row r="12732" spans="1:33" x14ac:dyDescent="0.25">
      <c r="Z12732"/>
    </row>
    <row r="12733" spans="1:33" x14ac:dyDescent="0.25">
      <c r="Z12733"/>
    </row>
    <row r="12734" spans="1:33" x14ac:dyDescent="0.25">
      <c r="Z12734"/>
    </row>
    <row r="12735" spans="1:33" x14ac:dyDescent="0.25">
      <c r="Z12735"/>
    </row>
    <row r="12736" spans="1:33" x14ac:dyDescent="0.25">
      <c r="Z12736"/>
    </row>
    <row r="12737" spans="26:26" x14ac:dyDescent="0.25">
      <c r="Z12737"/>
    </row>
    <row r="12738" spans="26:26" x14ac:dyDescent="0.25">
      <c r="Z12738"/>
    </row>
    <row r="12739" spans="26:26" x14ac:dyDescent="0.25">
      <c r="Z12739"/>
    </row>
    <row r="12740" spans="26:26" x14ac:dyDescent="0.25">
      <c r="Z12740"/>
    </row>
    <row r="12741" spans="26:26" x14ac:dyDescent="0.25">
      <c r="Z12741"/>
    </row>
    <row r="12742" spans="26:26" x14ac:dyDescent="0.25">
      <c r="Z12742"/>
    </row>
    <row r="12743" spans="26:26" x14ac:dyDescent="0.25">
      <c r="Z12743"/>
    </row>
    <row r="12744" spans="26:26" x14ac:dyDescent="0.25">
      <c r="Z12744"/>
    </row>
    <row r="12745" spans="26:26" x14ac:dyDescent="0.25">
      <c r="Z12745"/>
    </row>
    <row r="12746" spans="26:26" x14ac:dyDescent="0.25">
      <c r="Z12746"/>
    </row>
    <row r="12747" spans="26:26" x14ac:dyDescent="0.25">
      <c r="Z12747"/>
    </row>
    <row r="12748" spans="26:26" x14ac:dyDescent="0.25">
      <c r="Z12748"/>
    </row>
    <row r="12749" spans="26:26" x14ac:dyDescent="0.25">
      <c r="Z12749"/>
    </row>
    <row r="12750" spans="26:26" x14ac:dyDescent="0.25">
      <c r="Z12750"/>
    </row>
    <row r="12751" spans="26:26" x14ac:dyDescent="0.25">
      <c r="Z12751"/>
    </row>
    <row r="12752" spans="26:26" x14ac:dyDescent="0.25">
      <c r="Z12752"/>
    </row>
    <row r="12753" spans="26:26" x14ac:dyDescent="0.25">
      <c r="Z12753"/>
    </row>
    <row r="12754" spans="26:26" x14ac:dyDescent="0.25">
      <c r="Z12754"/>
    </row>
    <row r="12755" spans="26:26" x14ac:dyDescent="0.25">
      <c r="Z12755"/>
    </row>
    <row r="12756" spans="26:26" x14ac:dyDescent="0.25">
      <c r="Z12756"/>
    </row>
    <row r="12757" spans="26:26" x14ac:dyDescent="0.25">
      <c r="Z12757"/>
    </row>
    <row r="12758" spans="26:26" x14ac:dyDescent="0.25">
      <c r="Z12758"/>
    </row>
    <row r="12759" spans="26:26" x14ac:dyDescent="0.25">
      <c r="Z12759"/>
    </row>
    <row r="12760" spans="26:26" x14ac:dyDescent="0.25">
      <c r="Z12760"/>
    </row>
    <row r="12761" spans="26:26" x14ac:dyDescent="0.25">
      <c r="Z12761"/>
    </row>
    <row r="12762" spans="26:26" x14ac:dyDescent="0.25">
      <c r="Z12762"/>
    </row>
    <row r="12763" spans="26:26" x14ac:dyDescent="0.25">
      <c r="Z12763"/>
    </row>
    <row r="12764" spans="26:26" x14ac:dyDescent="0.25">
      <c r="Z12764"/>
    </row>
    <row r="12765" spans="26:26" x14ac:dyDescent="0.25">
      <c r="Z12765"/>
    </row>
    <row r="12766" spans="26:26" x14ac:dyDescent="0.25">
      <c r="Z12766"/>
    </row>
    <row r="12767" spans="26:26" x14ac:dyDescent="0.25">
      <c r="Z12767"/>
    </row>
    <row r="12768" spans="26:26" x14ac:dyDescent="0.25">
      <c r="Z12768"/>
    </row>
    <row r="12769" spans="26:26" x14ac:dyDescent="0.25">
      <c r="Z12769"/>
    </row>
    <row r="12770" spans="26:26" x14ac:dyDescent="0.25">
      <c r="Z12770"/>
    </row>
    <row r="12771" spans="26:26" x14ac:dyDescent="0.25">
      <c r="Z12771"/>
    </row>
    <row r="12772" spans="26:26" x14ac:dyDescent="0.25">
      <c r="Z12772"/>
    </row>
    <row r="12773" spans="26:26" x14ac:dyDescent="0.25">
      <c r="Z12773"/>
    </row>
    <row r="12774" spans="26:26" x14ac:dyDescent="0.25">
      <c r="Z12774"/>
    </row>
    <row r="12775" spans="26:26" x14ac:dyDescent="0.25">
      <c r="Z12775"/>
    </row>
    <row r="12776" spans="26:26" x14ac:dyDescent="0.25">
      <c r="Z12776"/>
    </row>
    <row r="12777" spans="26:26" x14ac:dyDescent="0.25">
      <c r="Z12777"/>
    </row>
    <row r="12778" spans="26:26" x14ac:dyDescent="0.25">
      <c r="Z12778"/>
    </row>
    <row r="12779" spans="26:26" x14ac:dyDescent="0.25">
      <c r="Z12779"/>
    </row>
    <row r="12780" spans="26:26" x14ac:dyDescent="0.25">
      <c r="Z12780"/>
    </row>
    <row r="12781" spans="26:26" x14ac:dyDescent="0.25">
      <c r="Z12781"/>
    </row>
    <row r="12782" spans="26:26" x14ac:dyDescent="0.25">
      <c r="Z12782"/>
    </row>
    <row r="12783" spans="26:26" x14ac:dyDescent="0.25">
      <c r="Z12783"/>
    </row>
    <row r="12784" spans="26:26" x14ac:dyDescent="0.25">
      <c r="Z12784"/>
    </row>
    <row r="12785" spans="26:26" x14ac:dyDescent="0.25">
      <c r="Z12785"/>
    </row>
    <row r="12786" spans="26:26" x14ac:dyDescent="0.25">
      <c r="Z12786"/>
    </row>
    <row r="12787" spans="26:26" x14ac:dyDescent="0.25">
      <c r="Z12787"/>
    </row>
    <row r="12788" spans="26:26" x14ac:dyDescent="0.25">
      <c r="Z12788"/>
    </row>
    <row r="12789" spans="26:26" x14ac:dyDescent="0.25">
      <c r="Z12789"/>
    </row>
    <row r="12790" spans="26:26" x14ac:dyDescent="0.25">
      <c r="Z12790"/>
    </row>
    <row r="12791" spans="26:26" x14ac:dyDescent="0.25">
      <c r="Z12791"/>
    </row>
    <row r="12792" spans="26:26" x14ac:dyDescent="0.25">
      <c r="Z12792"/>
    </row>
    <row r="12793" spans="26:26" x14ac:dyDescent="0.25">
      <c r="Z12793"/>
    </row>
    <row r="12794" spans="26:26" x14ac:dyDescent="0.25">
      <c r="Z12794"/>
    </row>
    <row r="12795" spans="26:26" x14ac:dyDescent="0.25">
      <c r="Z12795"/>
    </row>
    <row r="12796" spans="26:26" x14ac:dyDescent="0.25">
      <c r="Z12796"/>
    </row>
    <row r="12797" spans="26:26" x14ac:dyDescent="0.25">
      <c r="Z12797"/>
    </row>
    <row r="12798" spans="26:26" x14ac:dyDescent="0.25">
      <c r="Z12798"/>
    </row>
    <row r="12799" spans="26:26" x14ac:dyDescent="0.25">
      <c r="Z12799"/>
    </row>
    <row r="12800" spans="26:26" x14ac:dyDescent="0.25">
      <c r="Z12800"/>
    </row>
    <row r="12801" spans="26:26" x14ac:dyDescent="0.25">
      <c r="Z12801"/>
    </row>
    <row r="12802" spans="26:26" x14ac:dyDescent="0.25">
      <c r="Z12802"/>
    </row>
    <row r="12803" spans="26:26" x14ac:dyDescent="0.25">
      <c r="Z12803"/>
    </row>
    <row r="12804" spans="26:26" x14ac:dyDescent="0.25">
      <c r="Z12804"/>
    </row>
    <row r="12805" spans="26:26" x14ac:dyDescent="0.25">
      <c r="Z12805"/>
    </row>
    <row r="12806" spans="26:26" x14ac:dyDescent="0.25">
      <c r="Z12806"/>
    </row>
    <row r="12807" spans="26:26" x14ac:dyDescent="0.25">
      <c r="Z12807"/>
    </row>
    <row r="12808" spans="26:26" x14ac:dyDescent="0.25">
      <c r="Z12808"/>
    </row>
    <row r="12809" spans="26:26" x14ac:dyDescent="0.25">
      <c r="Z12809"/>
    </row>
    <row r="12810" spans="26:26" x14ac:dyDescent="0.25">
      <c r="Z12810"/>
    </row>
    <row r="12811" spans="26:26" x14ac:dyDescent="0.25">
      <c r="Z12811"/>
    </row>
    <row r="12812" spans="26:26" x14ac:dyDescent="0.25">
      <c r="Z12812"/>
    </row>
    <row r="12813" spans="26:26" x14ac:dyDescent="0.25">
      <c r="Z12813"/>
    </row>
    <row r="12814" spans="26:26" x14ac:dyDescent="0.25">
      <c r="Z12814"/>
    </row>
    <row r="12815" spans="26:26" x14ac:dyDescent="0.25">
      <c r="Z12815"/>
    </row>
    <row r="12816" spans="26:26" x14ac:dyDescent="0.25">
      <c r="Z12816"/>
    </row>
    <row r="12817" spans="1:33" x14ac:dyDescent="0.25">
      <c r="Z12817"/>
    </row>
    <row r="12818" spans="1:33" x14ac:dyDescent="0.25">
      <c r="Z12818"/>
    </row>
    <row r="12819" spans="1:33" x14ac:dyDescent="0.25">
      <c r="Z12819"/>
    </row>
    <row r="12820" spans="1:33" x14ac:dyDescent="0.25">
      <c r="Z12820"/>
    </row>
    <row r="12821" spans="1:33" x14ac:dyDescent="0.25">
      <c r="Z12821"/>
    </row>
    <row r="12822" spans="1:33" x14ac:dyDescent="0.25">
      <c r="Z12822"/>
    </row>
    <row r="12823" spans="1:33" x14ac:dyDescent="0.25">
      <c r="Z12823"/>
    </row>
    <row r="12824" spans="1:33" x14ac:dyDescent="0.25">
      <c r="Z12824"/>
    </row>
    <row r="12825" spans="1:33" x14ac:dyDescent="0.25">
      <c r="Z12825"/>
    </row>
    <row r="12826" spans="1:33" x14ac:dyDescent="0.25">
      <c r="Z12826"/>
    </row>
    <row r="12827" spans="1:33" x14ac:dyDescent="0.25">
      <c r="Z12827"/>
    </row>
    <row r="12828" spans="1:33" x14ac:dyDescent="0.25">
      <c r="G12828" s="6"/>
      <c r="Z12828"/>
    </row>
    <row r="12829" spans="1:33" x14ac:dyDescent="0.25">
      <c r="Z12829"/>
    </row>
    <row r="12830" spans="1:33" x14ac:dyDescent="0.25">
      <c r="Z12830"/>
    </row>
    <row r="12831" spans="1:33" x14ac:dyDescent="0.25">
      <c r="Z12831"/>
    </row>
    <row r="12832" spans="1:33" x14ac:dyDescent="0.25">
      <c r="A12832" s="6"/>
      <c r="C12832" s="6"/>
      <c r="D12832" s="6"/>
      <c r="E12832" s="6"/>
      <c r="F12832" s="6"/>
      <c r="G12832" s="6"/>
      <c r="H12832" s="6"/>
      <c r="I12832" s="6"/>
      <c r="J12832" s="6"/>
      <c r="K12832" s="6"/>
      <c r="L12832" s="6"/>
      <c r="M12832" s="6"/>
      <c r="N12832" s="6"/>
      <c r="O12832" s="6"/>
      <c r="P12832" s="6"/>
      <c r="Q12832" s="6"/>
      <c r="R12832" s="6"/>
      <c r="S12832" s="6"/>
      <c r="T12832" s="6"/>
      <c r="U12832" s="6"/>
      <c r="V12832" s="6"/>
      <c r="W12832" s="6"/>
      <c r="X12832" s="6"/>
      <c r="Y12832" s="6"/>
      <c r="Z12832" s="6"/>
      <c r="AA12832" s="6"/>
      <c r="AB12832" s="6"/>
      <c r="AC12832" s="6"/>
      <c r="AD12832" s="6"/>
      <c r="AE12832" s="6"/>
      <c r="AF12832" s="6"/>
      <c r="AG12832" s="6"/>
    </row>
    <row r="12833" spans="26:26" x14ac:dyDescent="0.25">
      <c r="Z12833"/>
    </row>
    <row r="12834" spans="26:26" x14ac:dyDescent="0.25">
      <c r="Z12834"/>
    </row>
    <row r="12835" spans="26:26" x14ac:dyDescent="0.25">
      <c r="Z12835"/>
    </row>
    <row r="12836" spans="26:26" x14ac:dyDescent="0.25">
      <c r="Z12836"/>
    </row>
    <row r="12837" spans="26:26" x14ac:dyDescent="0.25">
      <c r="Z12837"/>
    </row>
    <row r="12838" spans="26:26" x14ac:dyDescent="0.25">
      <c r="Z12838"/>
    </row>
    <row r="12839" spans="26:26" x14ac:dyDescent="0.25">
      <c r="Z12839"/>
    </row>
    <row r="12840" spans="26:26" x14ac:dyDescent="0.25">
      <c r="Z12840"/>
    </row>
    <row r="12841" spans="26:26" x14ac:dyDescent="0.25">
      <c r="Z12841"/>
    </row>
    <row r="12842" spans="26:26" x14ac:dyDescent="0.25">
      <c r="Z12842"/>
    </row>
    <row r="12843" spans="26:26" x14ac:dyDescent="0.25">
      <c r="Z12843"/>
    </row>
    <row r="12844" spans="26:26" x14ac:dyDescent="0.25">
      <c r="Z12844"/>
    </row>
    <row r="12845" spans="26:26" x14ac:dyDescent="0.25">
      <c r="Z12845"/>
    </row>
    <row r="12846" spans="26:26" x14ac:dyDescent="0.25">
      <c r="Z12846"/>
    </row>
    <row r="12847" spans="26:26" x14ac:dyDescent="0.25">
      <c r="Z12847"/>
    </row>
    <row r="12848" spans="26:26" x14ac:dyDescent="0.25">
      <c r="Z12848"/>
    </row>
    <row r="12849" spans="26:26" x14ac:dyDescent="0.25">
      <c r="Z12849"/>
    </row>
    <row r="12850" spans="26:26" x14ac:dyDescent="0.25">
      <c r="Z12850"/>
    </row>
    <row r="12851" spans="26:26" x14ac:dyDescent="0.25">
      <c r="Z12851"/>
    </row>
    <row r="12852" spans="26:26" x14ac:dyDescent="0.25">
      <c r="Z12852"/>
    </row>
    <row r="12853" spans="26:26" x14ac:dyDescent="0.25">
      <c r="Z12853"/>
    </row>
    <row r="12854" spans="26:26" x14ac:dyDescent="0.25">
      <c r="Z12854"/>
    </row>
    <row r="12855" spans="26:26" x14ac:dyDescent="0.25">
      <c r="Z12855"/>
    </row>
    <row r="12856" spans="26:26" x14ac:dyDescent="0.25">
      <c r="Z12856"/>
    </row>
    <row r="12857" spans="26:26" x14ac:dyDescent="0.25">
      <c r="Z12857"/>
    </row>
    <row r="12858" spans="26:26" x14ac:dyDescent="0.25">
      <c r="Z12858"/>
    </row>
    <row r="12859" spans="26:26" x14ac:dyDescent="0.25">
      <c r="Z12859"/>
    </row>
    <row r="12860" spans="26:26" x14ac:dyDescent="0.25">
      <c r="Z12860"/>
    </row>
    <row r="12861" spans="26:26" x14ac:dyDescent="0.25">
      <c r="Z12861"/>
    </row>
    <row r="12862" spans="26:26" x14ac:dyDescent="0.25">
      <c r="Z12862"/>
    </row>
    <row r="12863" spans="26:26" x14ac:dyDescent="0.25">
      <c r="Z12863"/>
    </row>
    <row r="12864" spans="26:26" x14ac:dyDescent="0.25">
      <c r="Z12864"/>
    </row>
    <row r="12865" spans="26:26" x14ac:dyDescent="0.25">
      <c r="Z12865"/>
    </row>
    <row r="12866" spans="26:26" x14ac:dyDescent="0.25">
      <c r="Z12866"/>
    </row>
    <row r="12867" spans="26:26" x14ac:dyDescent="0.25">
      <c r="Z12867"/>
    </row>
    <row r="12868" spans="26:26" x14ac:dyDescent="0.25">
      <c r="Z12868"/>
    </row>
    <row r="12869" spans="26:26" x14ac:dyDescent="0.25">
      <c r="Z12869"/>
    </row>
    <row r="12870" spans="26:26" x14ac:dyDescent="0.25">
      <c r="Z12870"/>
    </row>
    <row r="12871" spans="26:26" x14ac:dyDescent="0.25">
      <c r="Z12871"/>
    </row>
    <row r="12872" spans="26:26" x14ac:dyDescent="0.25">
      <c r="Z12872"/>
    </row>
    <row r="12873" spans="26:26" x14ac:dyDescent="0.25">
      <c r="Z12873"/>
    </row>
    <row r="12874" spans="26:26" x14ac:dyDescent="0.25">
      <c r="Z12874"/>
    </row>
    <row r="12875" spans="26:26" x14ac:dyDescent="0.25">
      <c r="Z12875"/>
    </row>
    <row r="12876" spans="26:26" x14ac:dyDescent="0.25">
      <c r="Z12876"/>
    </row>
    <row r="12877" spans="26:26" x14ac:dyDescent="0.25">
      <c r="Z12877"/>
    </row>
    <row r="12878" spans="26:26" x14ac:dyDescent="0.25">
      <c r="Z12878"/>
    </row>
    <row r="12879" spans="26:26" x14ac:dyDescent="0.25">
      <c r="Z12879"/>
    </row>
    <row r="12880" spans="26:26" x14ac:dyDescent="0.25">
      <c r="Z12880"/>
    </row>
    <row r="12881" spans="26:26" x14ac:dyDescent="0.25">
      <c r="Z12881"/>
    </row>
    <row r="12882" spans="26:26" x14ac:dyDescent="0.25">
      <c r="Z12882"/>
    </row>
    <row r="12883" spans="26:26" x14ac:dyDescent="0.25">
      <c r="Z12883"/>
    </row>
    <row r="12884" spans="26:26" x14ac:dyDescent="0.25">
      <c r="Z12884"/>
    </row>
    <row r="12885" spans="26:26" x14ac:dyDescent="0.25">
      <c r="Z12885"/>
    </row>
    <row r="12886" spans="26:26" x14ac:dyDescent="0.25">
      <c r="Z12886"/>
    </row>
    <row r="12887" spans="26:26" x14ac:dyDescent="0.25">
      <c r="Z12887"/>
    </row>
    <row r="12888" spans="26:26" x14ac:dyDescent="0.25">
      <c r="Z12888"/>
    </row>
    <row r="12889" spans="26:26" x14ac:dyDescent="0.25">
      <c r="Z12889"/>
    </row>
    <row r="12890" spans="26:26" x14ac:dyDescent="0.25">
      <c r="Z12890"/>
    </row>
    <row r="12891" spans="26:26" x14ac:dyDescent="0.25">
      <c r="Z12891"/>
    </row>
    <row r="12892" spans="26:26" x14ac:dyDescent="0.25">
      <c r="Z12892"/>
    </row>
    <row r="12893" spans="26:26" x14ac:dyDescent="0.25">
      <c r="Z12893"/>
    </row>
    <row r="12894" spans="26:26" x14ac:dyDescent="0.25">
      <c r="Z12894"/>
    </row>
    <row r="12895" spans="26:26" x14ac:dyDescent="0.25">
      <c r="Z12895"/>
    </row>
    <row r="12896" spans="26:26" x14ac:dyDescent="0.25">
      <c r="Z12896"/>
    </row>
    <row r="12897" spans="26:26" x14ac:dyDescent="0.25">
      <c r="Z12897"/>
    </row>
    <row r="12898" spans="26:26" x14ac:dyDescent="0.25">
      <c r="Z12898"/>
    </row>
    <row r="12899" spans="26:26" x14ac:dyDescent="0.25">
      <c r="Z12899"/>
    </row>
    <row r="12900" spans="26:26" x14ac:dyDescent="0.25">
      <c r="Z12900"/>
    </row>
    <row r="12901" spans="26:26" x14ac:dyDescent="0.25">
      <c r="Z12901"/>
    </row>
    <row r="12902" spans="26:26" x14ac:dyDescent="0.25">
      <c r="Z12902"/>
    </row>
    <row r="12903" spans="26:26" x14ac:dyDescent="0.25">
      <c r="Z12903"/>
    </row>
    <row r="12904" spans="26:26" x14ac:dyDescent="0.25">
      <c r="Z12904"/>
    </row>
    <row r="12905" spans="26:26" x14ac:dyDescent="0.25">
      <c r="Z12905"/>
    </row>
    <row r="12906" spans="26:26" x14ac:dyDescent="0.25">
      <c r="Z12906"/>
    </row>
    <row r="12907" spans="26:26" x14ac:dyDescent="0.25">
      <c r="Z12907"/>
    </row>
    <row r="12908" spans="26:26" x14ac:dyDescent="0.25">
      <c r="Z12908"/>
    </row>
    <row r="12909" spans="26:26" x14ac:dyDescent="0.25">
      <c r="Z12909"/>
    </row>
    <row r="12910" spans="26:26" x14ac:dyDescent="0.25">
      <c r="Z12910"/>
    </row>
    <row r="12911" spans="26:26" x14ac:dyDescent="0.25">
      <c r="Z12911"/>
    </row>
    <row r="12912" spans="26:26" x14ac:dyDescent="0.25">
      <c r="Z12912"/>
    </row>
    <row r="12913" spans="12:26" x14ac:dyDescent="0.25">
      <c r="Z12913"/>
    </row>
    <row r="12914" spans="12:26" x14ac:dyDescent="0.25">
      <c r="Z12914"/>
    </row>
    <row r="12915" spans="12:26" x14ac:dyDescent="0.25">
      <c r="Z12915"/>
    </row>
    <row r="12916" spans="12:26" x14ac:dyDescent="0.25">
      <c r="L12916" s="6"/>
      <c r="Z12916"/>
    </row>
    <row r="12917" spans="12:26" x14ac:dyDescent="0.25">
      <c r="Z12917"/>
    </row>
    <row r="12918" spans="12:26" x14ac:dyDescent="0.25">
      <c r="Z12918"/>
    </row>
    <row r="12919" spans="12:26" x14ac:dyDescent="0.25">
      <c r="Z12919"/>
    </row>
    <row r="12920" spans="12:26" x14ac:dyDescent="0.25">
      <c r="Z12920"/>
    </row>
    <row r="12921" spans="12:26" x14ac:dyDescent="0.25">
      <c r="Z12921"/>
    </row>
    <row r="12922" spans="12:26" x14ac:dyDescent="0.25">
      <c r="Z12922"/>
    </row>
    <row r="12923" spans="12:26" x14ac:dyDescent="0.25">
      <c r="Z12923"/>
    </row>
    <row r="12924" spans="12:26" x14ac:dyDescent="0.25">
      <c r="Z12924"/>
    </row>
    <row r="12925" spans="12:26" x14ac:dyDescent="0.25">
      <c r="Z12925"/>
    </row>
    <row r="12926" spans="12:26" x14ac:dyDescent="0.25">
      <c r="Z12926"/>
    </row>
    <row r="12927" spans="12:26" x14ac:dyDescent="0.25">
      <c r="Z12927"/>
    </row>
    <row r="12928" spans="12:26" x14ac:dyDescent="0.25">
      <c r="Z12928"/>
    </row>
    <row r="12929" spans="1:33" x14ac:dyDescent="0.25">
      <c r="Z12929"/>
    </row>
    <row r="12930" spans="1:33" x14ac:dyDescent="0.25">
      <c r="Z12930"/>
    </row>
    <row r="12931" spans="1:33" x14ac:dyDescent="0.25">
      <c r="Z12931"/>
    </row>
    <row r="12932" spans="1:33" x14ac:dyDescent="0.25">
      <c r="Z12932"/>
    </row>
    <row r="12933" spans="1:33" x14ac:dyDescent="0.25">
      <c r="Z12933"/>
    </row>
    <row r="12934" spans="1:33" x14ac:dyDescent="0.25">
      <c r="A12934" s="6"/>
      <c r="C12934" s="6"/>
      <c r="D12934" s="6"/>
      <c r="E12934" s="6"/>
      <c r="F12934" s="6"/>
      <c r="G12934" s="6"/>
      <c r="H12934" s="6"/>
      <c r="I12934" s="6"/>
      <c r="J12934" s="6"/>
      <c r="K12934" s="6"/>
      <c r="L12934" s="6"/>
      <c r="M12934" s="6"/>
      <c r="N12934" s="6"/>
      <c r="O12934" s="6"/>
      <c r="P12934" s="6"/>
      <c r="Q12934" s="6"/>
      <c r="R12934" s="6"/>
      <c r="S12934" s="6"/>
      <c r="T12934" s="6"/>
      <c r="U12934" s="6"/>
      <c r="V12934" s="6"/>
      <c r="W12934" s="6"/>
      <c r="X12934" s="6"/>
      <c r="Y12934" s="6"/>
      <c r="Z12934" s="6"/>
      <c r="AA12934" s="6"/>
      <c r="AB12934" s="6"/>
      <c r="AC12934" s="6"/>
      <c r="AD12934" s="6"/>
      <c r="AE12934" s="6"/>
      <c r="AF12934" s="6"/>
      <c r="AG12934" s="6"/>
    </row>
    <row r="12935" spans="1:33" x14ac:dyDescent="0.25">
      <c r="Z12935"/>
    </row>
    <row r="12936" spans="1:33" x14ac:dyDescent="0.25">
      <c r="Z12936"/>
    </row>
    <row r="12937" spans="1:33" x14ac:dyDescent="0.25">
      <c r="Z12937"/>
    </row>
    <row r="12938" spans="1:33" x14ac:dyDescent="0.25">
      <c r="Z12938"/>
    </row>
    <row r="12939" spans="1:33" x14ac:dyDescent="0.25">
      <c r="Z12939"/>
    </row>
    <row r="12940" spans="1:33" x14ac:dyDescent="0.25">
      <c r="Z12940"/>
    </row>
    <row r="12941" spans="1:33" x14ac:dyDescent="0.25">
      <c r="Z12941"/>
    </row>
    <row r="12942" spans="1:33" x14ac:dyDescent="0.25">
      <c r="Z12942"/>
    </row>
    <row r="12943" spans="1:33" x14ac:dyDescent="0.25">
      <c r="Z12943"/>
    </row>
    <row r="12944" spans="1:33" x14ac:dyDescent="0.25">
      <c r="Z12944"/>
    </row>
    <row r="12945" spans="26:26" x14ac:dyDescent="0.25">
      <c r="Z12945"/>
    </row>
    <row r="12946" spans="26:26" x14ac:dyDescent="0.25">
      <c r="Z12946"/>
    </row>
    <row r="12947" spans="26:26" x14ac:dyDescent="0.25">
      <c r="Z12947"/>
    </row>
    <row r="12948" spans="26:26" x14ac:dyDescent="0.25">
      <c r="Z12948"/>
    </row>
    <row r="12949" spans="26:26" x14ac:dyDescent="0.25">
      <c r="Z12949"/>
    </row>
    <row r="12950" spans="26:26" x14ac:dyDescent="0.25">
      <c r="Z12950"/>
    </row>
    <row r="12951" spans="26:26" x14ac:dyDescent="0.25">
      <c r="Z12951"/>
    </row>
    <row r="12952" spans="26:26" x14ac:dyDescent="0.25">
      <c r="Z12952"/>
    </row>
    <row r="12953" spans="26:26" x14ac:dyDescent="0.25">
      <c r="Z12953"/>
    </row>
    <row r="12954" spans="26:26" x14ac:dyDescent="0.25">
      <c r="Z12954"/>
    </row>
    <row r="12955" spans="26:26" x14ac:dyDescent="0.25">
      <c r="Z12955"/>
    </row>
    <row r="12956" spans="26:26" x14ac:dyDescent="0.25">
      <c r="Z12956"/>
    </row>
    <row r="12957" spans="26:26" x14ac:dyDescent="0.25">
      <c r="Z12957"/>
    </row>
    <row r="12958" spans="26:26" x14ac:dyDescent="0.25">
      <c r="Z12958"/>
    </row>
    <row r="12959" spans="26:26" x14ac:dyDescent="0.25">
      <c r="Z12959"/>
    </row>
    <row r="12960" spans="26:26" x14ac:dyDescent="0.25">
      <c r="Z12960"/>
    </row>
    <row r="12961" spans="26:26" x14ac:dyDescent="0.25">
      <c r="Z12961"/>
    </row>
    <row r="12962" spans="26:26" x14ac:dyDescent="0.25">
      <c r="Z12962"/>
    </row>
    <row r="12963" spans="26:26" x14ac:dyDescent="0.25">
      <c r="Z12963"/>
    </row>
    <row r="12964" spans="26:26" x14ac:dyDescent="0.25">
      <c r="Z12964"/>
    </row>
    <row r="12965" spans="26:26" x14ac:dyDescent="0.25">
      <c r="Z12965"/>
    </row>
    <row r="12966" spans="26:26" x14ac:dyDescent="0.25">
      <c r="Z12966"/>
    </row>
    <row r="12967" spans="26:26" x14ac:dyDescent="0.25">
      <c r="Z12967"/>
    </row>
    <row r="12968" spans="26:26" x14ac:dyDescent="0.25">
      <c r="Z12968"/>
    </row>
    <row r="12969" spans="26:26" x14ac:dyDescent="0.25">
      <c r="Z12969"/>
    </row>
    <row r="12970" spans="26:26" x14ac:dyDescent="0.25">
      <c r="Z12970"/>
    </row>
    <row r="12971" spans="26:26" x14ac:dyDescent="0.25">
      <c r="Z12971"/>
    </row>
    <row r="12972" spans="26:26" x14ac:dyDescent="0.25">
      <c r="Z12972"/>
    </row>
    <row r="12973" spans="26:26" x14ac:dyDescent="0.25">
      <c r="Z12973"/>
    </row>
    <row r="12974" spans="26:26" x14ac:dyDescent="0.25">
      <c r="Z12974"/>
    </row>
    <row r="12975" spans="26:26" x14ac:dyDescent="0.25">
      <c r="Z12975"/>
    </row>
    <row r="12976" spans="26:26" x14ac:dyDescent="0.25">
      <c r="Z12976"/>
    </row>
    <row r="12977" spans="26:26" x14ac:dyDescent="0.25">
      <c r="Z12977"/>
    </row>
    <row r="12978" spans="26:26" x14ac:dyDescent="0.25">
      <c r="Z12978"/>
    </row>
    <row r="12979" spans="26:26" x14ac:dyDescent="0.25">
      <c r="Z12979"/>
    </row>
    <row r="12980" spans="26:26" x14ac:dyDescent="0.25">
      <c r="Z12980"/>
    </row>
    <row r="12981" spans="26:26" x14ac:dyDescent="0.25">
      <c r="Z12981"/>
    </row>
    <row r="12982" spans="26:26" x14ac:dyDescent="0.25">
      <c r="Z12982"/>
    </row>
    <row r="12983" spans="26:26" x14ac:dyDescent="0.25">
      <c r="Z12983"/>
    </row>
    <row r="12984" spans="26:26" x14ac:dyDescent="0.25">
      <c r="Z12984"/>
    </row>
    <row r="12985" spans="26:26" x14ac:dyDescent="0.25">
      <c r="Z12985"/>
    </row>
    <row r="12986" spans="26:26" x14ac:dyDescent="0.25">
      <c r="Z12986"/>
    </row>
    <row r="12987" spans="26:26" x14ac:dyDescent="0.25">
      <c r="Z12987"/>
    </row>
    <row r="12988" spans="26:26" x14ac:dyDescent="0.25">
      <c r="Z12988"/>
    </row>
    <row r="12989" spans="26:26" x14ac:dyDescent="0.25">
      <c r="Z12989"/>
    </row>
    <row r="12990" spans="26:26" x14ac:dyDescent="0.25">
      <c r="Z12990"/>
    </row>
    <row r="12991" spans="26:26" x14ac:dyDescent="0.25">
      <c r="Z12991"/>
    </row>
    <row r="12992" spans="26:26" x14ac:dyDescent="0.25">
      <c r="Z12992"/>
    </row>
    <row r="12993" spans="26:26" x14ac:dyDescent="0.25">
      <c r="Z12993"/>
    </row>
    <row r="12994" spans="26:26" x14ac:dyDescent="0.25">
      <c r="Z12994"/>
    </row>
    <row r="12995" spans="26:26" x14ac:dyDescent="0.25">
      <c r="Z12995"/>
    </row>
    <row r="12996" spans="26:26" x14ac:dyDescent="0.25">
      <c r="Z12996"/>
    </row>
    <row r="12997" spans="26:26" x14ac:dyDescent="0.25">
      <c r="Z12997"/>
    </row>
    <row r="12998" spans="26:26" x14ac:dyDescent="0.25">
      <c r="Z12998"/>
    </row>
    <row r="12999" spans="26:26" x14ac:dyDescent="0.25">
      <c r="Z12999"/>
    </row>
    <row r="13000" spans="26:26" x14ac:dyDescent="0.25">
      <c r="Z13000"/>
    </row>
    <row r="13001" spans="26:26" x14ac:dyDescent="0.25">
      <c r="Z13001"/>
    </row>
    <row r="13002" spans="26:26" x14ac:dyDescent="0.25">
      <c r="Z13002"/>
    </row>
    <row r="13003" spans="26:26" x14ac:dyDescent="0.25">
      <c r="Z13003"/>
    </row>
    <row r="13004" spans="26:26" x14ac:dyDescent="0.25">
      <c r="Z13004"/>
    </row>
    <row r="13005" spans="26:26" x14ac:dyDescent="0.25">
      <c r="Z13005"/>
    </row>
    <row r="13006" spans="26:26" x14ac:dyDescent="0.25">
      <c r="Z13006"/>
    </row>
    <row r="13007" spans="26:26" x14ac:dyDescent="0.25">
      <c r="Z13007"/>
    </row>
    <row r="13008" spans="26:26" x14ac:dyDescent="0.25">
      <c r="Z13008"/>
    </row>
    <row r="13009" spans="12:26" x14ac:dyDescent="0.25">
      <c r="Z13009"/>
    </row>
    <row r="13010" spans="12:26" x14ac:dyDescent="0.25">
      <c r="Z13010"/>
    </row>
    <row r="13011" spans="12:26" x14ac:dyDescent="0.25">
      <c r="Z13011"/>
    </row>
    <row r="13012" spans="12:26" x14ac:dyDescent="0.25">
      <c r="Z13012"/>
    </row>
    <row r="13013" spans="12:26" x14ac:dyDescent="0.25">
      <c r="Z13013"/>
    </row>
    <row r="13014" spans="12:26" x14ac:dyDescent="0.25">
      <c r="Z13014"/>
    </row>
    <row r="13015" spans="12:26" x14ac:dyDescent="0.25">
      <c r="Z13015"/>
    </row>
    <row r="13016" spans="12:26" x14ac:dyDescent="0.25">
      <c r="Z13016"/>
    </row>
    <row r="13017" spans="12:26" x14ac:dyDescent="0.25">
      <c r="Z13017"/>
    </row>
    <row r="13018" spans="12:26" x14ac:dyDescent="0.25">
      <c r="Z13018"/>
    </row>
    <row r="13019" spans="12:26" x14ac:dyDescent="0.25">
      <c r="L13019" s="6"/>
      <c r="Z13019"/>
    </row>
    <row r="13020" spans="12:26" x14ac:dyDescent="0.25">
      <c r="Z13020"/>
    </row>
    <row r="13021" spans="12:26" x14ac:dyDescent="0.25">
      <c r="Z13021"/>
    </row>
    <row r="13022" spans="12:26" x14ac:dyDescent="0.25">
      <c r="Z13022"/>
    </row>
    <row r="13023" spans="12:26" x14ac:dyDescent="0.25">
      <c r="Z13023"/>
    </row>
    <row r="13024" spans="12:26" x14ac:dyDescent="0.25">
      <c r="Z13024"/>
    </row>
    <row r="13025" spans="1:33" x14ac:dyDescent="0.25">
      <c r="Z13025"/>
    </row>
    <row r="13026" spans="1:33" x14ac:dyDescent="0.25">
      <c r="Z13026"/>
    </row>
    <row r="13027" spans="1:33" x14ac:dyDescent="0.25">
      <c r="Z13027"/>
    </row>
    <row r="13028" spans="1:33" x14ac:dyDescent="0.25">
      <c r="Z13028"/>
    </row>
    <row r="13029" spans="1:33" x14ac:dyDescent="0.25">
      <c r="Z13029"/>
    </row>
    <row r="13030" spans="1:33" x14ac:dyDescent="0.25">
      <c r="Z13030"/>
    </row>
    <row r="13031" spans="1:33" x14ac:dyDescent="0.25">
      <c r="Z13031"/>
    </row>
    <row r="13032" spans="1:33" x14ac:dyDescent="0.25">
      <c r="Z13032"/>
    </row>
    <row r="13033" spans="1:33" x14ac:dyDescent="0.25">
      <c r="Z13033"/>
    </row>
    <row r="13034" spans="1:33" x14ac:dyDescent="0.25">
      <c r="Z13034"/>
    </row>
    <row r="13035" spans="1:33" x14ac:dyDescent="0.25">
      <c r="Z13035"/>
    </row>
    <row r="13036" spans="1:33" x14ac:dyDescent="0.25">
      <c r="A13036" s="6"/>
      <c r="C13036" s="6"/>
      <c r="D13036" s="6"/>
      <c r="E13036" s="6"/>
      <c r="F13036" s="6"/>
      <c r="G13036" s="6"/>
      <c r="H13036" s="6"/>
      <c r="I13036" s="6"/>
      <c r="J13036" s="6"/>
      <c r="K13036" s="6"/>
      <c r="L13036" s="6"/>
      <c r="M13036" s="6"/>
      <c r="N13036" s="6"/>
      <c r="O13036" s="6"/>
      <c r="P13036" s="6"/>
      <c r="Q13036" s="6"/>
      <c r="R13036" s="6"/>
      <c r="S13036" s="6"/>
      <c r="T13036" s="6"/>
      <c r="U13036" s="6"/>
      <c r="V13036" s="6"/>
      <c r="W13036" s="6"/>
      <c r="X13036" s="6"/>
      <c r="Y13036" s="6"/>
      <c r="Z13036" s="6"/>
      <c r="AA13036" s="6"/>
      <c r="AB13036" s="6"/>
      <c r="AC13036" s="6"/>
      <c r="AD13036" s="6"/>
      <c r="AE13036" s="6"/>
      <c r="AF13036" s="6"/>
      <c r="AG13036" s="6"/>
    </row>
    <row r="13037" spans="1:33" x14ac:dyDescent="0.25">
      <c r="Z13037"/>
    </row>
    <row r="13038" spans="1:33" x14ac:dyDescent="0.25">
      <c r="Z13038"/>
    </row>
    <row r="13039" spans="1:33" x14ac:dyDescent="0.25">
      <c r="Z13039"/>
    </row>
    <row r="13040" spans="1:33" x14ac:dyDescent="0.25">
      <c r="Z13040"/>
    </row>
    <row r="13041" spans="15:26" x14ac:dyDescent="0.25">
      <c r="Z13041"/>
    </row>
    <row r="13042" spans="15:26" x14ac:dyDescent="0.25">
      <c r="Z13042"/>
    </row>
    <row r="13043" spans="15:26" x14ac:dyDescent="0.25">
      <c r="O13043" s="6"/>
      <c r="Z13043"/>
    </row>
    <row r="13044" spans="15:26" x14ac:dyDescent="0.25">
      <c r="Z13044"/>
    </row>
    <row r="13045" spans="15:26" x14ac:dyDescent="0.25">
      <c r="Z13045"/>
    </row>
    <row r="13046" spans="15:26" x14ac:dyDescent="0.25">
      <c r="Z13046"/>
    </row>
    <row r="13047" spans="15:26" x14ac:dyDescent="0.25">
      <c r="Z13047"/>
    </row>
    <row r="13048" spans="15:26" x14ac:dyDescent="0.25">
      <c r="Z13048"/>
    </row>
    <row r="13049" spans="15:26" x14ac:dyDescent="0.25">
      <c r="Z13049"/>
    </row>
    <row r="13050" spans="15:26" x14ac:dyDescent="0.25">
      <c r="Z13050"/>
    </row>
    <row r="13051" spans="15:26" x14ac:dyDescent="0.25">
      <c r="Z13051"/>
    </row>
    <row r="13052" spans="15:26" x14ac:dyDescent="0.25">
      <c r="Z13052"/>
    </row>
    <row r="13053" spans="15:26" x14ac:dyDescent="0.25">
      <c r="Z13053"/>
    </row>
    <row r="13054" spans="15:26" x14ac:dyDescent="0.25">
      <c r="Z13054"/>
    </row>
    <row r="13055" spans="15:26" x14ac:dyDescent="0.25">
      <c r="Z13055"/>
    </row>
    <row r="13056" spans="15:26" x14ac:dyDescent="0.25">
      <c r="Z13056"/>
    </row>
    <row r="13057" spans="26:26" x14ac:dyDescent="0.25">
      <c r="Z13057"/>
    </row>
    <row r="13058" spans="26:26" x14ac:dyDescent="0.25">
      <c r="Z13058"/>
    </row>
    <row r="13059" spans="26:26" x14ac:dyDescent="0.25">
      <c r="Z13059"/>
    </row>
    <row r="13060" spans="26:26" x14ac:dyDescent="0.25">
      <c r="Z13060"/>
    </row>
    <row r="13061" spans="26:26" x14ac:dyDescent="0.25">
      <c r="Z13061"/>
    </row>
    <row r="13062" spans="26:26" x14ac:dyDescent="0.25">
      <c r="Z13062"/>
    </row>
    <row r="13063" spans="26:26" x14ac:dyDescent="0.25">
      <c r="Z13063"/>
    </row>
    <row r="13064" spans="26:26" x14ac:dyDescent="0.25">
      <c r="Z13064"/>
    </row>
    <row r="13065" spans="26:26" x14ac:dyDescent="0.25">
      <c r="Z13065"/>
    </row>
    <row r="13066" spans="26:26" x14ac:dyDescent="0.25">
      <c r="Z13066"/>
    </row>
    <row r="13067" spans="26:26" x14ac:dyDescent="0.25">
      <c r="Z13067"/>
    </row>
    <row r="13068" spans="26:26" x14ac:dyDescent="0.25">
      <c r="Z13068"/>
    </row>
    <row r="13069" spans="26:26" x14ac:dyDescent="0.25">
      <c r="Z13069"/>
    </row>
    <row r="13070" spans="26:26" x14ac:dyDescent="0.25">
      <c r="Z13070"/>
    </row>
    <row r="13071" spans="26:26" x14ac:dyDescent="0.25">
      <c r="Z13071"/>
    </row>
    <row r="13072" spans="26:26" x14ac:dyDescent="0.25">
      <c r="Z13072"/>
    </row>
    <row r="13073" spans="26:26" x14ac:dyDescent="0.25">
      <c r="Z13073"/>
    </row>
    <row r="13074" spans="26:26" x14ac:dyDescent="0.25">
      <c r="Z13074"/>
    </row>
    <row r="13075" spans="26:26" x14ac:dyDescent="0.25">
      <c r="Z13075"/>
    </row>
    <row r="13076" spans="26:26" x14ac:dyDescent="0.25">
      <c r="Z13076"/>
    </row>
    <row r="13077" spans="26:26" x14ac:dyDescent="0.25">
      <c r="Z13077"/>
    </row>
    <row r="13078" spans="26:26" x14ac:dyDescent="0.25">
      <c r="Z13078"/>
    </row>
    <row r="13079" spans="26:26" x14ac:dyDescent="0.25">
      <c r="Z13079"/>
    </row>
    <row r="13080" spans="26:26" x14ac:dyDescent="0.25">
      <c r="Z13080"/>
    </row>
    <row r="13081" spans="26:26" x14ac:dyDescent="0.25">
      <c r="Z13081"/>
    </row>
    <row r="13082" spans="26:26" x14ac:dyDescent="0.25">
      <c r="Z13082"/>
    </row>
    <row r="13083" spans="26:26" x14ac:dyDescent="0.25">
      <c r="Z13083"/>
    </row>
    <row r="13084" spans="26:26" x14ac:dyDescent="0.25">
      <c r="Z13084"/>
    </row>
    <row r="13085" spans="26:26" x14ac:dyDescent="0.25">
      <c r="Z13085"/>
    </row>
    <row r="13086" spans="26:26" x14ac:dyDescent="0.25">
      <c r="Z13086"/>
    </row>
    <row r="13087" spans="26:26" x14ac:dyDescent="0.25">
      <c r="Z13087"/>
    </row>
    <row r="13088" spans="26:26" x14ac:dyDescent="0.25">
      <c r="Z13088"/>
    </row>
    <row r="13089" spans="26:26" x14ac:dyDescent="0.25">
      <c r="Z13089"/>
    </row>
    <row r="13090" spans="26:26" x14ac:dyDescent="0.25">
      <c r="Z13090"/>
    </row>
    <row r="13091" spans="26:26" x14ac:dyDescent="0.25">
      <c r="Z13091"/>
    </row>
    <row r="13092" spans="26:26" x14ac:dyDescent="0.25">
      <c r="Z13092"/>
    </row>
    <row r="13093" spans="26:26" x14ac:dyDescent="0.25">
      <c r="Z13093"/>
    </row>
    <row r="13094" spans="26:26" x14ac:dyDescent="0.25">
      <c r="Z13094"/>
    </row>
    <row r="13095" spans="26:26" x14ac:dyDescent="0.25">
      <c r="Z13095"/>
    </row>
    <row r="13096" spans="26:26" x14ac:dyDescent="0.25">
      <c r="Z13096"/>
    </row>
    <row r="13097" spans="26:26" x14ac:dyDescent="0.25">
      <c r="Z13097"/>
    </row>
    <row r="13098" spans="26:26" x14ac:dyDescent="0.25">
      <c r="Z13098"/>
    </row>
    <row r="13099" spans="26:26" x14ac:dyDescent="0.25">
      <c r="Z13099"/>
    </row>
    <row r="13100" spans="26:26" x14ac:dyDescent="0.25">
      <c r="Z13100"/>
    </row>
    <row r="13101" spans="26:26" x14ac:dyDescent="0.25">
      <c r="Z13101"/>
    </row>
    <row r="13102" spans="26:26" x14ac:dyDescent="0.25">
      <c r="Z13102"/>
    </row>
    <row r="13103" spans="26:26" x14ac:dyDescent="0.25">
      <c r="Z13103"/>
    </row>
    <row r="13104" spans="26:26" x14ac:dyDescent="0.25">
      <c r="Z13104"/>
    </row>
    <row r="13105" spans="26:26" x14ac:dyDescent="0.25">
      <c r="Z13105"/>
    </row>
    <row r="13106" spans="26:26" x14ac:dyDescent="0.25">
      <c r="Z13106"/>
    </row>
    <row r="13107" spans="26:26" x14ac:dyDescent="0.25">
      <c r="Z13107"/>
    </row>
    <row r="13108" spans="26:26" x14ac:dyDescent="0.25">
      <c r="Z13108"/>
    </row>
    <row r="13109" spans="26:26" x14ac:dyDescent="0.25">
      <c r="Z13109"/>
    </row>
    <row r="13110" spans="26:26" x14ac:dyDescent="0.25">
      <c r="Z13110"/>
    </row>
    <row r="13111" spans="26:26" x14ac:dyDescent="0.25">
      <c r="Z13111"/>
    </row>
    <row r="13112" spans="26:26" x14ac:dyDescent="0.25">
      <c r="Z13112"/>
    </row>
    <row r="13113" spans="26:26" x14ac:dyDescent="0.25">
      <c r="Z13113"/>
    </row>
    <row r="13114" spans="26:26" x14ac:dyDescent="0.25">
      <c r="Z13114"/>
    </row>
    <row r="13115" spans="26:26" x14ac:dyDescent="0.25">
      <c r="Z13115"/>
    </row>
    <row r="13116" spans="26:26" x14ac:dyDescent="0.25">
      <c r="Z13116"/>
    </row>
    <row r="13117" spans="26:26" x14ac:dyDescent="0.25">
      <c r="Z13117"/>
    </row>
    <row r="13118" spans="26:26" x14ac:dyDescent="0.25">
      <c r="Z13118"/>
    </row>
    <row r="13119" spans="26:26" x14ac:dyDescent="0.25">
      <c r="Z13119"/>
    </row>
    <row r="13120" spans="26:26" x14ac:dyDescent="0.25">
      <c r="Z13120"/>
    </row>
    <row r="13121" spans="26:26" x14ac:dyDescent="0.25">
      <c r="Z13121"/>
    </row>
    <row r="13122" spans="26:26" x14ac:dyDescent="0.25">
      <c r="Z13122"/>
    </row>
    <row r="13123" spans="26:26" x14ac:dyDescent="0.25">
      <c r="Z13123"/>
    </row>
    <row r="13124" spans="26:26" x14ac:dyDescent="0.25">
      <c r="Z13124"/>
    </row>
    <row r="13125" spans="26:26" x14ac:dyDescent="0.25">
      <c r="Z13125"/>
    </row>
    <row r="13126" spans="26:26" x14ac:dyDescent="0.25">
      <c r="Z13126"/>
    </row>
    <row r="13127" spans="26:26" x14ac:dyDescent="0.25">
      <c r="Z13127"/>
    </row>
    <row r="13128" spans="26:26" x14ac:dyDescent="0.25">
      <c r="Z13128"/>
    </row>
    <row r="13129" spans="26:26" x14ac:dyDescent="0.25">
      <c r="Z13129"/>
    </row>
    <row r="13130" spans="26:26" x14ac:dyDescent="0.25">
      <c r="Z13130"/>
    </row>
    <row r="13131" spans="26:26" x14ac:dyDescent="0.25">
      <c r="Z13131"/>
    </row>
    <row r="13132" spans="26:26" x14ac:dyDescent="0.25">
      <c r="Z13132"/>
    </row>
    <row r="13133" spans="26:26" x14ac:dyDescent="0.25">
      <c r="Z13133"/>
    </row>
    <row r="13134" spans="26:26" x14ac:dyDescent="0.25">
      <c r="Z13134"/>
    </row>
    <row r="13135" spans="26:26" x14ac:dyDescent="0.25">
      <c r="Z13135"/>
    </row>
    <row r="13136" spans="26:26" x14ac:dyDescent="0.25">
      <c r="Z13136"/>
    </row>
    <row r="13137" spans="1:33" x14ac:dyDescent="0.25">
      <c r="Z13137"/>
    </row>
    <row r="13138" spans="1:33" x14ac:dyDescent="0.25">
      <c r="A13138" s="6"/>
      <c r="C13138" s="6"/>
      <c r="D13138" s="6"/>
      <c r="E13138" s="6"/>
      <c r="F13138" s="6"/>
      <c r="G13138" s="6"/>
      <c r="H13138" s="6"/>
      <c r="I13138" s="6"/>
      <c r="J13138" s="6"/>
      <c r="K13138" s="6"/>
      <c r="L13138" s="6"/>
      <c r="M13138" s="6"/>
      <c r="N13138" s="6"/>
      <c r="O13138" s="6"/>
      <c r="P13138" s="6"/>
      <c r="Q13138" s="6"/>
      <c r="R13138" s="6"/>
      <c r="S13138" s="6"/>
      <c r="T13138" s="6"/>
      <c r="U13138" s="6"/>
      <c r="V13138" s="6"/>
      <c r="W13138" s="6"/>
      <c r="X13138" s="6"/>
      <c r="Y13138" s="6"/>
      <c r="Z13138" s="5"/>
      <c r="AA13138" s="6"/>
      <c r="AB13138" s="6"/>
      <c r="AC13138" s="6"/>
      <c r="AD13138" s="6"/>
      <c r="AE13138" s="6"/>
      <c r="AF13138" s="6"/>
      <c r="AG13138" s="6"/>
    </row>
    <row r="13241" spans="1:33" x14ac:dyDescent="0.25">
      <c r="A13241" s="6"/>
      <c r="C13241" s="6"/>
      <c r="D13241" s="6"/>
      <c r="E13241" s="6"/>
      <c r="F13241" s="6"/>
      <c r="G13241" s="6"/>
      <c r="H13241" s="6"/>
      <c r="I13241" s="6"/>
      <c r="J13241" s="6"/>
      <c r="K13241" s="6"/>
      <c r="L13241" s="6"/>
      <c r="M13241" s="6"/>
      <c r="N13241" s="6"/>
      <c r="O13241" s="6"/>
      <c r="P13241" s="6"/>
      <c r="Q13241" s="6"/>
      <c r="R13241" s="6"/>
      <c r="S13241" s="6"/>
      <c r="T13241" s="6"/>
      <c r="U13241" s="6"/>
      <c r="V13241" s="6"/>
      <c r="W13241" s="6"/>
      <c r="X13241" s="6"/>
      <c r="Y13241" s="6"/>
      <c r="Z13241" s="5"/>
      <c r="AA13241" s="6"/>
      <c r="AB13241" s="6"/>
      <c r="AC13241" s="6"/>
      <c r="AD13241" s="6"/>
      <c r="AE13241" s="6"/>
      <c r="AF13241" s="6"/>
      <c r="AG13241" s="6"/>
    </row>
  </sheetData>
  <sortState xmlns:xlrd2="http://schemas.microsoft.com/office/spreadsheetml/2017/richdata2" ref="A2:AG1338">
    <sortCondition ref="C3:C1338"/>
    <sortCondition ref="J3:J1338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14D4-CBCA-42D1-8139-BA6919F1033E}">
  <sheetPr codeName="wksDataViewer"/>
  <dimension ref="A1:AG1789"/>
  <sheetViews>
    <sheetView tabSelected="1" workbookViewId="0">
      <selection activeCell="N3" sqref="N3"/>
    </sheetView>
  </sheetViews>
  <sheetFormatPr defaultRowHeight="15" x14ac:dyDescent="0.25"/>
  <cols>
    <col min="2" max="2" width="10" bestFit="1" customWidth="1"/>
    <col min="3" max="3" width="10.28515625" hidden="1" customWidth="1"/>
    <col min="4" max="4" width="0" hidden="1" customWidth="1"/>
    <col min="28" max="28" width="9.85546875" customWidth="1"/>
    <col min="30" max="30" width="10.28515625" customWidth="1"/>
  </cols>
  <sheetData>
    <row r="1" spans="1:33" ht="112.5" customHeight="1" x14ac:dyDescent="0.25">
      <c r="A1" s="3" t="s">
        <v>0</v>
      </c>
      <c r="B1" s="4" t="s">
        <v>1</v>
      </c>
      <c r="C1" s="4" t="s">
        <v>2989</v>
      </c>
      <c r="D1" s="4" t="s">
        <v>2990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13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2988</v>
      </c>
      <c r="R1" s="4" t="s">
        <v>16</v>
      </c>
      <c r="S1" s="4" t="s">
        <v>17</v>
      </c>
      <c r="T1" s="4" t="s">
        <v>18</v>
      </c>
      <c r="U1" s="3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13" t="s">
        <v>28</v>
      </c>
      <c r="AE1" s="4" t="s">
        <v>29</v>
      </c>
      <c r="AF1" s="4" t="s">
        <v>3054</v>
      </c>
      <c r="AG1" s="4" t="s">
        <v>3038</v>
      </c>
    </row>
    <row r="2" spans="1:33" ht="7.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6"/>
      <c r="AE2" s="25"/>
      <c r="AF2" s="25"/>
      <c r="AG2" s="25"/>
    </row>
    <row r="3" spans="1:33" ht="15" customHeight="1" x14ac:dyDescent="0.25">
      <c r="A3" s="5">
        <v>23</v>
      </c>
      <c r="B3" s="38">
        <v>43984</v>
      </c>
      <c r="C3" s="38">
        <v>43973</v>
      </c>
      <c r="D3" s="38">
        <v>43959</v>
      </c>
      <c r="E3" s="34" t="s">
        <v>441</v>
      </c>
      <c r="F3" s="5">
        <v>10068</v>
      </c>
      <c r="G3" s="5"/>
      <c r="H3" s="5"/>
      <c r="I3" s="5"/>
      <c r="J3" s="21" t="s">
        <v>2994</v>
      </c>
      <c r="K3" s="21" t="s">
        <v>542</v>
      </c>
      <c r="L3" s="6" t="s">
        <v>543</v>
      </c>
      <c r="M3" s="5">
        <v>16</v>
      </c>
      <c r="N3" s="5"/>
      <c r="O3" s="5"/>
      <c r="P3" s="5"/>
      <c r="Q3" s="6" t="s">
        <v>544</v>
      </c>
      <c r="R3" s="6" t="s">
        <v>545</v>
      </c>
      <c r="S3" s="6" t="s">
        <v>544</v>
      </c>
      <c r="T3" s="6"/>
      <c r="U3" s="5" t="s">
        <v>544</v>
      </c>
      <c r="V3" s="6"/>
      <c r="W3" s="6" t="s">
        <v>546</v>
      </c>
      <c r="X3" s="6"/>
      <c r="Y3" s="22"/>
      <c r="Z3" s="6">
        <v>6.8</v>
      </c>
      <c r="AA3" s="21">
        <v>13570</v>
      </c>
      <c r="AB3" s="23">
        <v>43972</v>
      </c>
      <c r="AC3" s="21" t="s">
        <v>32</v>
      </c>
      <c r="AD3" s="24">
        <v>7668.99</v>
      </c>
      <c r="AE3" s="6" t="s">
        <v>34</v>
      </c>
      <c r="AF3" s="6"/>
      <c r="AG3" s="6" t="s">
        <v>3039</v>
      </c>
    </row>
    <row r="4" spans="1:33" ht="15" customHeight="1" x14ac:dyDescent="0.25">
      <c r="A4" s="5">
        <v>23</v>
      </c>
      <c r="B4" s="38">
        <v>43984</v>
      </c>
      <c r="C4" s="38">
        <v>44000</v>
      </c>
      <c r="D4" s="38">
        <v>44005</v>
      </c>
      <c r="E4" s="34" t="s">
        <v>441</v>
      </c>
      <c r="F4" s="5">
        <v>10069</v>
      </c>
      <c r="G4" s="5"/>
      <c r="H4" s="5"/>
      <c r="I4" s="5"/>
      <c r="J4" s="21" t="s">
        <v>2994</v>
      </c>
      <c r="K4" s="21" t="s">
        <v>547</v>
      </c>
      <c r="L4" s="6" t="s">
        <v>548</v>
      </c>
      <c r="M4" s="5">
        <v>19</v>
      </c>
      <c r="N4" s="5"/>
      <c r="O4" s="5"/>
      <c r="P4" s="5"/>
      <c r="Q4" s="6" t="s">
        <v>544</v>
      </c>
      <c r="R4" s="6" t="s">
        <v>545</v>
      </c>
      <c r="S4" s="6" t="s">
        <v>544</v>
      </c>
      <c r="T4" s="6"/>
      <c r="U4" s="5" t="s">
        <v>544</v>
      </c>
      <c r="V4" s="6"/>
      <c r="W4" s="6" t="s">
        <v>549</v>
      </c>
      <c r="X4" s="6"/>
      <c r="Y4" s="22"/>
      <c r="Z4" s="6">
        <v>7.9</v>
      </c>
      <c r="AA4" s="21">
        <v>1</v>
      </c>
      <c r="AB4" s="23">
        <v>43972</v>
      </c>
      <c r="AC4" s="21" t="s">
        <v>30</v>
      </c>
      <c r="AD4" s="24">
        <v>6354.87</v>
      </c>
      <c r="AE4" s="6" t="s">
        <v>31</v>
      </c>
      <c r="AF4" s="6"/>
      <c r="AG4" s="6" t="s">
        <v>3040</v>
      </c>
    </row>
    <row r="5" spans="1:33" ht="15" customHeight="1" x14ac:dyDescent="0.25">
      <c r="A5" s="5">
        <v>23</v>
      </c>
      <c r="B5" s="38">
        <v>43984</v>
      </c>
      <c r="C5" s="38">
        <v>43973</v>
      </c>
      <c r="D5" s="38">
        <v>43959</v>
      </c>
      <c r="E5" s="34" t="s">
        <v>441</v>
      </c>
      <c r="F5" s="5">
        <v>10070</v>
      </c>
      <c r="G5" s="5"/>
      <c r="H5" s="5"/>
      <c r="I5" s="5"/>
      <c r="J5" s="21" t="s">
        <v>2994</v>
      </c>
      <c r="K5" s="21" t="s">
        <v>550</v>
      </c>
      <c r="L5" s="6" t="s">
        <v>551</v>
      </c>
      <c r="M5" s="5">
        <v>0</v>
      </c>
      <c r="N5" s="5"/>
      <c r="O5" s="5"/>
      <c r="P5" s="5"/>
      <c r="Q5" s="6" t="s">
        <v>544</v>
      </c>
      <c r="R5" s="6" t="s">
        <v>545</v>
      </c>
      <c r="S5" s="6" t="s">
        <v>544</v>
      </c>
      <c r="T5" s="6"/>
      <c r="U5" s="5" t="s">
        <v>544</v>
      </c>
      <c r="V5" s="6"/>
      <c r="W5" s="6" t="s">
        <v>552</v>
      </c>
      <c r="X5" s="6"/>
      <c r="Y5" s="22"/>
      <c r="Z5" s="6"/>
      <c r="AA5" s="21" t="s">
        <v>553</v>
      </c>
      <c r="AB5" s="23">
        <v>43972</v>
      </c>
      <c r="AC5" s="21" t="s">
        <v>32</v>
      </c>
      <c r="AD5" s="24"/>
      <c r="AE5" s="6" t="s">
        <v>35</v>
      </c>
      <c r="AF5" s="6"/>
      <c r="AG5" s="6" t="s">
        <v>3041</v>
      </c>
    </row>
    <row r="6" spans="1:33" ht="15" customHeight="1" x14ac:dyDescent="0.25">
      <c r="A6" s="5">
        <v>23</v>
      </c>
      <c r="B6" s="38">
        <v>43984</v>
      </c>
      <c r="C6" s="38">
        <v>43973</v>
      </c>
      <c r="D6" s="38">
        <v>43959</v>
      </c>
      <c r="E6" s="34" t="s">
        <v>441</v>
      </c>
      <c r="F6" s="5">
        <v>10071</v>
      </c>
      <c r="G6" s="5"/>
      <c r="H6" s="5"/>
      <c r="I6" s="5"/>
      <c r="J6" s="21" t="s">
        <v>2994</v>
      </c>
      <c r="K6" s="21" t="s">
        <v>554</v>
      </c>
      <c r="L6" s="6" t="s">
        <v>555</v>
      </c>
      <c r="M6" s="5">
        <v>4</v>
      </c>
      <c r="N6" s="5"/>
      <c r="O6" s="5"/>
      <c r="P6" s="5"/>
      <c r="Q6" s="6" t="s">
        <v>544</v>
      </c>
      <c r="R6" s="6" t="s">
        <v>545</v>
      </c>
      <c r="S6" s="6" t="s">
        <v>544</v>
      </c>
      <c r="T6" s="6"/>
      <c r="U6" s="5" t="s">
        <v>544</v>
      </c>
      <c r="V6" s="6"/>
      <c r="W6" s="6" t="s">
        <v>556</v>
      </c>
      <c r="X6" s="6"/>
      <c r="Y6" s="22"/>
      <c r="Z6" s="6">
        <v>1.1000000000000001</v>
      </c>
      <c r="AA6" s="21">
        <v>13570</v>
      </c>
      <c r="AB6" s="23">
        <v>43972</v>
      </c>
      <c r="AC6" s="21" t="s">
        <v>32</v>
      </c>
      <c r="AD6" s="24">
        <v>715.78</v>
      </c>
      <c r="AE6" s="6" t="s">
        <v>34</v>
      </c>
      <c r="AF6" s="6"/>
      <c r="AG6" s="6" t="s">
        <v>3042</v>
      </c>
    </row>
    <row r="7" spans="1:33" ht="15" customHeight="1" x14ac:dyDescent="0.25">
      <c r="A7" s="5">
        <v>23</v>
      </c>
      <c r="B7" s="38">
        <v>43984</v>
      </c>
      <c r="C7" s="38">
        <v>43973</v>
      </c>
      <c r="D7" s="38">
        <v>43959</v>
      </c>
      <c r="E7" s="34" t="s">
        <v>441</v>
      </c>
      <c r="F7" s="5">
        <v>10072</v>
      </c>
      <c r="G7" s="5"/>
      <c r="H7" s="5"/>
      <c r="I7" s="5"/>
      <c r="J7" s="21" t="s">
        <v>2994</v>
      </c>
      <c r="K7" s="21">
        <v>256607</v>
      </c>
      <c r="L7" s="6" t="s">
        <v>152</v>
      </c>
      <c r="M7" s="5">
        <v>1</v>
      </c>
      <c r="N7" s="5"/>
      <c r="O7" s="5"/>
      <c r="P7" s="5"/>
      <c r="Q7" s="6" t="s">
        <v>544</v>
      </c>
      <c r="R7" s="6" t="s">
        <v>557</v>
      </c>
      <c r="S7" s="6" t="s">
        <v>544</v>
      </c>
      <c r="T7" s="6"/>
      <c r="U7" s="5" t="s">
        <v>544</v>
      </c>
      <c r="V7" s="6"/>
      <c r="W7" s="6" t="s">
        <v>558</v>
      </c>
      <c r="X7" s="6"/>
      <c r="Y7" s="22"/>
      <c r="Z7" s="6"/>
      <c r="AA7" s="21">
        <v>256608</v>
      </c>
      <c r="AB7" s="23">
        <v>43972</v>
      </c>
      <c r="AC7" s="21" t="s">
        <v>32</v>
      </c>
      <c r="AD7" s="24">
        <v>222.18</v>
      </c>
      <c r="AE7" s="6" t="s">
        <v>31</v>
      </c>
      <c r="AF7" s="6"/>
      <c r="AG7" s="6" t="s">
        <v>3039</v>
      </c>
    </row>
    <row r="8" spans="1:33" ht="7.5" customHeight="1" x14ac:dyDescent="0.25">
      <c r="A8" s="27"/>
      <c r="B8" s="39"/>
      <c r="C8" s="39"/>
      <c r="D8" s="39"/>
      <c r="E8" s="28"/>
      <c r="F8" s="27"/>
      <c r="G8" s="27"/>
      <c r="H8" s="27"/>
      <c r="I8" s="27"/>
      <c r="J8" s="30"/>
      <c r="K8" s="30"/>
      <c r="L8" s="29"/>
      <c r="M8" s="27"/>
      <c r="N8" s="27"/>
      <c r="O8" s="27"/>
      <c r="P8" s="27"/>
      <c r="Q8" s="29"/>
      <c r="R8" s="29"/>
      <c r="S8" s="29"/>
      <c r="T8" s="29"/>
      <c r="U8" s="27"/>
      <c r="V8" s="29"/>
      <c r="W8" s="29"/>
      <c r="X8" s="29"/>
      <c r="Y8" s="31"/>
      <c r="Z8" s="29"/>
      <c r="AA8" s="30"/>
      <c r="AB8" s="32"/>
      <c r="AC8" s="30"/>
      <c r="AD8" s="33"/>
      <c r="AE8" s="29"/>
      <c r="AF8" s="29"/>
      <c r="AG8" s="29"/>
    </row>
    <row r="9" spans="1:33" ht="15" customHeight="1" x14ac:dyDescent="0.25">
      <c r="A9" s="5">
        <v>23</v>
      </c>
      <c r="B9" s="38">
        <v>43985</v>
      </c>
      <c r="C9" s="38">
        <v>43976</v>
      </c>
      <c r="D9" s="38">
        <v>43962</v>
      </c>
      <c r="E9" s="34" t="s">
        <v>441</v>
      </c>
      <c r="F9" s="5">
        <v>10074</v>
      </c>
      <c r="G9" s="5"/>
      <c r="H9" s="5"/>
      <c r="I9" s="5"/>
      <c r="J9" s="21" t="s">
        <v>2995</v>
      </c>
      <c r="K9" s="21" t="s">
        <v>561</v>
      </c>
      <c r="L9" s="6" t="s">
        <v>562</v>
      </c>
      <c r="M9" s="5">
        <v>1</v>
      </c>
      <c r="N9" s="5"/>
      <c r="O9" s="5"/>
      <c r="P9" s="5"/>
      <c r="Q9" s="6" t="s">
        <v>544</v>
      </c>
      <c r="R9" s="6" t="s">
        <v>545</v>
      </c>
      <c r="S9" s="6" t="s">
        <v>544</v>
      </c>
      <c r="T9" s="6"/>
      <c r="U9" s="5" t="s">
        <v>544</v>
      </c>
      <c r="V9" s="6"/>
      <c r="W9" s="6" t="s">
        <v>563</v>
      </c>
      <c r="X9" s="6"/>
      <c r="Y9" s="22"/>
      <c r="Z9" s="6">
        <v>1</v>
      </c>
      <c r="AA9" s="21" t="s">
        <v>564</v>
      </c>
      <c r="AB9" s="23">
        <v>43972</v>
      </c>
      <c r="AC9" s="21" t="s">
        <v>32</v>
      </c>
      <c r="AD9" s="24">
        <v>463.21</v>
      </c>
      <c r="AE9" s="6" t="s">
        <v>36</v>
      </c>
      <c r="AF9" s="6"/>
      <c r="AG9" s="6" t="s">
        <v>3041</v>
      </c>
    </row>
    <row r="10" spans="1:33" ht="15" customHeight="1" x14ac:dyDescent="0.25">
      <c r="A10" s="5">
        <v>23</v>
      </c>
      <c r="B10" s="38">
        <v>43985</v>
      </c>
      <c r="C10" s="38">
        <v>43964</v>
      </c>
      <c r="D10" s="38">
        <v>43957</v>
      </c>
      <c r="E10" s="34">
        <v>43985</v>
      </c>
      <c r="F10" s="5">
        <v>3999</v>
      </c>
      <c r="G10" s="5"/>
      <c r="H10" s="5"/>
      <c r="I10" s="5"/>
      <c r="J10" s="21" t="s">
        <v>2996</v>
      </c>
      <c r="K10" s="21" t="s">
        <v>566</v>
      </c>
      <c r="L10" s="6" t="s">
        <v>567</v>
      </c>
      <c r="M10" s="5">
        <v>11</v>
      </c>
      <c r="N10" s="5"/>
      <c r="O10" s="5"/>
      <c r="P10" s="5"/>
      <c r="Q10" s="6"/>
      <c r="R10" s="6" t="s">
        <v>568</v>
      </c>
      <c r="S10" s="6"/>
      <c r="T10" s="6"/>
      <c r="U10" s="5"/>
      <c r="V10" s="6"/>
      <c r="W10" s="6" t="s">
        <v>569</v>
      </c>
      <c r="X10" s="6"/>
      <c r="Y10" s="22"/>
      <c r="Z10" s="6"/>
      <c r="AA10" s="21"/>
      <c r="AB10" s="23">
        <v>43958</v>
      </c>
      <c r="AC10" s="21" t="s">
        <v>30</v>
      </c>
      <c r="AD10" s="24">
        <v>4484.9399999999996</v>
      </c>
      <c r="AE10" s="6" t="s">
        <v>31</v>
      </c>
      <c r="AF10" s="6"/>
      <c r="AG10" s="6" t="s">
        <v>3042</v>
      </c>
    </row>
    <row r="11" spans="1:33" ht="15" customHeight="1" x14ac:dyDescent="0.25">
      <c r="A11" s="5">
        <v>23</v>
      </c>
      <c r="B11" s="38">
        <v>43985</v>
      </c>
      <c r="C11" s="38">
        <v>43969</v>
      </c>
      <c r="D11" s="38">
        <v>43956</v>
      </c>
      <c r="E11" s="34">
        <v>43985</v>
      </c>
      <c r="F11" s="5">
        <v>12043</v>
      </c>
      <c r="G11" s="5"/>
      <c r="H11" s="5"/>
      <c r="I11" s="5"/>
      <c r="J11" s="21" t="s">
        <v>2997</v>
      </c>
      <c r="K11" s="21" t="s">
        <v>570</v>
      </c>
      <c r="L11" s="6" t="s">
        <v>571</v>
      </c>
      <c r="M11" s="5">
        <v>18</v>
      </c>
      <c r="N11" s="5"/>
      <c r="O11" s="5"/>
      <c r="P11" s="5"/>
      <c r="Q11" s="6"/>
      <c r="R11" s="6" t="s">
        <v>545</v>
      </c>
      <c r="S11" s="6"/>
      <c r="T11" s="6"/>
      <c r="U11" s="5"/>
      <c r="V11" s="6"/>
      <c r="W11" s="6" t="s">
        <v>572</v>
      </c>
      <c r="X11" s="6"/>
      <c r="Y11" s="22"/>
      <c r="Z11" s="6"/>
      <c r="AA11" s="21"/>
      <c r="AB11" s="23">
        <v>43965</v>
      </c>
      <c r="AC11" s="21" t="s">
        <v>30</v>
      </c>
      <c r="AD11" s="24">
        <v>5019.33</v>
      </c>
      <c r="AE11" s="6" t="s">
        <v>31</v>
      </c>
      <c r="AF11" s="6"/>
      <c r="AG11" s="6" t="s">
        <v>3039</v>
      </c>
    </row>
    <row r="12" spans="1:33" ht="15" customHeight="1" x14ac:dyDescent="0.25">
      <c r="A12" s="5">
        <v>23</v>
      </c>
      <c r="B12" s="38">
        <v>43985</v>
      </c>
      <c r="C12" s="38">
        <v>43971</v>
      </c>
      <c r="D12" s="38">
        <v>43964</v>
      </c>
      <c r="E12" s="34">
        <v>43985</v>
      </c>
      <c r="F12" s="5">
        <v>5521</v>
      </c>
      <c r="G12" s="5"/>
      <c r="H12" s="5"/>
      <c r="I12" s="5"/>
      <c r="J12" s="21" t="s">
        <v>2998</v>
      </c>
      <c r="K12" s="21" t="s">
        <v>363</v>
      </c>
      <c r="L12" s="6" t="s">
        <v>578</v>
      </c>
      <c r="M12" s="5">
        <v>12</v>
      </c>
      <c r="N12" s="5"/>
      <c r="O12" s="5"/>
      <c r="P12" s="5"/>
      <c r="Q12" s="6"/>
      <c r="R12" s="6" t="s">
        <v>545</v>
      </c>
      <c r="S12" s="6"/>
      <c r="T12" s="6"/>
      <c r="U12" s="5"/>
      <c r="V12" s="6"/>
      <c r="W12" s="6" t="s">
        <v>183</v>
      </c>
      <c r="X12" s="6"/>
      <c r="Y12" s="22"/>
      <c r="Z12" s="6"/>
      <c r="AA12" s="21"/>
      <c r="AB12" s="23">
        <v>43966</v>
      </c>
      <c r="AC12" s="21" t="s">
        <v>32</v>
      </c>
      <c r="AD12" s="24">
        <v>4272.0200000000004</v>
      </c>
      <c r="AE12" s="6" t="s">
        <v>36</v>
      </c>
      <c r="AF12" s="6"/>
      <c r="AG12" s="6" t="s">
        <v>3039</v>
      </c>
    </row>
    <row r="13" spans="1:33" ht="15" customHeight="1" x14ac:dyDescent="0.25">
      <c r="A13" s="5">
        <v>23</v>
      </c>
      <c r="B13" s="38">
        <v>43985</v>
      </c>
      <c r="C13" s="38">
        <v>43971</v>
      </c>
      <c r="D13" s="38">
        <v>43964</v>
      </c>
      <c r="E13" s="34">
        <v>43985</v>
      </c>
      <c r="F13" s="5">
        <v>6675</v>
      </c>
      <c r="G13" s="5"/>
      <c r="H13" s="5"/>
      <c r="I13" s="5"/>
      <c r="J13" s="21" t="s">
        <v>2999</v>
      </c>
      <c r="K13" s="21" t="s">
        <v>415</v>
      </c>
      <c r="L13" s="6" t="s">
        <v>579</v>
      </c>
      <c r="M13" s="5">
        <v>6</v>
      </c>
      <c r="N13" s="5"/>
      <c r="O13" s="5"/>
      <c r="P13" s="5"/>
      <c r="Q13" s="6"/>
      <c r="R13" s="6" t="s">
        <v>194</v>
      </c>
      <c r="S13" s="6"/>
      <c r="T13" s="6"/>
      <c r="U13" s="5"/>
      <c r="V13" s="6"/>
      <c r="W13" s="6" t="s">
        <v>580</v>
      </c>
      <c r="X13" s="6"/>
      <c r="Y13" s="22"/>
      <c r="Z13" s="6"/>
      <c r="AA13" s="21"/>
      <c r="AB13" s="23">
        <v>43964</v>
      </c>
      <c r="AC13" s="21" t="s">
        <v>32</v>
      </c>
      <c r="AD13" s="24">
        <v>1497.95</v>
      </c>
      <c r="AE13" s="6" t="s">
        <v>31</v>
      </c>
      <c r="AF13" s="6"/>
      <c r="AG13" s="6" t="s">
        <v>3040</v>
      </c>
    </row>
    <row r="14" spans="1:33" ht="15" customHeight="1" x14ac:dyDescent="0.25">
      <c r="A14" s="5">
        <v>23</v>
      </c>
      <c r="B14" s="38">
        <v>43985</v>
      </c>
      <c r="C14" s="38">
        <v>43958</v>
      </c>
      <c r="D14" s="38">
        <v>43885</v>
      </c>
      <c r="E14" s="34">
        <v>43985</v>
      </c>
      <c r="F14" s="5">
        <v>6663</v>
      </c>
      <c r="G14" s="5"/>
      <c r="H14" s="5"/>
      <c r="I14" s="5"/>
      <c r="J14" s="21" t="s">
        <v>2999</v>
      </c>
      <c r="K14" s="21" t="s">
        <v>581</v>
      </c>
      <c r="L14" s="6" t="s">
        <v>582</v>
      </c>
      <c r="M14" s="5">
        <v>13</v>
      </c>
      <c r="N14" s="5"/>
      <c r="O14" s="5"/>
      <c r="P14" s="5"/>
      <c r="Q14" s="6"/>
      <c r="R14" s="6" t="s">
        <v>194</v>
      </c>
      <c r="S14" s="6"/>
      <c r="T14" s="6"/>
      <c r="U14" s="5"/>
      <c r="V14" s="6"/>
      <c r="W14" s="6" t="s">
        <v>583</v>
      </c>
      <c r="X14" s="6"/>
      <c r="Y14" s="22"/>
      <c r="Z14" s="6"/>
      <c r="AA14" s="21"/>
      <c r="AB14" s="23">
        <v>43889</v>
      </c>
      <c r="AC14" s="21" t="s">
        <v>32</v>
      </c>
      <c r="AD14" s="24">
        <v>10936.66</v>
      </c>
      <c r="AE14" s="6" t="s">
        <v>31</v>
      </c>
      <c r="AF14" s="6"/>
      <c r="AG14" s="6" t="s">
        <v>3041</v>
      </c>
    </row>
    <row r="15" spans="1:33" ht="15" customHeight="1" x14ac:dyDescent="0.25">
      <c r="A15" s="5">
        <v>23</v>
      </c>
      <c r="B15" s="38">
        <v>43985</v>
      </c>
      <c r="C15" s="38">
        <v>43976</v>
      </c>
      <c r="D15" s="38">
        <v>43900</v>
      </c>
      <c r="E15" s="34">
        <v>43985</v>
      </c>
      <c r="F15" s="5">
        <v>8609</v>
      </c>
      <c r="G15" s="5"/>
      <c r="H15" s="5"/>
      <c r="I15" s="5"/>
      <c r="J15" s="21" t="s">
        <v>147</v>
      </c>
      <c r="K15" s="21" t="s">
        <v>584</v>
      </c>
      <c r="L15" s="6" t="s">
        <v>585</v>
      </c>
      <c r="M15" s="5">
        <v>4</v>
      </c>
      <c r="N15" s="5"/>
      <c r="O15" s="5"/>
      <c r="P15" s="5"/>
      <c r="Q15" s="6"/>
      <c r="R15" s="6" t="s">
        <v>560</v>
      </c>
      <c r="S15" s="6"/>
      <c r="T15" s="6"/>
      <c r="U15" s="5"/>
      <c r="V15" s="6"/>
      <c r="W15" s="6" t="s">
        <v>586</v>
      </c>
      <c r="X15" s="6"/>
      <c r="Y15" s="22"/>
      <c r="Z15" s="6"/>
      <c r="AA15" s="21"/>
      <c r="AB15" s="23">
        <v>43850</v>
      </c>
      <c r="AC15" s="21" t="s">
        <v>32</v>
      </c>
      <c r="AD15" s="24">
        <v>20218.490000000002</v>
      </c>
      <c r="AE15" s="6" t="s">
        <v>37</v>
      </c>
      <c r="AF15" s="6"/>
      <c r="AG15" s="6" t="s">
        <v>3042</v>
      </c>
    </row>
    <row r="16" spans="1:33" ht="7.5" customHeight="1" x14ac:dyDescent="0.25">
      <c r="A16" s="27"/>
      <c r="B16" s="39"/>
      <c r="C16" s="39"/>
      <c r="D16" s="39"/>
      <c r="E16" s="28"/>
      <c r="F16" s="27"/>
      <c r="G16" s="27"/>
      <c r="H16" s="27"/>
      <c r="I16" s="27"/>
      <c r="J16" s="30"/>
      <c r="K16" s="30"/>
      <c r="L16" s="29"/>
      <c r="M16" s="27"/>
      <c r="N16" s="27"/>
      <c r="O16" s="27"/>
      <c r="P16" s="27"/>
      <c r="Q16" s="29"/>
      <c r="R16" s="29"/>
      <c r="S16" s="29"/>
      <c r="T16" s="29"/>
      <c r="U16" s="27"/>
      <c r="V16" s="29"/>
      <c r="W16" s="29"/>
      <c r="X16" s="29"/>
      <c r="Y16" s="31"/>
      <c r="Z16" s="29"/>
      <c r="AA16" s="30"/>
      <c r="AB16" s="32"/>
      <c r="AC16" s="30"/>
      <c r="AD16" s="33"/>
      <c r="AE16" s="29"/>
      <c r="AF16" s="29"/>
      <c r="AG16" s="29"/>
    </row>
    <row r="17" spans="1:33" ht="15" customHeight="1" x14ac:dyDescent="0.25">
      <c r="A17" s="5">
        <v>23</v>
      </c>
      <c r="B17" s="38">
        <v>43986</v>
      </c>
      <c r="C17" s="38">
        <v>43997</v>
      </c>
      <c r="D17" s="38">
        <v>44011</v>
      </c>
      <c r="E17" s="34" t="s">
        <v>2987</v>
      </c>
      <c r="F17" s="5">
        <v>5524</v>
      </c>
      <c r="G17" s="5"/>
      <c r="H17" s="5"/>
      <c r="I17" s="5"/>
      <c r="J17" s="21" t="s">
        <v>2998</v>
      </c>
      <c r="K17" s="21" t="s">
        <v>576</v>
      </c>
      <c r="L17" s="6" t="s">
        <v>577</v>
      </c>
      <c r="M17" s="5">
        <v>2</v>
      </c>
      <c r="N17" s="5"/>
      <c r="O17" s="5"/>
      <c r="P17" s="5"/>
      <c r="Q17" s="6"/>
      <c r="R17" s="6" t="s">
        <v>545</v>
      </c>
      <c r="S17" s="6"/>
      <c r="T17" s="6"/>
      <c r="U17" s="5"/>
      <c r="V17" s="6"/>
      <c r="W17" s="6" t="s">
        <v>183</v>
      </c>
      <c r="X17" s="6"/>
      <c r="Y17" s="22"/>
      <c r="Z17" s="6"/>
      <c r="AA17" s="21"/>
      <c r="AB17" s="23">
        <v>43966</v>
      </c>
      <c r="AC17" s="21" t="s">
        <v>32</v>
      </c>
      <c r="AD17" s="24"/>
      <c r="AE17" s="6" t="s">
        <v>31</v>
      </c>
      <c r="AF17" s="6"/>
      <c r="AG17" s="6" t="s">
        <v>3042</v>
      </c>
    </row>
    <row r="18" spans="1:33" ht="15" customHeight="1" x14ac:dyDescent="0.25">
      <c r="A18" s="5">
        <v>23</v>
      </c>
      <c r="B18" s="38">
        <v>43986</v>
      </c>
      <c r="C18" s="38">
        <v>43959</v>
      </c>
      <c r="D18" s="38">
        <v>43901</v>
      </c>
      <c r="E18" s="34">
        <v>43986</v>
      </c>
      <c r="F18" s="5">
        <v>3985</v>
      </c>
      <c r="G18" s="5"/>
      <c r="H18" s="5"/>
      <c r="I18" s="5"/>
      <c r="J18" s="21" t="s">
        <v>93</v>
      </c>
      <c r="K18" s="21" t="s">
        <v>587</v>
      </c>
      <c r="L18" s="6" t="s">
        <v>588</v>
      </c>
      <c r="M18" s="5">
        <v>0</v>
      </c>
      <c r="N18" s="5"/>
      <c r="O18" s="5"/>
      <c r="P18" s="5"/>
      <c r="Q18" s="6"/>
      <c r="R18" s="6" t="s">
        <v>440</v>
      </c>
      <c r="S18" s="6"/>
      <c r="T18" s="6"/>
      <c r="U18" s="5"/>
      <c r="V18" s="6"/>
      <c r="W18" s="6" t="s">
        <v>589</v>
      </c>
      <c r="X18" s="6"/>
      <c r="Y18" s="22"/>
      <c r="Z18" s="6"/>
      <c r="AA18" s="21">
        <v>10035</v>
      </c>
      <c r="AB18" s="23">
        <v>43907</v>
      </c>
      <c r="AC18" s="21" t="s">
        <v>33</v>
      </c>
      <c r="AD18" s="24"/>
      <c r="AE18" s="6" t="s">
        <v>34</v>
      </c>
      <c r="AF18" s="6"/>
      <c r="AG18" s="6" t="s">
        <v>3039</v>
      </c>
    </row>
    <row r="19" spans="1:33" ht="15" customHeight="1" x14ac:dyDescent="0.25">
      <c r="A19" s="5">
        <v>23</v>
      </c>
      <c r="B19" s="38">
        <v>43986</v>
      </c>
      <c r="C19" s="38">
        <v>43970</v>
      </c>
      <c r="D19" s="38">
        <v>43907</v>
      </c>
      <c r="E19" s="34">
        <v>43986</v>
      </c>
      <c r="F19" s="5">
        <v>7720</v>
      </c>
      <c r="G19" s="5"/>
      <c r="H19" s="5"/>
      <c r="I19" s="5"/>
      <c r="J19" s="21" t="s">
        <v>214</v>
      </c>
      <c r="K19" s="21" t="s">
        <v>590</v>
      </c>
      <c r="L19" s="6" t="s">
        <v>591</v>
      </c>
      <c r="M19" s="5">
        <v>8</v>
      </c>
      <c r="N19" s="5"/>
      <c r="O19" s="5"/>
      <c r="P19" s="5"/>
      <c r="Q19" s="6"/>
      <c r="R19" s="6" t="s">
        <v>223</v>
      </c>
      <c r="S19" s="6"/>
      <c r="T19" s="6"/>
      <c r="U19" s="5"/>
      <c r="V19" s="6"/>
      <c r="W19" s="6" t="s">
        <v>592</v>
      </c>
      <c r="X19" s="6"/>
      <c r="Y19" s="22"/>
      <c r="Z19" s="6">
        <v>4.2</v>
      </c>
      <c r="AA19" s="21" t="s">
        <v>593</v>
      </c>
      <c r="AB19" s="23">
        <v>43903</v>
      </c>
      <c r="AC19" s="21" t="s">
        <v>30</v>
      </c>
      <c r="AD19" s="24">
        <v>6677.07</v>
      </c>
      <c r="AE19" s="6" t="s">
        <v>31</v>
      </c>
      <c r="AF19" s="6"/>
      <c r="AG19" s="6" t="s">
        <v>3040</v>
      </c>
    </row>
    <row r="20" spans="1:33" ht="15" customHeight="1" x14ac:dyDescent="0.25">
      <c r="A20" s="5">
        <v>23</v>
      </c>
      <c r="B20" s="38">
        <v>43986</v>
      </c>
      <c r="C20" s="38">
        <v>43958</v>
      </c>
      <c r="D20" s="38">
        <v>43951</v>
      </c>
      <c r="E20" s="34">
        <v>43986</v>
      </c>
      <c r="F20" s="5">
        <v>8677</v>
      </c>
      <c r="G20" s="5"/>
      <c r="H20" s="5"/>
      <c r="I20" s="5"/>
      <c r="J20" s="21" t="s">
        <v>147</v>
      </c>
      <c r="K20" s="21" t="s">
        <v>594</v>
      </c>
      <c r="L20" s="6" t="s">
        <v>595</v>
      </c>
      <c r="M20" s="5">
        <v>4</v>
      </c>
      <c r="N20" s="5"/>
      <c r="O20" s="5"/>
      <c r="P20" s="5"/>
      <c r="Q20" s="6"/>
      <c r="R20" s="6" t="s">
        <v>596</v>
      </c>
      <c r="S20" s="6"/>
      <c r="T20" s="6"/>
      <c r="U20" s="5"/>
      <c r="V20" s="6"/>
      <c r="W20" s="6" t="s">
        <v>597</v>
      </c>
      <c r="X20" s="6"/>
      <c r="Y20" s="22"/>
      <c r="Z20" s="6"/>
      <c r="AA20" s="21"/>
      <c r="AB20" s="23">
        <v>43950</v>
      </c>
      <c r="AC20" s="21" t="s">
        <v>39</v>
      </c>
      <c r="AD20" s="24">
        <v>1896.56</v>
      </c>
      <c r="AE20" s="6" t="s">
        <v>35</v>
      </c>
      <c r="AF20" s="6"/>
      <c r="AG20" s="6" t="s">
        <v>3041</v>
      </c>
    </row>
    <row r="21" spans="1:33" ht="7.5" customHeight="1" x14ac:dyDescent="0.25">
      <c r="A21" s="27"/>
      <c r="B21" s="39"/>
      <c r="C21" s="39"/>
      <c r="D21" s="39"/>
      <c r="E21" s="28"/>
      <c r="F21" s="27"/>
      <c r="G21" s="27"/>
      <c r="H21" s="27"/>
      <c r="I21" s="27"/>
      <c r="J21" s="30"/>
      <c r="K21" s="30"/>
      <c r="L21" s="29"/>
      <c r="M21" s="27"/>
      <c r="N21" s="27"/>
      <c r="O21" s="27"/>
      <c r="P21" s="27"/>
      <c r="Q21" s="29"/>
      <c r="R21" s="29"/>
      <c r="S21" s="29"/>
      <c r="T21" s="29"/>
      <c r="U21" s="27"/>
      <c r="V21" s="29"/>
      <c r="W21" s="29"/>
      <c r="X21" s="29"/>
      <c r="Y21" s="31"/>
      <c r="Z21" s="29"/>
      <c r="AA21" s="30"/>
      <c r="AB21" s="32"/>
      <c r="AC21" s="30"/>
      <c r="AD21" s="33"/>
      <c r="AE21" s="29"/>
      <c r="AF21" s="29"/>
      <c r="AG21" s="29"/>
    </row>
    <row r="22" spans="1:33" ht="15" customHeight="1" x14ac:dyDescent="0.25">
      <c r="A22" s="5">
        <v>23</v>
      </c>
      <c r="B22" s="38">
        <v>43987</v>
      </c>
      <c r="C22" s="38">
        <v>43966</v>
      </c>
      <c r="D22" s="38">
        <v>43959</v>
      </c>
      <c r="E22" s="34">
        <v>43987</v>
      </c>
      <c r="F22" s="5">
        <v>3000</v>
      </c>
      <c r="G22" s="5"/>
      <c r="H22" s="5"/>
      <c r="I22" s="5"/>
      <c r="J22" s="21" t="s">
        <v>93</v>
      </c>
      <c r="K22" s="21" t="s">
        <v>598</v>
      </c>
      <c r="L22" s="6" t="s">
        <v>599</v>
      </c>
      <c r="M22" s="5">
        <v>18</v>
      </c>
      <c r="N22" s="5"/>
      <c r="O22" s="5"/>
      <c r="P22" s="5"/>
      <c r="Q22" s="6"/>
      <c r="R22" s="6" t="s">
        <v>600</v>
      </c>
      <c r="S22" s="6"/>
      <c r="T22" s="6"/>
      <c r="U22" s="5"/>
      <c r="V22" s="6"/>
      <c r="W22" s="6" t="s">
        <v>601</v>
      </c>
      <c r="X22" s="6"/>
      <c r="Y22" s="22"/>
      <c r="Z22" s="6"/>
      <c r="AA22" s="21">
        <v>10112</v>
      </c>
      <c r="AB22" s="23">
        <v>43963</v>
      </c>
      <c r="AC22" s="21" t="s">
        <v>30</v>
      </c>
      <c r="AD22" s="24">
        <v>6136.53</v>
      </c>
      <c r="AE22" s="6" t="s">
        <v>31</v>
      </c>
      <c r="AF22" s="6"/>
      <c r="AG22" s="6" t="s">
        <v>3042</v>
      </c>
    </row>
    <row r="23" spans="1:33" ht="15" customHeight="1" x14ac:dyDescent="0.25">
      <c r="A23" s="5">
        <v>23</v>
      </c>
      <c r="B23" s="38">
        <v>43987</v>
      </c>
      <c r="C23" s="38">
        <v>43971</v>
      </c>
      <c r="D23" s="38">
        <v>43948</v>
      </c>
      <c r="E23" s="34">
        <v>43987</v>
      </c>
      <c r="F23" s="5">
        <v>8663</v>
      </c>
      <c r="G23" s="5"/>
      <c r="H23" s="5"/>
      <c r="I23" s="5"/>
      <c r="J23" s="21" t="s">
        <v>147</v>
      </c>
      <c r="K23" s="21" t="s">
        <v>602</v>
      </c>
      <c r="L23" s="6" t="s">
        <v>603</v>
      </c>
      <c r="M23" s="5">
        <v>16</v>
      </c>
      <c r="N23" s="5"/>
      <c r="O23" s="5"/>
      <c r="P23" s="5"/>
      <c r="Q23" s="6"/>
      <c r="R23" s="6" t="s">
        <v>596</v>
      </c>
      <c r="S23" s="6"/>
      <c r="T23" s="6"/>
      <c r="U23" s="5"/>
      <c r="V23" s="6"/>
      <c r="W23" s="6" t="s">
        <v>604</v>
      </c>
      <c r="X23" s="6"/>
      <c r="Y23" s="22"/>
      <c r="Z23" s="6"/>
      <c r="AA23" s="21"/>
      <c r="AB23" s="23">
        <v>43902</v>
      </c>
      <c r="AC23" s="21" t="s">
        <v>30</v>
      </c>
      <c r="AD23" s="24"/>
      <c r="AE23" s="6" t="s">
        <v>31</v>
      </c>
      <c r="AF23" s="6"/>
      <c r="AG23" s="6" t="s">
        <v>3039</v>
      </c>
    </row>
    <row r="24" spans="1:33" ht="7.5" customHeight="1" x14ac:dyDescent="0.25">
      <c r="A24" s="27"/>
      <c r="B24" s="39"/>
      <c r="C24" s="39"/>
      <c r="D24" s="39"/>
      <c r="E24" s="28"/>
      <c r="F24" s="27"/>
      <c r="G24" s="27"/>
      <c r="H24" s="27"/>
      <c r="I24" s="27"/>
      <c r="J24" s="30"/>
      <c r="K24" s="30"/>
      <c r="L24" s="29"/>
      <c r="M24" s="27"/>
      <c r="N24" s="27"/>
      <c r="O24" s="27"/>
      <c r="P24" s="27"/>
      <c r="Q24" s="29"/>
      <c r="R24" s="29"/>
      <c r="S24" s="29"/>
      <c r="T24" s="29"/>
      <c r="U24" s="27"/>
      <c r="V24" s="29"/>
      <c r="W24" s="29"/>
      <c r="X24" s="29"/>
      <c r="Y24" s="31"/>
      <c r="Z24" s="29"/>
      <c r="AA24" s="30"/>
      <c r="AB24" s="32"/>
      <c r="AC24" s="30"/>
      <c r="AD24" s="33"/>
      <c r="AE24" s="29"/>
      <c r="AF24" s="29"/>
      <c r="AG24" s="29"/>
    </row>
    <row r="25" spans="1:33" ht="15" customHeight="1" x14ac:dyDescent="0.25">
      <c r="A25" s="5">
        <v>24</v>
      </c>
      <c r="B25" s="38">
        <v>43990</v>
      </c>
      <c r="C25" s="38">
        <v>43972</v>
      </c>
      <c r="D25" s="38">
        <v>43901</v>
      </c>
      <c r="E25" s="35">
        <v>43990</v>
      </c>
      <c r="F25" s="5">
        <v>2376</v>
      </c>
      <c r="G25" s="5"/>
      <c r="H25" s="5"/>
      <c r="I25" s="5"/>
      <c r="J25" s="21" t="s">
        <v>231</v>
      </c>
      <c r="K25" s="21" t="s">
        <v>605</v>
      </c>
      <c r="L25" s="6" t="s">
        <v>606</v>
      </c>
      <c r="M25" s="5">
        <v>8</v>
      </c>
      <c r="N25" s="5"/>
      <c r="O25" s="5"/>
      <c r="P25" s="5"/>
      <c r="Q25" s="6"/>
      <c r="R25" s="6" t="s">
        <v>545</v>
      </c>
      <c r="S25" s="6"/>
      <c r="T25" s="6"/>
      <c r="U25" s="5"/>
      <c r="V25" s="6"/>
      <c r="W25" s="6" t="s">
        <v>607</v>
      </c>
      <c r="X25" s="6"/>
      <c r="Y25" s="22"/>
      <c r="Z25" s="6"/>
      <c r="AA25" s="21" t="s">
        <v>608</v>
      </c>
      <c r="AB25" s="23">
        <v>43894</v>
      </c>
      <c r="AC25" s="21" t="s">
        <v>30</v>
      </c>
      <c r="AD25" s="24">
        <v>4914.49</v>
      </c>
      <c r="AE25" s="6" t="s">
        <v>36</v>
      </c>
      <c r="AF25" s="6"/>
      <c r="AG25" s="6" t="s">
        <v>3040</v>
      </c>
    </row>
    <row r="26" spans="1:33" ht="15" customHeight="1" x14ac:dyDescent="0.25">
      <c r="A26" s="5">
        <v>24</v>
      </c>
      <c r="B26" s="38">
        <v>43990</v>
      </c>
      <c r="C26" s="38">
        <v>43979</v>
      </c>
      <c r="D26" s="38">
        <v>43970</v>
      </c>
      <c r="E26" s="35">
        <v>43990</v>
      </c>
      <c r="F26" s="5">
        <v>2377</v>
      </c>
      <c r="G26" s="5"/>
      <c r="H26" s="5"/>
      <c r="I26" s="5"/>
      <c r="J26" s="21" t="s">
        <v>231</v>
      </c>
      <c r="K26" s="21" t="s">
        <v>609</v>
      </c>
      <c r="L26" s="6" t="s">
        <v>610</v>
      </c>
      <c r="M26" s="5">
        <v>14</v>
      </c>
      <c r="N26" s="5"/>
      <c r="O26" s="5"/>
      <c r="P26" s="5"/>
      <c r="Q26" s="6"/>
      <c r="R26" s="6" t="s">
        <v>545</v>
      </c>
      <c r="S26" s="6"/>
      <c r="T26" s="6"/>
      <c r="U26" s="5"/>
      <c r="V26" s="6"/>
      <c r="W26" s="6" t="s">
        <v>611</v>
      </c>
      <c r="X26" s="6"/>
      <c r="Y26" s="22"/>
      <c r="Z26" s="6"/>
      <c r="AA26" s="21" t="s">
        <v>612</v>
      </c>
      <c r="AB26" s="23">
        <v>43962</v>
      </c>
      <c r="AC26" s="21" t="s">
        <v>32</v>
      </c>
      <c r="AD26" s="24">
        <v>15330.32</v>
      </c>
      <c r="AE26" s="6" t="s">
        <v>31</v>
      </c>
      <c r="AF26" s="6"/>
      <c r="AG26" s="6" t="s">
        <v>3041</v>
      </c>
    </row>
    <row r="27" spans="1:33" ht="15" customHeight="1" x14ac:dyDescent="0.25">
      <c r="A27" s="5">
        <v>24</v>
      </c>
      <c r="B27" s="38">
        <v>43990</v>
      </c>
      <c r="C27" s="38">
        <v>43976</v>
      </c>
      <c r="D27" s="38">
        <v>43969</v>
      </c>
      <c r="E27" s="35">
        <v>43990</v>
      </c>
      <c r="F27" s="5">
        <v>10657</v>
      </c>
      <c r="G27" s="5"/>
      <c r="H27" s="5"/>
      <c r="I27" s="5"/>
      <c r="J27" s="21" t="s">
        <v>170</v>
      </c>
      <c r="K27" s="21" t="s">
        <v>613</v>
      </c>
      <c r="L27" s="6" t="s">
        <v>614</v>
      </c>
      <c r="M27" s="5">
        <v>10</v>
      </c>
      <c r="N27" s="5"/>
      <c r="O27" s="5"/>
      <c r="P27" s="5"/>
      <c r="Q27" s="6"/>
      <c r="R27" s="6" t="s">
        <v>545</v>
      </c>
      <c r="S27" s="6"/>
      <c r="T27" s="6"/>
      <c r="U27" s="5"/>
      <c r="V27" s="6"/>
      <c r="W27" s="6" t="s">
        <v>615</v>
      </c>
      <c r="X27" s="6"/>
      <c r="Y27" s="22"/>
      <c r="Z27" s="6">
        <v>0.28999999999999998</v>
      </c>
      <c r="AA27" s="21" t="s">
        <v>616</v>
      </c>
      <c r="AB27" s="23"/>
      <c r="AC27" s="21" t="s">
        <v>32</v>
      </c>
      <c r="AD27" s="24">
        <v>2722.51</v>
      </c>
      <c r="AE27" s="6" t="s">
        <v>31</v>
      </c>
      <c r="AF27" s="6"/>
      <c r="AG27" s="6" t="s">
        <v>3042</v>
      </c>
    </row>
    <row r="28" spans="1:33" ht="15" customHeight="1" x14ac:dyDescent="0.25">
      <c r="A28" s="5">
        <v>24</v>
      </c>
      <c r="B28" s="38">
        <v>43990</v>
      </c>
      <c r="C28" s="38">
        <v>43976</v>
      </c>
      <c r="D28" s="38">
        <v>43969</v>
      </c>
      <c r="E28" s="35">
        <v>43990</v>
      </c>
      <c r="F28" s="5">
        <v>4756</v>
      </c>
      <c r="G28" s="5"/>
      <c r="H28" s="5"/>
      <c r="I28" s="5"/>
      <c r="J28" s="21" t="s">
        <v>109</v>
      </c>
      <c r="K28" s="21" t="s">
        <v>617</v>
      </c>
      <c r="L28" s="6" t="s">
        <v>618</v>
      </c>
      <c r="M28" s="5">
        <v>11</v>
      </c>
      <c r="N28" s="5"/>
      <c r="O28" s="5"/>
      <c r="P28" s="5"/>
      <c r="Q28" s="6"/>
      <c r="R28" s="6" t="s">
        <v>545</v>
      </c>
      <c r="S28" s="6"/>
      <c r="T28" s="6"/>
      <c r="U28" s="5"/>
      <c r="V28" s="6"/>
      <c r="W28" s="6" t="s">
        <v>619</v>
      </c>
      <c r="X28" s="6"/>
      <c r="Y28" s="22"/>
      <c r="Z28" s="6">
        <v>4.5</v>
      </c>
      <c r="AA28" s="21">
        <v>13869</v>
      </c>
      <c r="AB28" s="23">
        <v>43959</v>
      </c>
      <c r="AC28" s="21" t="s">
        <v>32</v>
      </c>
      <c r="AD28" s="24">
        <v>4762.49</v>
      </c>
      <c r="AE28" s="6" t="s">
        <v>37</v>
      </c>
      <c r="AF28" s="6"/>
      <c r="AG28" s="6" t="s">
        <v>3039</v>
      </c>
    </row>
    <row r="29" spans="1:33" ht="15" customHeight="1" x14ac:dyDescent="0.25">
      <c r="A29" s="5">
        <v>24</v>
      </c>
      <c r="B29" s="38">
        <v>43990</v>
      </c>
      <c r="C29" s="38">
        <v>43963</v>
      </c>
      <c r="D29" s="38">
        <v>43903</v>
      </c>
      <c r="E29" s="35">
        <v>43990</v>
      </c>
      <c r="F29" s="5">
        <v>5505</v>
      </c>
      <c r="G29" s="5"/>
      <c r="H29" s="5"/>
      <c r="I29" s="5"/>
      <c r="J29" s="21" t="s">
        <v>131</v>
      </c>
      <c r="K29" s="21" t="s">
        <v>620</v>
      </c>
      <c r="L29" s="6" t="s">
        <v>621</v>
      </c>
      <c r="M29" s="5">
        <v>0</v>
      </c>
      <c r="N29" s="5"/>
      <c r="O29" s="5"/>
      <c r="P29" s="5"/>
      <c r="Q29" s="6"/>
      <c r="R29" s="6" t="s">
        <v>545</v>
      </c>
      <c r="S29" s="6"/>
      <c r="T29" s="6"/>
      <c r="U29" s="5"/>
      <c r="V29" s="6"/>
      <c r="W29" s="6" t="s">
        <v>183</v>
      </c>
      <c r="X29" s="6"/>
      <c r="Y29" s="22"/>
      <c r="Z29" s="6"/>
      <c r="AA29" s="21"/>
      <c r="AB29" s="23">
        <v>43909</v>
      </c>
      <c r="AC29" s="21" t="s">
        <v>33</v>
      </c>
      <c r="AD29" s="24"/>
      <c r="AE29" s="6" t="s">
        <v>38</v>
      </c>
      <c r="AF29" s="6"/>
      <c r="AG29" s="6" t="s">
        <v>3040</v>
      </c>
    </row>
    <row r="30" spans="1:33" ht="15" customHeight="1" x14ac:dyDescent="0.25">
      <c r="A30" s="5">
        <v>24</v>
      </c>
      <c r="B30" s="38">
        <v>43990</v>
      </c>
      <c r="C30" s="38">
        <v>43976</v>
      </c>
      <c r="D30" s="38">
        <v>43969</v>
      </c>
      <c r="E30" s="35">
        <v>43990</v>
      </c>
      <c r="F30" s="5">
        <v>7732</v>
      </c>
      <c r="G30" s="5"/>
      <c r="H30" s="5"/>
      <c r="I30" s="5"/>
      <c r="J30" s="21" t="s">
        <v>214</v>
      </c>
      <c r="K30" s="21" t="s">
        <v>622</v>
      </c>
      <c r="L30" s="6" t="s">
        <v>623</v>
      </c>
      <c r="M30" s="5">
        <v>7</v>
      </c>
      <c r="N30" s="5"/>
      <c r="O30" s="5"/>
      <c r="P30" s="5"/>
      <c r="Q30" s="6"/>
      <c r="R30" s="6" t="s">
        <v>223</v>
      </c>
      <c r="S30" s="6"/>
      <c r="T30" s="6"/>
      <c r="U30" s="5"/>
      <c r="V30" s="6"/>
      <c r="W30" s="6" t="s">
        <v>624</v>
      </c>
      <c r="X30" s="6"/>
      <c r="Y30" s="22"/>
      <c r="Z30" s="6">
        <v>2.2200000000000002</v>
      </c>
      <c r="AA30" s="21" t="s">
        <v>625</v>
      </c>
      <c r="AB30" s="23">
        <v>43970</v>
      </c>
      <c r="AC30" s="21" t="s">
        <v>32</v>
      </c>
      <c r="AD30" s="24">
        <v>2255.4899999999998</v>
      </c>
      <c r="AE30" s="6" t="s">
        <v>31</v>
      </c>
      <c r="AF30" s="6"/>
      <c r="AG30" s="6" t="s">
        <v>3041</v>
      </c>
    </row>
    <row r="31" spans="1:33" ht="15" customHeight="1" x14ac:dyDescent="0.25">
      <c r="A31" s="5">
        <v>24</v>
      </c>
      <c r="B31" s="38">
        <v>43990</v>
      </c>
      <c r="C31" s="38">
        <v>43972</v>
      </c>
      <c r="D31" s="38">
        <v>43970</v>
      </c>
      <c r="E31" s="35">
        <v>43990</v>
      </c>
      <c r="F31" s="5">
        <v>8536</v>
      </c>
      <c r="G31" s="5"/>
      <c r="H31" s="5"/>
      <c r="I31" s="5"/>
      <c r="J31" s="21" t="s">
        <v>147</v>
      </c>
      <c r="K31" s="21" t="s">
        <v>626</v>
      </c>
      <c r="L31" s="6" t="s">
        <v>627</v>
      </c>
      <c r="M31" s="5">
        <v>16</v>
      </c>
      <c r="N31" s="5"/>
      <c r="O31" s="5"/>
      <c r="P31" s="5"/>
      <c r="Q31" s="6"/>
      <c r="R31" s="6" t="s">
        <v>600</v>
      </c>
      <c r="S31" s="6"/>
      <c r="T31" s="6"/>
      <c r="U31" s="5"/>
      <c r="V31" s="6"/>
      <c r="W31" s="6" t="s">
        <v>628</v>
      </c>
      <c r="X31" s="6"/>
      <c r="Y31" s="22"/>
      <c r="Z31" s="6"/>
      <c r="AA31" s="21"/>
      <c r="AB31" s="23">
        <v>43757</v>
      </c>
      <c r="AC31" s="21" t="s">
        <v>30</v>
      </c>
      <c r="AD31" s="24">
        <v>17136.689999999999</v>
      </c>
      <c r="AE31" s="6" t="s">
        <v>34</v>
      </c>
      <c r="AF31" s="6"/>
      <c r="AG31" s="6" t="s">
        <v>3042</v>
      </c>
    </row>
    <row r="32" spans="1:33" ht="15" customHeight="1" x14ac:dyDescent="0.25">
      <c r="A32" s="5">
        <v>24</v>
      </c>
      <c r="B32" s="38">
        <v>43990</v>
      </c>
      <c r="C32" s="38">
        <v>43972</v>
      </c>
      <c r="D32" s="38">
        <v>43970</v>
      </c>
      <c r="E32" s="35">
        <v>43990</v>
      </c>
      <c r="F32" s="5">
        <v>8537</v>
      </c>
      <c r="G32" s="5"/>
      <c r="H32" s="5"/>
      <c r="I32" s="5"/>
      <c r="J32" s="21" t="s">
        <v>147</v>
      </c>
      <c r="K32" s="21" t="s">
        <v>629</v>
      </c>
      <c r="L32" s="6" t="s">
        <v>627</v>
      </c>
      <c r="M32" s="5">
        <v>4</v>
      </c>
      <c r="N32" s="5"/>
      <c r="O32" s="5"/>
      <c r="P32" s="5"/>
      <c r="Q32" s="6"/>
      <c r="R32" s="6" t="s">
        <v>600</v>
      </c>
      <c r="S32" s="6"/>
      <c r="T32" s="6"/>
      <c r="U32" s="5"/>
      <c r="V32" s="6"/>
      <c r="W32" s="6" t="s">
        <v>630</v>
      </c>
      <c r="X32" s="6"/>
      <c r="Y32" s="22"/>
      <c r="Z32" s="6"/>
      <c r="AA32" s="21"/>
      <c r="AB32" s="23">
        <v>43757</v>
      </c>
      <c r="AC32" s="21" t="s">
        <v>30</v>
      </c>
      <c r="AD32" s="24">
        <v>2397.75</v>
      </c>
      <c r="AE32" s="6" t="s">
        <v>31</v>
      </c>
      <c r="AF32" s="6"/>
      <c r="AG32" s="6" t="s">
        <v>3039</v>
      </c>
    </row>
    <row r="33" spans="1:33" ht="15" customHeight="1" x14ac:dyDescent="0.25">
      <c r="A33" s="5">
        <v>24</v>
      </c>
      <c r="B33" s="38">
        <v>43990</v>
      </c>
      <c r="C33" s="38">
        <v>43976</v>
      </c>
      <c r="D33" s="38">
        <v>43969</v>
      </c>
      <c r="E33" s="35">
        <v>43990</v>
      </c>
      <c r="F33" s="5">
        <v>9636</v>
      </c>
      <c r="G33" s="5"/>
      <c r="H33" s="5"/>
      <c r="I33" s="5"/>
      <c r="J33" s="21" t="s">
        <v>159</v>
      </c>
      <c r="K33" s="21">
        <v>256631</v>
      </c>
      <c r="L33" s="6" t="s">
        <v>631</v>
      </c>
      <c r="M33" s="5">
        <v>10</v>
      </c>
      <c r="N33" s="5"/>
      <c r="O33" s="5"/>
      <c r="P33" s="5"/>
      <c r="Q33" s="6"/>
      <c r="R33" s="6" t="s">
        <v>107</v>
      </c>
      <c r="S33" s="6"/>
      <c r="T33" s="6"/>
      <c r="U33" s="5"/>
      <c r="V33" s="6"/>
      <c r="W33" s="6" t="s">
        <v>107</v>
      </c>
      <c r="X33" s="6"/>
      <c r="Y33" s="22"/>
      <c r="Z33" s="6"/>
      <c r="AA33" s="21">
        <v>256631</v>
      </c>
      <c r="AB33" s="23"/>
      <c r="AC33" s="21" t="s">
        <v>32</v>
      </c>
      <c r="AD33" s="24">
        <v>3424.93</v>
      </c>
      <c r="AE33" s="6" t="s">
        <v>35</v>
      </c>
      <c r="AF33" s="6"/>
      <c r="AG33" s="6" t="s">
        <v>3040</v>
      </c>
    </row>
    <row r="34" spans="1:33" ht="15" customHeight="1" x14ac:dyDescent="0.25">
      <c r="A34" s="27"/>
      <c r="B34" s="39"/>
      <c r="C34" s="39"/>
      <c r="D34" s="39"/>
      <c r="E34" s="28"/>
      <c r="F34" s="27"/>
      <c r="G34" s="27"/>
      <c r="H34" s="27"/>
      <c r="I34" s="27"/>
      <c r="J34" s="30"/>
      <c r="K34" s="30"/>
      <c r="L34" s="29"/>
      <c r="M34" s="27"/>
      <c r="N34" s="27"/>
      <c r="O34" s="27"/>
      <c r="P34" s="27"/>
      <c r="Q34" s="29"/>
      <c r="R34" s="29"/>
      <c r="S34" s="29"/>
      <c r="T34" s="29"/>
      <c r="U34" s="27"/>
      <c r="V34" s="29"/>
      <c r="W34" s="29"/>
      <c r="X34" s="29"/>
      <c r="Y34" s="31"/>
      <c r="Z34" s="29"/>
      <c r="AA34" s="30"/>
      <c r="AB34" s="32"/>
      <c r="AC34" s="30"/>
      <c r="AD34" s="33"/>
      <c r="AE34" s="29"/>
      <c r="AF34" s="29"/>
      <c r="AG34" s="29"/>
    </row>
    <row r="35" spans="1:33" ht="15" customHeight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15" customHeight="1" x14ac:dyDescent="0.25"/>
    <row r="37" spans="1:33" ht="15" customHeight="1" x14ac:dyDescent="0.25"/>
    <row r="38" spans="1:33" ht="15" customHeight="1" x14ac:dyDescent="0.25"/>
    <row r="39" spans="1:33" ht="15" customHeight="1" x14ac:dyDescent="0.25"/>
    <row r="40" spans="1:33" ht="15" customHeight="1" x14ac:dyDescent="0.25"/>
    <row r="41" spans="1:33" ht="15" customHeight="1" x14ac:dyDescent="0.25"/>
    <row r="42" spans="1:33" ht="15" customHeight="1" x14ac:dyDescent="0.25"/>
    <row r="43" spans="1:33" ht="15" customHeight="1" x14ac:dyDescent="0.25"/>
    <row r="44" spans="1:33" ht="15" customHeight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</row>
    <row r="45" spans="1:33" ht="15" customHeight="1" x14ac:dyDescent="0.25"/>
    <row r="46" spans="1:33" ht="15" customHeight="1" x14ac:dyDescent="0.25"/>
    <row r="47" spans="1:33" ht="15" customHeight="1" x14ac:dyDescent="0.25"/>
    <row r="48" spans="1:33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spans="1:33" ht="15" customHeight="1" x14ac:dyDescent="0.25"/>
    <row r="306" spans="1:33" ht="15" customHeight="1" x14ac:dyDescent="0.25"/>
    <row r="307" spans="1:33" ht="15" customHeight="1" x14ac:dyDescent="0.25"/>
    <row r="308" spans="1:33" ht="15" customHeight="1" x14ac:dyDescent="0.25"/>
    <row r="309" spans="1:33" ht="15" customHeight="1" x14ac:dyDescent="0.25"/>
    <row r="310" spans="1:33" ht="15" customHeight="1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</row>
    <row r="311" spans="1:33" ht="15" customHeight="1" x14ac:dyDescent="0.25"/>
    <row r="312" spans="1:33" ht="15" customHeight="1" x14ac:dyDescent="0.25"/>
    <row r="313" spans="1:33" ht="15" customHeight="1" x14ac:dyDescent="0.25"/>
    <row r="314" spans="1:33" ht="15" customHeight="1" x14ac:dyDescent="0.25"/>
    <row r="315" spans="1:33" ht="15" customHeight="1" x14ac:dyDescent="0.25"/>
    <row r="316" spans="1:33" ht="15" customHeight="1" x14ac:dyDescent="0.25"/>
    <row r="317" spans="1:33" ht="15" customHeight="1" x14ac:dyDescent="0.25"/>
    <row r="318" spans="1:33" ht="15" customHeight="1" x14ac:dyDescent="0.25"/>
    <row r="319" spans="1:33" ht="15" customHeight="1" x14ac:dyDescent="0.25"/>
    <row r="320" spans="1:33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spans="1:33" ht="15" customHeight="1" x14ac:dyDescent="0.25"/>
    <row r="338" spans="1:33" ht="15" customHeight="1" x14ac:dyDescent="0.25"/>
    <row r="339" spans="1:33" ht="15" customHeight="1" x14ac:dyDescent="0.25"/>
    <row r="340" spans="1:33" ht="15" customHeight="1" x14ac:dyDescent="0.25"/>
    <row r="341" spans="1:33" ht="15" customHeight="1" x14ac:dyDescent="0.25"/>
    <row r="342" spans="1:33" ht="15" customHeight="1" x14ac:dyDescent="0.25"/>
    <row r="343" spans="1:33" ht="15" customHeight="1" x14ac:dyDescent="0.25"/>
    <row r="344" spans="1:33" ht="15" customHeight="1" x14ac:dyDescent="0.25"/>
    <row r="345" spans="1:33" ht="15" customHeight="1" x14ac:dyDescent="0.25"/>
    <row r="346" spans="1:33" ht="15" customHeight="1" x14ac:dyDescent="0.25"/>
    <row r="347" spans="1:33" ht="15" customHeight="1" x14ac:dyDescent="0.25"/>
    <row r="348" spans="1:33" ht="15" customHeight="1" x14ac:dyDescent="0.25"/>
    <row r="349" spans="1:33" ht="15" customHeight="1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</row>
    <row r="350" spans="1:33" ht="15" customHeight="1" x14ac:dyDescent="0.25"/>
    <row r="351" spans="1:33" ht="15" customHeight="1" x14ac:dyDescent="0.25"/>
    <row r="352" spans="1:33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spans="1:33" ht="15" customHeight="1" x14ac:dyDescent="0.25"/>
    <row r="386" spans="1:33" ht="15" customHeight="1" x14ac:dyDescent="0.25"/>
    <row r="387" spans="1:33" ht="15" customHeight="1" x14ac:dyDescent="0.25"/>
    <row r="388" spans="1:33" ht="15" customHeight="1" x14ac:dyDescent="0.25"/>
    <row r="389" spans="1:33" ht="15" customHeight="1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</row>
    <row r="390" spans="1:33" ht="15" customHeight="1" x14ac:dyDescent="0.25"/>
    <row r="391" spans="1:33" ht="15" customHeight="1" x14ac:dyDescent="0.25"/>
    <row r="392" spans="1:33" ht="15" customHeight="1" x14ac:dyDescent="0.25"/>
    <row r="393" spans="1:33" ht="15" customHeight="1" x14ac:dyDescent="0.25"/>
    <row r="394" spans="1:33" ht="15" customHeight="1" x14ac:dyDescent="0.25"/>
    <row r="395" spans="1:33" ht="15" customHeight="1" x14ac:dyDescent="0.25"/>
    <row r="396" spans="1:33" ht="15" customHeight="1" x14ac:dyDescent="0.25"/>
    <row r="397" spans="1:33" ht="15" customHeight="1" x14ac:dyDescent="0.25"/>
    <row r="398" spans="1:33" ht="15" customHeight="1" x14ac:dyDescent="0.25"/>
    <row r="399" spans="1:33" ht="15" customHeight="1" x14ac:dyDescent="0.25"/>
    <row r="400" spans="1:33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spans="1:33" ht="15" customHeight="1" x14ac:dyDescent="0.25"/>
    <row r="1074" spans="1:33" ht="15" customHeight="1" x14ac:dyDescent="0.25"/>
    <row r="1075" spans="1:33" ht="15" customHeight="1" x14ac:dyDescent="0.25"/>
    <row r="1076" spans="1:33" ht="15" customHeight="1" x14ac:dyDescent="0.25"/>
    <row r="1077" spans="1:33" ht="15" customHeight="1" x14ac:dyDescent="0.25"/>
    <row r="1078" spans="1:33" ht="15" customHeight="1" x14ac:dyDescent="0.25"/>
    <row r="1079" spans="1:33" ht="15" customHeight="1" x14ac:dyDescent="0.25"/>
    <row r="1080" spans="1:33" ht="15" customHeight="1" x14ac:dyDescent="0.25"/>
    <row r="1081" spans="1:33" ht="15" customHeight="1" x14ac:dyDescent="0.25"/>
    <row r="1082" spans="1:33" ht="15" customHeight="1" x14ac:dyDescent="0.25"/>
    <row r="1083" spans="1:33" ht="15" customHeight="1" x14ac:dyDescent="0.25"/>
    <row r="1084" spans="1:33" ht="15" customHeight="1" x14ac:dyDescent="0.25"/>
    <row r="1085" spans="1:33" ht="15" customHeight="1" x14ac:dyDescent="0.25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</row>
    <row r="1086" spans="1:33" ht="15" customHeight="1" x14ac:dyDescent="0.25"/>
    <row r="1087" spans="1:33" ht="15" customHeight="1" x14ac:dyDescent="0.25"/>
    <row r="1088" spans="1:33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spans="1:33" ht="15" customHeight="1" x14ac:dyDescent="0.25"/>
    <row r="1186" spans="1:33" ht="15" customHeight="1" x14ac:dyDescent="0.25"/>
    <row r="1187" spans="1:33" ht="15" customHeight="1" x14ac:dyDescent="0.25"/>
    <row r="1188" spans="1:33" ht="15" customHeight="1" x14ac:dyDescent="0.25"/>
    <row r="1189" spans="1:33" ht="15" customHeight="1" x14ac:dyDescent="0.25"/>
    <row r="1190" spans="1:33" ht="15" customHeight="1" x14ac:dyDescent="0.25"/>
    <row r="1191" spans="1:33" ht="15" customHeight="1" x14ac:dyDescent="0.25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</row>
    <row r="1192" spans="1:33" ht="15" customHeight="1" x14ac:dyDescent="0.25"/>
    <row r="1193" spans="1:33" ht="15" customHeight="1" x14ac:dyDescent="0.25"/>
    <row r="1194" spans="1:33" ht="15" customHeight="1" x14ac:dyDescent="0.25"/>
    <row r="1195" spans="1:33" ht="15" customHeight="1" x14ac:dyDescent="0.25"/>
    <row r="1196" spans="1:33" ht="15" customHeight="1" x14ac:dyDescent="0.25"/>
    <row r="1197" spans="1:33" ht="15" customHeight="1" x14ac:dyDescent="0.25"/>
    <row r="1198" spans="1:33" ht="15" customHeight="1" x14ac:dyDescent="0.25"/>
    <row r="1199" spans="1:33" ht="15" customHeight="1" x14ac:dyDescent="0.25"/>
    <row r="1200" spans="1:33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spans="1:33" ht="15" customHeight="1" x14ac:dyDescent="0.25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</row>
    <row r="1298" spans="1:33" ht="15" customHeight="1" x14ac:dyDescent="0.25"/>
    <row r="1299" spans="1:33" ht="15" customHeight="1" x14ac:dyDescent="0.25"/>
    <row r="1300" spans="1:33" ht="15" customHeight="1" x14ac:dyDescent="0.25"/>
    <row r="1301" spans="1:33" ht="15" customHeight="1" x14ac:dyDescent="0.25"/>
    <row r="1302" spans="1:33" ht="15" customHeight="1" x14ac:dyDescent="0.25"/>
    <row r="1303" spans="1:33" ht="15" customHeight="1" x14ac:dyDescent="0.25"/>
    <row r="1304" spans="1:33" ht="15" customHeight="1" x14ac:dyDescent="0.25"/>
    <row r="1305" spans="1:33" ht="15" customHeight="1" x14ac:dyDescent="0.25"/>
    <row r="1306" spans="1:33" ht="15" customHeight="1" x14ac:dyDescent="0.25"/>
    <row r="1307" spans="1:33" ht="15" customHeight="1" x14ac:dyDescent="0.25"/>
    <row r="1308" spans="1:33" ht="15" customHeight="1" x14ac:dyDescent="0.25"/>
    <row r="1309" spans="1:33" ht="15" customHeight="1" x14ac:dyDescent="0.25"/>
    <row r="1310" spans="1:33" ht="15" customHeight="1" x14ac:dyDescent="0.25"/>
    <row r="1311" spans="1:33" ht="15" customHeight="1" x14ac:dyDescent="0.25"/>
    <row r="1312" spans="1:33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789" spans="1:33" x14ac:dyDescent="0.25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</row>
  </sheetData>
  <sortState xmlns:xlrd2="http://schemas.microsoft.com/office/spreadsheetml/2017/richdata2" ref="A2:AG35">
    <sortCondition ref="B3:B35"/>
    <sortCondition ref="J3:J3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D95EF-23EB-4909-B234-5F987515520E}">
  <sheetPr codeName="wksFilterCriteria"/>
  <dimension ref="A1:AE5"/>
  <sheetViews>
    <sheetView workbookViewId="0">
      <selection activeCell="AE2" sqref="AE2"/>
    </sheetView>
  </sheetViews>
  <sheetFormatPr defaultRowHeight="15" x14ac:dyDescent="0.25"/>
  <cols>
    <col min="2" max="2" width="12.140625" customWidth="1"/>
    <col min="3" max="3" width="13.7109375" customWidth="1"/>
    <col min="5" max="30" width="6.140625" customWidth="1"/>
    <col min="31" max="31" width="12.42578125" customWidth="1"/>
  </cols>
  <sheetData>
    <row r="1" spans="1:31" s="2" customFormat="1" ht="111" customHeight="1" x14ac:dyDescent="0.25">
      <c r="A1" s="2" t="s">
        <v>0</v>
      </c>
      <c r="B1" s="2" t="s">
        <v>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</row>
    <row r="2" spans="1:31" x14ac:dyDescent="0.25">
      <c r="B2" t="str" cm="1">
        <f t="array" aca="1" ref="B2" ca="1">"&gt;="&amp;VLOOKUP(user(),LookupTableUserSettings,2,FALSE)</f>
        <v>&gt;=43984</v>
      </c>
      <c r="C2" t="str" cm="1">
        <f t="array" aca="1" ref="C2" ca="1">"&lt;="&amp;VLOOKUP(user(),LookupTableUserSettings,3,FALSE)</f>
        <v>&lt;=43990</v>
      </c>
      <c r="AE2" s="16" t="str" cm="1">
        <f t="array" aca="1" ref="AE2" ca="1">IF(VLOOKUP(user(),LookupTableUserSettings,4,FALSE)="","",VLOOKUP(user(),LookupTableUserSettings,4,FALSE))</f>
        <v/>
      </c>
    </row>
    <row r="5" spans="1:31" x14ac:dyDescent="0.25">
      <c r="B5" s="41"/>
      <c r="C5" s="4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8CA69-A73F-4305-A9E9-AE1BA7A78668}">
  <sheetPr codeName="wksLookupTables"/>
  <dimension ref="A1:AD29"/>
  <sheetViews>
    <sheetView topLeftCell="C1" workbookViewId="0">
      <selection activeCell="N7" sqref="N7"/>
    </sheetView>
  </sheetViews>
  <sheetFormatPr defaultRowHeight="15" x14ac:dyDescent="0.25"/>
  <cols>
    <col min="1" max="1" width="10.85546875" bestFit="1" customWidth="1"/>
    <col min="2" max="2" width="15.140625" bestFit="1" customWidth="1"/>
    <col min="3" max="3" width="10.7109375" bestFit="1" customWidth="1"/>
    <col min="4" max="4" width="6.28515625" bestFit="1" customWidth="1"/>
    <col min="6" max="6" width="7" bestFit="1" customWidth="1"/>
    <col min="7" max="7" width="23.140625" bestFit="1" customWidth="1"/>
    <col min="9" max="9" width="13.140625" bestFit="1" customWidth="1"/>
    <col min="11" max="11" width="14.85546875" bestFit="1" customWidth="1"/>
    <col min="12" max="12" width="10.42578125" bestFit="1" customWidth="1"/>
    <col min="13" max="13" width="9.85546875" customWidth="1"/>
    <col min="14" max="14" width="13.140625" bestFit="1" customWidth="1"/>
    <col min="15" max="15" width="18.28515625" bestFit="1" customWidth="1"/>
    <col min="16" max="16" width="18.28515625" customWidth="1"/>
    <col min="17" max="17" width="14.42578125" bestFit="1" customWidth="1"/>
    <col min="18" max="18" width="4" customWidth="1"/>
    <col min="19" max="19" width="15.28515625" bestFit="1" customWidth="1"/>
    <col min="20" max="20" width="3.7109375" customWidth="1"/>
    <col min="21" max="21" width="17.5703125" bestFit="1" customWidth="1"/>
    <col min="22" max="22" width="3.7109375" customWidth="1"/>
    <col min="23" max="23" width="15.140625" bestFit="1" customWidth="1"/>
    <col min="24" max="24" width="4.28515625" customWidth="1"/>
    <col min="25" max="25" width="13.85546875" customWidth="1"/>
    <col min="26" max="26" width="4.140625" customWidth="1"/>
    <col min="27" max="27" width="13.85546875" customWidth="1"/>
    <col min="29" max="29" width="14.42578125" bestFit="1" customWidth="1"/>
    <col min="30" max="30" width="45.42578125" bestFit="1" customWidth="1"/>
  </cols>
  <sheetData>
    <row r="1" spans="1:30" x14ac:dyDescent="0.25">
      <c r="A1" s="7" t="s">
        <v>45</v>
      </c>
      <c r="B1" s="8" t="s">
        <v>46</v>
      </c>
      <c r="C1" s="8" t="s">
        <v>38</v>
      </c>
      <c r="D1" s="8" t="s">
        <v>37</v>
      </c>
      <c r="E1" s="7"/>
      <c r="F1" s="40" t="s">
        <v>47</v>
      </c>
      <c r="G1" s="40"/>
      <c r="H1" s="8"/>
      <c r="I1" s="8" t="s">
        <v>48</v>
      </c>
      <c r="K1" s="40" t="s">
        <v>49</v>
      </c>
      <c r="L1" s="40"/>
      <c r="M1" s="40"/>
      <c r="N1" s="40"/>
      <c r="O1" s="40"/>
      <c r="P1" s="40"/>
      <c r="Q1" s="40"/>
      <c r="R1" s="15"/>
      <c r="S1" s="7" t="s">
        <v>3000</v>
      </c>
      <c r="T1" s="15"/>
      <c r="U1" s="15" t="s">
        <v>3002</v>
      </c>
      <c r="V1" s="15"/>
      <c r="W1" s="15" t="s">
        <v>16</v>
      </c>
      <c r="X1" s="15"/>
      <c r="Y1" s="15" t="s">
        <v>2988</v>
      </c>
      <c r="Z1" s="15"/>
      <c r="AA1" s="15" t="s">
        <v>19</v>
      </c>
      <c r="AD1" s="12" t="s">
        <v>87</v>
      </c>
    </row>
    <row r="2" spans="1:30" x14ac:dyDescent="0.25">
      <c r="A2" t="s">
        <v>32</v>
      </c>
      <c r="B2" s="1">
        <v>10</v>
      </c>
      <c r="C2" s="1">
        <v>7</v>
      </c>
      <c r="D2" s="1">
        <v>17</v>
      </c>
      <c r="F2" s="9">
        <v>43466</v>
      </c>
      <c r="G2" t="s">
        <v>50</v>
      </c>
      <c r="I2" t="s">
        <v>3055</v>
      </c>
      <c r="L2" t="s">
        <v>51</v>
      </c>
      <c r="M2" t="s">
        <v>52</v>
      </c>
      <c r="N2" t="s">
        <v>48</v>
      </c>
      <c r="O2" t="s">
        <v>539</v>
      </c>
      <c r="P2" t="s">
        <v>540</v>
      </c>
      <c r="Q2" t="s">
        <v>2991</v>
      </c>
      <c r="S2" t="s">
        <v>372</v>
      </c>
      <c r="U2" t="s">
        <v>3005</v>
      </c>
      <c r="W2" s="19" t="s">
        <v>3005</v>
      </c>
      <c r="X2" s="19"/>
      <c r="Y2" s="20" t="s">
        <v>3024</v>
      </c>
      <c r="Z2" s="20"/>
      <c r="AA2" s="20" t="s">
        <v>3035</v>
      </c>
      <c r="AC2" s="7" t="s">
        <v>88</v>
      </c>
      <c r="AD2" s="14" t="s">
        <v>76</v>
      </c>
    </row>
    <row r="3" spans="1:30" x14ac:dyDescent="0.25">
      <c r="A3" t="s">
        <v>30</v>
      </c>
      <c r="B3" s="1">
        <v>15</v>
      </c>
      <c r="C3" s="1">
        <v>12</v>
      </c>
      <c r="D3" s="1">
        <v>15</v>
      </c>
      <c r="F3" s="9">
        <v>43467</v>
      </c>
      <c r="G3" t="s">
        <v>53</v>
      </c>
      <c r="I3" t="s">
        <v>35</v>
      </c>
      <c r="K3" t="s">
        <v>54</v>
      </c>
      <c r="L3" s="18">
        <v>43832</v>
      </c>
      <c r="M3" s="18">
        <v>44165</v>
      </c>
      <c r="N3" s="17" t="s">
        <v>35</v>
      </c>
      <c r="O3" t="s">
        <v>77</v>
      </c>
      <c r="P3" t="s">
        <v>37</v>
      </c>
      <c r="Q3" t="s">
        <v>2993</v>
      </c>
      <c r="S3" t="s">
        <v>231</v>
      </c>
      <c r="U3" t="s">
        <v>3003</v>
      </c>
      <c r="W3" t="s">
        <v>879</v>
      </c>
      <c r="Y3" t="s">
        <v>3005</v>
      </c>
      <c r="AA3" t="s">
        <v>3036</v>
      </c>
      <c r="AC3" s="7" t="s">
        <v>89</v>
      </c>
      <c r="AD3" t="s">
        <v>90</v>
      </c>
    </row>
    <row r="4" spans="1:30" x14ac:dyDescent="0.25">
      <c r="A4" t="s">
        <v>39</v>
      </c>
      <c r="B4" s="1">
        <v>20</v>
      </c>
      <c r="C4" s="1">
        <v>17</v>
      </c>
      <c r="D4" s="1">
        <v>20</v>
      </c>
      <c r="F4" s="9">
        <v>43502</v>
      </c>
      <c r="G4" t="s">
        <v>55</v>
      </c>
      <c r="I4" t="s">
        <v>37</v>
      </c>
      <c r="K4" t="s">
        <v>56</v>
      </c>
      <c r="L4" s="18">
        <v>43832</v>
      </c>
      <c r="M4" s="18">
        <v>44165</v>
      </c>
      <c r="N4" s="17" t="s">
        <v>38</v>
      </c>
      <c r="O4" t="s">
        <v>41</v>
      </c>
      <c r="P4" t="s">
        <v>38</v>
      </c>
      <c r="Q4" t="s">
        <v>2975</v>
      </c>
      <c r="S4" t="s">
        <v>2995</v>
      </c>
      <c r="U4" t="s">
        <v>3004</v>
      </c>
      <c r="W4" t="s">
        <v>3008</v>
      </c>
      <c r="Y4" t="s">
        <v>3033</v>
      </c>
      <c r="AA4" t="s">
        <v>3037</v>
      </c>
    </row>
    <row r="5" spans="1:30" x14ac:dyDescent="0.25">
      <c r="A5" t="s">
        <v>33</v>
      </c>
      <c r="B5" s="1">
        <v>22</v>
      </c>
      <c r="C5" s="1">
        <v>19</v>
      </c>
      <c r="D5" s="1">
        <v>22</v>
      </c>
      <c r="F5" s="9">
        <v>43574</v>
      </c>
      <c r="G5" t="s">
        <v>57</v>
      </c>
      <c r="I5" t="s">
        <v>38</v>
      </c>
      <c r="K5" t="s">
        <v>58</v>
      </c>
      <c r="L5" s="18">
        <v>43832</v>
      </c>
      <c r="M5" s="18">
        <v>44165</v>
      </c>
      <c r="N5" s="17" t="s">
        <v>38</v>
      </c>
      <c r="O5" t="s">
        <v>43</v>
      </c>
      <c r="P5" t="s">
        <v>38</v>
      </c>
      <c r="Q5" t="s">
        <v>2975</v>
      </c>
      <c r="S5" t="s">
        <v>2996</v>
      </c>
      <c r="U5" t="s">
        <v>668</v>
      </c>
      <c r="W5" t="s">
        <v>3009</v>
      </c>
      <c r="Y5" t="s">
        <v>56</v>
      </c>
    </row>
    <row r="6" spans="1:30" x14ac:dyDescent="0.25">
      <c r="A6" t="s">
        <v>59</v>
      </c>
      <c r="B6" s="1">
        <v>30</v>
      </c>
      <c r="C6" s="1">
        <v>27</v>
      </c>
      <c r="D6" s="1">
        <v>30</v>
      </c>
      <c r="F6" s="9">
        <v>43577</v>
      </c>
      <c r="G6" t="s">
        <v>60</v>
      </c>
      <c r="I6" t="s">
        <v>31</v>
      </c>
      <c r="K6" t="s">
        <v>61</v>
      </c>
      <c r="L6" s="18">
        <v>43832</v>
      </c>
      <c r="M6" s="18">
        <v>44165</v>
      </c>
      <c r="N6" s="17" t="s">
        <v>38</v>
      </c>
      <c r="O6" t="s">
        <v>40</v>
      </c>
      <c r="P6" t="s">
        <v>38</v>
      </c>
      <c r="Q6" t="s">
        <v>2975</v>
      </c>
      <c r="S6" t="s">
        <v>2997</v>
      </c>
      <c r="U6" t="s">
        <v>2841</v>
      </c>
      <c r="W6" t="s">
        <v>3011</v>
      </c>
      <c r="Y6" t="s">
        <v>58</v>
      </c>
    </row>
    <row r="7" spans="1:30" x14ac:dyDescent="0.25">
      <c r="B7" s="1"/>
      <c r="C7" s="1"/>
      <c r="D7" s="1"/>
      <c r="F7" s="9">
        <v>43580</v>
      </c>
      <c r="G7" t="s">
        <v>62</v>
      </c>
      <c r="I7" t="s">
        <v>34</v>
      </c>
      <c r="K7" t="s">
        <v>63</v>
      </c>
      <c r="L7" s="18">
        <v>43984</v>
      </c>
      <c r="M7" s="18">
        <v>43990</v>
      </c>
      <c r="N7" s="17" t="s">
        <v>541</v>
      </c>
      <c r="O7" t="s">
        <v>78</v>
      </c>
      <c r="P7" t="s">
        <v>34</v>
      </c>
      <c r="Q7" t="s">
        <v>2992</v>
      </c>
      <c r="S7" t="s">
        <v>2994</v>
      </c>
      <c r="U7" t="s">
        <v>3006</v>
      </c>
      <c r="W7" t="s">
        <v>776</v>
      </c>
      <c r="Y7" t="s">
        <v>61</v>
      </c>
    </row>
    <row r="8" spans="1:30" ht="15.75" x14ac:dyDescent="0.25">
      <c r="B8" s="10"/>
      <c r="C8" s="10"/>
      <c r="D8" s="10"/>
      <c r="F8" s="9">
        <v>43619</v>
      </c>
      <c r="G8" t="s">
        <v>64</v>
      </c>
      <c r="I8" t="s">
        <v>36</v>
      </c>
      <c r="K8" s="11" t="s">
        <v>65</v>
      </c>
      <c r="L8" s="18">
        <v>43832</v>
      </c>
      <c r="M8" s="18">
        <v>44165</v>
      </c>
      <c r="N8" s="17" t="s">
        <v>35</v>
      </c>
      <c r="O8" t="s">
        <v>79</v>
      </c>
      <c r="P8" t="s">
        <v>37</v>
      </c>
      <c r="Q8" t="s">
        <v>2993</v>
      </c>
      <c r="S8" t="s">
        <v>2998</v>
      </c>
      <c r="U8" t="s">
        <v>2962</v>
      </c>
      <c r="W8" t="s">
        <v>1239</v>
      </c>
      <c r="Y8" t="s">
        <v>3025</v>
      </c>
    </row>
    <row r="9" spans="1:30" x14ac:dyDescent="0.25">
      <c r="B9" s="1"/>
      <c r="C9" s="1"/>
      <c r="D9" s="1"/>
      <c r="F9" s="9">
        <v>43766</v>
      </c>
      <c r="G9" t="s">
        <v>66</v>
      </c>
      <c r="K9" t="s">
        <v>67</v>
      </c>
      <c r="L9" s="18">
        <v>43832</v>
      </c>
      <c r="M9" s="18">
        <v>44165</v>
      </c>
      <c r="N9" s="17" t="s">
        <v>37</v>
      </c>
      <c r="O9" t="s">
        <v>85</v>
      </c>
      <c r="P9" t="s">
        <v>37</v>
      </c>
      <c r="Q9" t="s">
        <v>2993</v>
      </c>
      <c r="S9" t="s">
        <v>2999</v>
      </c>
      <c r="U9" t="s">
        <v>3007</v>
      </c>
      <c r="W9" t="s">
        <v>875</v>
      </c>
      <c r="Y9" t="s">
        <v>3032</v>
      </c>
    </row>
    <row r="10" spans="1:30" x14ac:dyDescent="0.25">
      <c r="B10" s="1"/>
      <c r="C10" s="1"/>
      <c r="D10" s="1"/>
      <c r="F10" s="9">
        <v>43824</v>
      </c>
      <c r="G10" t="s">
        <v>68</v>
      </c>
      <c r="K10" t="s">
        <v>69</v>
      </c>
      <c r="L10" s="18">
        <v>43832</v>
      </c>
      <c r="M10" s="18">
        <v>44165</v>
      </c>
      <c r="N10" s="17" t="s">
        <v>31</v>
      </c>
      <c r="O10" t="s">
        <v>80</v>
      </c>
      <c r="P10" t="s">
        <v>34</v>
      </c>
      <c r="Q10" t="s">
        <v>2992</v>
      </c>
      <c r="S10" t="s">
        <v>3001</v>
      </c>
      <c r="W10" t="s">
        <v>3012</v>
      </c>
      <c r="Y10" t="s">
        <v>3028</v>
      </c>
    </row>
    <row r="11" spans="1:30" x14ac:dyDescent="0.25">
      <c r="B11" s="1"/>
      <c r="C11" s="1"/>
      <c r="D11" s="1"/>
      <c r="F11" s="9">
        <v>43825</v>
      </c>
      <c r="G11" t="s">
        <v>70</v>
      </c>
      <c r="K11" t="s">
        <v>71</v>
      </c>
      <c r="L11" s="18">
        <v>43832</v>
      </c>
      <c r="M11" s="18">
        <v>44165</v>
      </c>
      <c r="N11" s="17" t="s">
        <v>34</v>
      </c>
      <c r="O11" t="s">
        <v>81</v>
      </c>
      <c r="P11" t="s">
        <v>34</v>
      </c>
      <c r="Q11" t="s">
        <v>2992</v>
      </c>
      <c r="S11" t="s">
        <v>159</v>
      </c>
      <c r="W11" t="s">
        <v>3010</v>
      </c>
      <c r="Y11" t="s">
        <v>3029</v>
      </c>
    </row>
    <row r="12" spans="1:30" x14ac:dyDescent="0.25">
      <c r="B12" s="1"/>
      <c r="C12" s="1"/>
      <c r="D12" s="1"/>
      <c r="K12" t="s">
        <v>72</v>
      </c>
      <c r="L12" s="18">
        <v>43832</v>
      </c>
      <c r="M12" s="18">
        <v>44165</v>
      </c>
      <c r="N12" s="17" t="s">
        <v>37</v>
      </c>
      <c r="O12" t="s">
        <v>82</v>
      </c>
      <c r="P12" t="s">
        <v>37</v>
      </c>
      <c r="Q12" t="s">
        <v>2993</v>
      </c>
      <c r="S12" t="s">
        <v>147</v>
      </c>
      <c r="W12" t="s">
        <v>3013</v>
      </c>
      <c r="Y12" t="s">
        <v>2272</v>
      </c>
    </row>
    <row r="13" spans="1:30" x14ac:dyDescent="0.25">
      <c r="B13" s="1"/>
      <c r="C13" s="1"/>
      <c r="D13" s="1"/>
      <c r="K13" t="s">
        <v>73</v>
      </c>
      <c r="L13" s="18">
        <v>43832</v>
      </c>
      <c r="M13" s="18">
        <v>44165</v>
      </c>
      <c r="N13" s="17" t="s">
        <v>35</v>
      </c>
      <c r="O13" t="s">
        <v>83</v>
      </c>
      <c r="P13" t="s">
        <v>37</v>
      </c>
      <c r="Q13" t="s">
        <v>2993</v>
      </c>
      <c r="W13" t="s">
        <v>742</v>
      </c>
      <c r="Y13" t="s">
        <v>3034</v>
      </c>
    </row>
    <row r="14" spans="1:30" x14ac:dyDescent="0.25">
      <c r="B14" s="1"/>
      <c r="C14" s="1"/>
      <c r="D14" s="1"/>
      <c r="K14" t="s">
        <v>42</v>
      </c>
      <c r="L14" s="18">
        <v>43832</v>
      </c>
      <c r="M14" s="18">
        <v>44165</v>
      </c>
      <c r="N14" s="17" t="s">
        <v>31</v>
      </c>
      <c r="O14" t="s">
        <v>86</v>
      </c>
      <c r="P14" t="s">
        <v>34</v>
      </c>
      <c r="Q14" t="s">
        <v>2992</v>
      </c>
      <c r="W14" t="s">
        <v>1211</v>
      </c>
      <c r="Y14" t="s">
        <v>3031</v>
      </c>
    </row>
    <row r="15" spans="1:30" x14ac:dyDescent="0.25">
      <c r="B15" s="1"/>
      <c r="C15" s="1"/>
      <c r="D15" s="1"/>
      <c r="K15" t="s">
        <v>74</v>
      </c>
      <c r="L15" s="18">
        <v>43832</v>
      </c>
      <c r="M15" s="18">
        <v>44165</v>
      </c>
      <c r="N15" s="17" t="s">
        <v>38</v>
      </c>
      <c r="O15" t="s">
        <v>44</v>
      </c>
      <c r="P15" t="s">
        <v>34</v>
      </c>
      <c r="Q15" t="s">
        <v>2992</v>
      </c>
      <c r="W15" t="s">
        <v>3014</v>
      </c>
      <c r="Y15" t="s">
        <v>3026</v>
      </c>
    </row>
    <row r="16" spans="1:30" x14ac:dyDescent="0.25">
      <c r="B16" s="1"/>
      <c r="C16" s="1"/>
      <c r="D16" s="1"/>
      <c r="K16" t="s">
        <v>75</v>
      </c>
      <c r="L16" s="18">
        <v>43832</v>
      </c>
      <c r="M16" s="18">
        <v>44165</v>
      </c>
      <c r="N16" s="17" t="s">
        <v>36</v>
      </c>
      <c r="O16" t="s">
        <v>84</v>
      </c>
      <c r="P16" t="s">
        <v>37</v>
      </c>
      <c r="Q16" t="s">
        <v>2993</v>
      </c>
      <c r="W16" t="s">
        <v>1263</v>
      </c>
      <c r="Y16" t="s">
        <v>3030</v>
      </c>
    </row>
    <row r="17" spans="23:25" x14ac:dyDescent="0.25">
      <c r="W17" t="s">
        <v>1062</v>
      </c>
      <c r="Y17" t="s">
        <v>42</v>
      </c>
    </row>
    <row r="18" spans="23:25" x14ac:dyDescent="0.25">
      <c r="W18" t="s">
        <v>3015</v>
      </c>
      <c r="Y18" t="s">
        <v>3027</v>
      </c>
    </row>
    <row r="19" spans="23:25" x14ac:dyDescent="0.25">
      <c r="W19" t="s">
        <v>3018</v>
      </c>
    </row>
    <row r="20" spans="23:25" x14ac:dyDescent="0.25">
      <c r="W20" t="s">
        <v>3016</v>
      </c>
    </row>
    <row r="21" spans="23:25" x14ac:dyDescent="0.25">
      <c r="W21" t="s">
        <v>3019</v>
      </c>
    </row>
    <row r="22" spans="23:25" x14ac:dyDescent="0.25">
      <c r="W22" t="s">
        <v>3017</v>
      </c>
    </row>
    <row r="23" spans="23:25" x14ac:dyDescent="0.25">
      <c r="W23" t="s">
        <v>3023</v>
      </c>
    </row>
    <row r="24" spans="23:25" x14ac:dyDescent="0.25">
      <c r="W24" t="s">
        <v>3020</v>
      </c>
    </row>
    <row r="25" spans="23:25" x14ac:dyDescent="0.25">
      <c r="W25" t="s">
        <v>3022</v>
      </c>
    </row>
    <row r="26" spans="23:25" x14ac:dyDescent="0.25">
      <c r="W26" t="s">
        <v>2674</v>
      </c>
    </row>
    <row r="27" spans="23:25" x14ac:dyDescent="0.25">
      <c r="W27" t="s">
        <v>3021</v>
      </c>
    </row>
    <row r="28" spans="23:25" x14ac:dyDescent="0.25">
      <c r="W28" t="s">
        <v>194</v>
      </c>
    </row>
    <row r="29" spans="23:25" x14ac:dyDescent="0.25">
      <c r="W29" t="s">
        <v>747</v>
      </c>
    </row>
  </sheetData>
  <sortState xmlns:xlrd2="http://schemas.microsoft.com/office/spreadsheetml/2017/richdata2" ref="Y4:Y18">
    <sortCondition ref="Y4:Y18"/>
  </sortState>
  <mergeCells count="2">
    <mergeCell ref="F1:G1"/>
    <mergeCell ref="K1:Q1"/>
  </mergeCells>
  <hyperlinks>
    <hyperlink ref="AD2" r:id="rId1" xr:uid="{F82B915B-CD98-4AD6-9A3D-400FC2311FBF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Data Viewer1</vt:lpstr>
      <vt:lpstr>Data Viewer</vt:lpstr>
      <vt:lpstr>Filter Criteria</vt:lpstr>
      <vt:lpstr>Lookup Tables</vt:lpstr>
      <vt:lpstr>AssemblerList</vt:lpstr>
      <vt:lpstr>BenchtopSupplierList</vt:lpstr>
      <vt:lpstr>dataBasePath</vt:lpstr>
      <vt:lpstr>employeeList</vt:lpstr>
      <vt:lpstr>'Data Viewer'!Extract</vt:lpstr>
      <vt:lpstr>'Data Viewer1'!Extract</vt:lpstr>
      <vt:lpstr>FreightList</vt:lpstr>
      <vt:lpstr>InstallerList</vt:lpstr>
      <vt:lpstr>LeadTimes</vt:lpstr>
      <vt:lpstr>LookupTableLeadTimes</vt:lpstr>
      <vt:lpstr>LookupTableUserSettings</vt:lpstr>
      <vt:lpstr>MainContractorList</vt:lpstr>
      <vt:lpstr>ProjectStatus</vt:lpstr>
      <vt:lpstr>purchaseOrderPath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Dwayne Keast</dc:creator>
  <cp:lastModifiedBy>Dwayne Keast</cp:lastModifiedBy>
  <dcterms:created xsi:type="dcterms:W3CDTF">2020-05-29T02:02:22Z</dcterms:created>
  <dcterms:modified xsi:type="dcterms:W3CDTF">2020-12-07T21:20:13Z</dcterms:modified>
</cp:coreProperties>
</file>